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Chart_Data" sheetId="7" state="visible" r:id="rId7"/>
    <sheet xmlns:r="http://schemas.openxmlformats.org/officeDocument/2006/relationships" name="Scenario_Data" sheetId="8" state="visible" r:id="rId8"/>
    <sheet xmlns:r="http://schemas.openxmlformats.org/officeDocument/2006/relationships" name="PRF_Results" sheetId="9" state="visible" r:id="rId9"/>
    <sheet xmlns:r="http://schemas.openxmlformats.org/officeDocument/2006/relationships" name="Formula_Guide" sheetId="10" state="visible" r:id="rId10"/>
    <sheet xmlns:r="http://schemas.openxmlformats.org/officeDocument/2006/relationships" name="Topography_Formulas" sheetId="11" state="visible" r:id="rId11"/>
    <sheet xmlns:r="http://schemas.openxmlformats.org/officeDocument/2006/relationships" name="Checks" sheetId="12" state="visible" r:id="rId12"/>
    <sheet xmlns:r="http://schemas.openxmlformats.org/officeDocument/2006/relationships" name="Graph_Guide" sheetId="13" state="visible" r:id="rId13"/>
    <sheet xmlns:r="http://schemas.openxmlformats.org/officeDocument/2006/relationships" name="Dashboard_Live_Data" sheetId="14" state="visible" r:id="rId14"/>
    <sheet xmlns:r="http://schemas.openxmlformats.org/officeDocument/2006/relationships" name="Native_Chart_Data" sheetId="15" state="visible" r:id="rId15"/>
    <sheet xmlns:r="http://schemas.openxmlformats.org/officeDocument/2006/relationships" name="Subsurface_Checks" sheetId="16" state="visible" r:id="rId16"/>
    <sheet xmlns:r="http://schemas.openxmlformats.org/officeDocument/2006/relationships" name="Subsurface_Formulas" sheetId="17" state="visible" r:id="rId17"/>
  </sheets>
  <definedNames>
    <definedName name="_xlnm._FilterDatabase" localSheetId="5" hidden="1">'Subsurface_Live_Data'!$A$1:$V$242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4">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66">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xf numFmtId="0" fontId="21" fillId="14" borderId="13" applyAlignment="1" pivotButton="0" quotePrefix="0" xfId="0">
      <alignment vertical="top" wrapText="1"/>
    </xf>
    <xf numFmtId="164" fontId="0" fillId="15" borderId="13" applyAlignment="1" pivotButton="0" quotePrefix="0" xfId="0">
      <alignment vertical="top" wrapText="1"/>
    </xf>
    <xf numFmtId="0" fontId="0" fillId="14" borderId="13" applyAlignment="1" pivotButton="0" quotePrefix="0" xfId="0">
      <alignment vertical="top" wrapText="1"/>
    </xf>
    <xf numFmtId="0" fontId="21" fillId="0" borderId="0" pivotButton="0" quotePrefix="0" xfId="0"/>
    <xf numFmtId="9" fontId="0" fillId="0" borderId="13" applyAlignment="1" pivotButton="0" quotePrefix="0" xfId="0">
      <alignment vertical="top" wrapText="1"/>
    </xf>
    <xf numFmtId="0" fontId="18" fillId="0" borderId="13" applyAlignment="1" pivotButton="0" quotePrefix="0" xfId="0">
      <alignment vertical="top" wrapText="1"/>
    </xf>
    <xf numFmtId="0" fontId="0" fillId="0" borderId="0" applyAlignment="1" pivotButton="0" quotePrefix="0" xfId="0">
      <alignment vertical="top" wrapText="1"/>
    </xf>
    <xf numFmtId="0" fontId="0" fillId="15" borderId="0" applyAlignment="1" pivotButton="0" quotePrefix="0" xfId="0">
      <alignment vertical="top"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er>
        <ser>
          <idx val="1"/>
          <order val="1"/>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er>
        <ser>
          <idx val="2"/>
          <order val="2"/>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er>
        <ser>
          <idx val="3"/>
          <order val="3"/>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Subsurface Radar Delay After Surface Return</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'Subsurface_Live_Data'!$M$2:$M$242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'Subsurface_Live_Data'!$N$2:$N$242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'Subsurface_Live_Data'!$O$2:$O$242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Two-way delay (microseconds)</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Estimated Subsurface Echo Strength</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'Subsurface_Live_Data'!$P$2:$P$242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'Subsurface_Live_Data'!$Q$2:$Q$242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'Subsurface_Live_Data'!$R$2:$R$242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Relative echo strength (dB)</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Detectability Margin vs Threshold</a:t>
            </a:r>
          </a:p>
        </rich>
      </tx>
    </title>
    <plotArea>
      <scatterChart>
        <scatterStyle val="line"/>
        <ser>
          <idx val="0"/>
          <order val="0"/>
          <tx>
            <v>Lens echo margin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'Subsurface_Live_Data'!$X$2:$X$242</f>
            </numRef>
          </yVal>
        </ser>
        <ser>
          <idx val="1"/>
          <order val="1"/>
          <tx>
            <v>Ocean echo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'Subsurface_Live_Data'!$Y$2:$Y$242</f>
            </numRef>
          </yVal>
        </ser>
        <ser>
          <idx val="2"/>
          <order val="2"/>
          <tx>
            <v>Zero margin threshold</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'Subsurface_Live_Data'!$A$2:$A$242</f>
            </numRef>
          </xVal>
          <yVal>
            <numRef>
              <f>'Subsurface_Live_Data'!$AA$2:$AA$242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Possible Warm/Briny Lens Strength</a:t>
            </a:r>
          </a:p>
        </rich>
      </tx>
    </title>
    <plotArea>
      <scatterChart>
        <scatterStyle val="line"/>
        <ser>
          <idx val="0"/>
          <order val="0"/>
          <tx>
            <v>Lens strength</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'Subsurface_Live_Data'!$H$2:$H$242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Lens strength (0-1)</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Ice Shell Thickness Along Track</a:t>
            </a:r>
          </a:p>
        </rich>
      </tx>
    </title>
    <plotArea>
      <scatterChart>
        <scatterStyle val="line"/>
        <ser>
          <idx val="0"/>
          <order val="0"/>
          <tx>
            <v>Ice-ocean boundary depth</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'Subsurface_Live_Data'!$K$2:$K$242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15</row>
      <rowOff>0</rowOff>
    </from>
    <ext cx="5580000" cy="277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15</row>
      <rowOff>0</rowOff>
    </from>
    <ext cx="5580000" cy="277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32</row>
      <rowOff>0</rowOff>
    </from>
    <ext cx="5580000" cy="277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32</row>
      <rowOff>0</rowOff>
    </from>
    <ext cx="5580000" cy="277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49</row>
      <rowOff>0</rowOff>
    </from>
    <ext cx="5580000" cy="2772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49</row>
      <rowOff>0</rowOff>
    </from>
    <ext cx="5580000" cy="2772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3"/>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12" customWidth="1" min="3" max="3"/>
    <col width="54" customWidth="1" min="4" max="4"/>
    <col width="34" customWidth="1" min="6" max="6"/>
    <col width="14" customWidth="1" min="7" max="7"/>
    <col width="50" customWidth="1" min="8" max="8"/>
    <col width="44" customWidth="1" min="9" max="9"/>
  </cols>
  <sheetData>
    <row r="1">
      <c r="A1" s="53" t="inlineStr">
        <is>
          <t>Europa Ice Subsurface Live Dashboard</t>
        </is>
      </c>
    </row>
    <row r="2">
      <c r="A2" s="61" t="inlineStr">
        <is>
          <t>Output-only view: important live metrics and graphs. Change assumptions on Subsurface_Inputs.</t>
        </is>
      </c>
    </row>
    <row r="4">
      <c r="A4" s="46" t="inlineStr">
        <is>
          <t>Important Data</t>
        </is>
      </c>
      <c r="B4" s="46" t="inlineStr">
        <is>
          <t>Value</t>
        </is>
      </c>
      <c r="C4" s="46" t="inlineStr">
        <is>
          <t>Unit</t>
        </is>
      </c>
      <c r="D4" s="46" t="inlineStr">
        <is>
          <t>Why it matters</t>
        </is>
      </c>
      <c r="F4" s="46" t="inlineStr">
        <is>
          <t>Realism / Proof Strength</t>
        </is>
      </c>
      <c r="G4" s="46" t="inlineStr">
        <is>
          <t>Score</t>
        </is>
      </c>
      <c r="H4" s="46" t="inlineStr">
        <is>
          <t>What this means</t>
        </is>
      </c>
      <c r="I4" s="46" t="inlineStr">
        <is>
          <t>How to improve</t>
        </is>
      </c>
    </row>
    <row r="5">
      <c r="A5" s="50" t="inlineStr">
        <is>
          <t>Average ice-ocean boundary depth</t>
        </is>
      </c>
      <c r="B5" s="47">
        <f>AVERAGE(Subsurface_Live_Data!K2:K242)</f>
        <v/>
      </c>
      <c r="C5" s="50" t="inlineStr">
        <is>
          <t>m</t>
        </is>
      </c>
      <c r="D5" s="50" t="inlineStr">
        <is>
          <t>Mean proposed bottom reflector depth.</t>
        </is>
      </c>
      <c r="F5" s="50" t="inlineStr">
        <is>
          <t>Concept demonstration realism</t>
        </is>
      </c>
      <c r="G5" s="62" t="n">
        <v>0.65</v>
      </c>
      <c r="H5" s="50" t="inlineStr">
        <is>
          <t>Good for showing how radar could respond to layered ice.</t>
        </is>
      </c>
      <c r="I5" s="50" t="inlineStr">
        <is>
          <t>Keep formulas live and compare scenarios.</t>
        </is>
      </c>
    </row>
    <row r="6">
      <c r="A6" s="50" t="inlineStr">
        <is>
          <t>Min ice-ocean boundary depth</t>
        </is>
      </c>
      <c r="B6" s="47">
        <f>MIN(Subsurface_Live_Data!K2:K242)</f>
        <v/>
      </c>
      <c r="C6" s="50" t="inlineStr">
        <is>
          <t>m</t>
        </is>
      </c>
      <c r="D6" s="50" t="inlineStr">
        <is>
          <t>Shallowest modeled bottom reflector.</t>
        </is>
      </c>
      <c r="F6" s="50" t="inlineStr">
        <is>
          <t>Europa prediction realism</t>
        </is>
      </c>
      <c r="G6" s="62" t="n">
        <v>0.35</v>
      </c>
      <c r="H6" s="50" t="inlineStr">
        <is>
          <t>Plausible structure, but synthetic and not tied to measured Europa radar/DEM.</t>
        </is>
      </c>
      <c r="I6" s="50" t="inlineStr">
        <is>
          <t>Use real instrument parameters, dielectric ranges, temperature/attenuation models.</t>
        </is>
      </c>
    </row>
    <row r="7">
      <c r="A7" s="50" t="inlineStr">
        <is>
          <t>Max ice-ocean boundary depth</t>
        </is>
      </c>
      <c r="B7" s="47">
        <f>MAX(Subsurface_Live_Data!K2:K242)</f>
        <v/>
      </c>
      <c r="C7" s="50" t="inlineStr">
        <is>
          <t>m</t>
        </is>
      </c>
      <c r="D7" s="50" t="inlineStr">
        <is>
          <t>Deepest modeled bottom reflector.</t>
        </is>
      </c>
      <c r="F7" s="50" t="inlineStr">
        <is>
          <t>Proof strength for real subsurface claim</t>
        </is>
      </c>
      <c r="G7" s="62" t="n">
        <v>0.2</v>
      </c>
      <c r="H7" s="50" t="inlineStr">
        <is>
          <t>This supports a hypothesis; it does not prove a real ocean/lens location.</t>
        </is>
      </c>
      <c r="I7" s="50" t="inlineStr">
        <is>
          <t>Validate against real observations or published constraints.</t>
        </is>
      </c>
    </row>
    <row r="8">
      <c r="A8" s="50" t="inlineStr">
        <is>
          <t>Average ocean delay</t>
        </is>
      </c>
      <c r="B8" s="47">
        <f>AVERAGE(Subsurface_Live_Data!O2:O242)</f>
        <v/>
      </c>
      <c r="C8" s="50" t="inlineStr">
        <is>
          <t>us</t>
        </is>
      </c>
      <c r="D8" s="50" t="inlineStr">
        <is>
          <t>Expected timing after surface return.</t>
        </is>
      </c>
      <c r="F8" s="50" t="inlineStr">
        <is>
          <t>Target after upgrades</t>
        </is>
      </c>
      <c r="G8" s="62" t="n">
        <v>0.55</v>
      </c>
      <c r="H8" s="50" t="inlineStr">
        <is>
          <t>Could become a stronger model once uncertainty and multiple scenarios are added.</t>
        </is>
      </c>
      <c r="I8" s="50" t="inlineStr">
        <is>
          <t>Add sensitivity bands and noise/clutter cases.</t>
        </is>
      </c>
    </row>
    <row r="9">
      <c r="A9" s="50" t="inlineStr">
        <is>
          <t>Strongest lens strength</t>
        </is>
      </c>
      <c r="B9" s="47">
        <f>MAX(Subsurface_Live_Data!H2:H242)</f>
        <v/>
      </c>
      <c r="C9" s="50" t="inlineStr">
        <is>
          <t>0-1</t>
        </is>
      </c>
      <c r="D9" s="50" t="inlineStr">
        <is>
          <t>Peak possible warm/briny lens contrast.</t>
        </is>
      </c>
    </row>
    <row r="10">
      <c r="A10" s="50" t="inlineStr">
        <is>
          <t>Best lens echo margin</t>
        </is>
      </c>
      <c r="B10" s="47">
        <f>MAX(Subsurface_Live_Data!X2:X242)</f>
        <v/>
      </c>
      <c r="C10" s="50" t="inlineStr">
        <is>
          <t>dB</t>
        </is>
      </c>
      <c r="D10" s="50" t="inlineStr">
        <is>
          <t>How far lens return is above/below threshold.</t>
        </is>
      </c>
      <c r="F10" s="63" t="inlineStr">
        <is>
          <t>Short answer</t>
        </is>
      </c>
      <c r="G10" s="50" t="inlineStr">
        <is>
          <t>The current simulation is about 35% realistic as a Europa prediction and about 20% strong as proof. It is useful for showing what to look for, not proving the real subsurface by itself.</t>
        </is>
      </c>
      <c r="H10" s="50" t="n"/>
      <c r="I10" s="50" t="n"/>
    </row>
    <row r="11">
      <c r="A11" s="50" t="inlineStr">
        <is>
          <t>Best ocean echo margin</t>
        </is>
      </c>
      <c r="B11" s="47">
        <f>MAX(Subsurface_Live_Data!Y2:Y242)</f>
        <v/>
      </c>
      <c r="C11" s="50" t="inlineStr">
        <is>
          <t>dB</t>
        </is>
      </c>
      <c r="D11" s="50" t="inlineStr">
        <is>
          <t>How far deep reflector is above/below threshold.</t>
        </is>
      </c>
    </row>
    <row r="12">
      <c r="A12" s="50" t="inlineStr">
        <is>
          <t>Visible lens samples</t>
        </is>
      </c>
      <c r="B12" s="47">
        <f>COUNTIF(Subsurface_Live_Data!U2:U242,"Lens visible")</f>
        <v/>
      </c>
      <c r="C12" s="50" t="inlineStr">
        <is>
          <t>count</t>
        </is>
      </c>
      <c r="D12" s="50" t="inlineStr">
        <is>
          <t>How much of the pass has a strong lens flag.</t>
        </is>
      </c>
    </row>
    <row r="13">
      <c r="A13" s="50" t="inlineStr">
        <is>
          <t>Likely visible ocean samples</t>
        </is>
      </c>
      <c r="B13" s="47">
        <f>COUNTIF(Subsurface_Live_Data!V2:V242,"Likely visible")</f>
        <v/>
      </c>
      <c r="C13" s="50" t="inlineStr">
        <is>
          <t>count</t>
        </is>
      </c>
      <c r="D13" s="50" t="inlineStr">
        <is>
          <t>How much of the pass clears detection threshold.</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3"/>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c r="E2" s="54" t="inlineStr">
        <is>
          <t>All editable values live on this tab. Subsurface_Dashboard is output-only.</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57" t="n">
        <v>1150</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57" t="n">
        <v>0.95</v>
      </c>
      <c r="D13" s="50" t="inlineStr">
        <is>
          <t>0-1</t>
        </is>
      </c>
      <c r="E13" s="50" t="inlineStr">
        <is>
          <t>Local possible warm/briny contrast, not proven.</t>
        </is>
      </c>
    </row>
    <row r="14">
      <c r="A14" s="50" t="inlineStr">
        <is>
          <t>Warm/briny lens</t>
        </is>
      </c>
      <c r="B14" s="50" t="inlineStr">
        <is>
          <t>Lens A center</t>
        </is>
      </c>
      <c r="C14" s="57" t="n">
        <v>-24</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57" t="n">
        <v>0.7</v>
      </c>
      <c r="D16" s="50" t="inlineStr">
        <is>
          <t>0-1</t>
        </is>
      </c>
      <c r="E16" s="50" t="inlineStr">
        <is>
          <t>Second possible lens.</t>
        </is>
      </c>
    </row>
    <row r="17">
      <c r="A17" s="50" t="inlineStr">
        <is>
          <t>Warm/briny lens</t>
        </is>
      </c>
      <c r="B17" s="50" t="inlineStr">
        <is>
          <t>Lens B center</t>
        </is>
      </c>
      <c r="C17" s="57" t="n">
        <v>30</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57" t="n">
        <v>5100</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57" t="n">
        <v>15000</v>
      </c>
      <c r="D25" s="50" t="inlineStr">
        <is>
          <t>m</t>
        </is>
      </c>
      <c r="E25" s="50" t="inlineStr">
        <is>
          <t>Possible bottom reflector depth.</t>
        </is>
      </c>
    </row>
    <row r="26">
      <c r="A26" s="50" t="inlineStr">
        <is>
          <t>Ice-ocean boundary</t>
        </is>
      </c>
      <c r="B26" s="50" t="inlineStr">
        <is>
          <t>Ocean boundary sine amplitude</t>
        </is>
      </c>
      <c r="C26" s="57" t="n">
        <v>760</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57">
        <f>Inputs!$C$12</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57" t="n">
        <v>0.9</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57" t="n">
        <v>0.18</v>
      </c>
      <c r="D42" s="50" t="inlineStr">
        <is>
          <t>0-1</t>
        </is>
      </c>
      <c r="E42" s="50" t="inlineStr">
        <is>
          <t>Below this, lens is treated as too weak for chart focus.</t>
        </is>
      </c>
    </row>
    <row r="43">
      <c r="A43" s="64" t="inlineStr">
        <is>
          <t>Radar</t>
        </is>
      </c>
      <c r="B43" s="64" t="inlineStr">
        <is>
          <t>Detection threshold</t>
        </is>
      </c>
      <c r="C43" s="65" t="n">
        <v>-45</v>
      </c>
      <c r="D43" s="64" t="inlineStr">
        <is>
          <t>dB</t>
        </is>
      </c>
      <c r="E43" s="64" t="inlineStr">
        <is>
          <t>Simple threshold for treating a return as easier to see.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1" customWidth="1" min="23" max="23"/>
    <col width="21" customWidth="1" min="24" max="24"/>
    <col width="21" customWidth="1" min="25" max="25"/>
    <col width="21" customWidth="1" min="26" max="26"/>
    <col width="21" customWidth="1" min="27" max="27"/>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c r="W1" s="46" t="inlineStr">
        <is>
          <t>detection_threshold_db</t>
        </is>
      </c>
      <c r="X1" s="46" t="inlineStr">
        <is>
          <t>lens_echo_margin_db</t>
        </is>
      </c>
      <c r="Y1" s="46" t="inlineStr">
        <is>
          <t>ocean_echo_margin_db</t>
        </is>
      </c>
      <c r="Z1" s="46" t="inlineStr">
        <is>
          <t>best_deep_return_margin_db</t>
        </is>
      </c>
      <c r="AA1" s="46" t="inlineStr">
        <is>
          <t>zero_margin_reference</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IF(R2&gt;=W2,"Likely visible","Weak")</f>
        <v/>
      </c>
      <c r="W2" s="47">
        <f>Subsurface_Inputs!$C$43</f>
        <v/>
      </c>
      <c r="X2" s="47">
        <f>Q2-W2</f>
        <v/>
      </c>
      <c r="Y2" s="47">
        <f>R2-W2</f>
        <v/>
      </c>
      <c r="Z2" s="47">
        <f>MAX(Q2,R2)-W2</f>
        <v/>
      </c>
      <c r="AA2" s="47" t="n">
        <v>0</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IF(R3&gt;=W3,"Likely visible","Weak")</f>
        <v/>
      </c>
      <c r="W3" s="47">
        <f>Subsurface_Inputs!$C$43</f>
        <v/>
      </c>
      <c r="X3" s="47">
        <f>Q3-W3</f>
        <v/>
      </c>
      <c r="Y3" s="47">
        <f>R3-W3</f>
        <v/>
      </c>
      <c r="Z3" s="47">
        <f>MAX(Q3,R3)-W3</f>
        <v/>
      </c>
      <c r="AA3" s="47" t="n">
        <v>0</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IF(R4&gt;=W4,"Likely visible","Weak")</f>
        <v/>
      </c>
      <c r="W4" s="47">
        <f>Subsurface_Inputs!$C$43</f>
        <v/>
      </c>
      <c r="X4" s="47">
        <f>Q4-W4</f>
        <v/>
      </c>
      <c r="Y4" s="47">
        <f>R4-W4</f>
        <v/>
      </c>
      <c r="Z4" s="47">
        <f>MAX(Q4,R4)-W4</f>
        <v/>
      </c>
      <c r="AA4" s="47" t="n">
        <v>0</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IF(R5&gt;=W5,"Likely visible","Weak")</f>
        <v/>
      </c>
      <c r="W5" s="47">
        <f>Subsurface_Inputs!$C$43</f>
        <v/>
      </c>
      <c r="X5" s="47">
        <f>Q5-W5</f>
        <v/>
      </c>
      <c r="Y5" s="47">
        <f>R5-W5</f>
        <v/>
      </c>
      <c r="Z5" s="47">
        <f>MAX(Q5,R5)-W5</f>
        <v/>
      </c>
      <c r="AA5" s="47" t="n">
        <v>0</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IF(R6&gt;=W6,"Likely visible","Weak")</f>
        <v/>
      </c>
      <c r="W6" s="47">
        <f>Subsurface_Inputs!$C$43</f>
        <v/>
      </c>
      <c r="X6" s="47">
        <f>Q6-W6</f>
        <v/>
      </c>
      <c r="Y6" s="47">
        <f>R6-W6</f>
        <v/>
      </c>
      <c r="Z6" s="47">
        <f>MAX(Q6,R6)-W6</f>
        <v/>
      </c>
      <c r="AA6" s="47" t="n">
        <v>0</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IF(R7&gt;=W7,"Likely visible","Weak")</f>
        <v/>
      </c>
      <c r="W7" s="47">
        <f>Subsurface_Inputs!$C$43</f>
        <v/>
      </c>
      <c r="X7" s="47">
        <f>Q7-W7</f>
        <v/>
      </c>
      <c r="Y7" s="47">
        <f>R7-W7</f>
        <v/>
      </c>
      <c r="Z7" s="47">
        <f>MAX(Q7,R7)-W7</f>
        <v/>
      </c>
      <c r="AA7" s="47" t="n">
        <v>0</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IF(R8&gt;=W8,"Likely visible","Weak")</f>
        <v/>
      </c>
      <c r="W8" s="47">
        <f>Subsurface_Inputs!$C$43</f>
        <v/>
      </c>
      <c r="X8" s="47">
        <f>Q8-W8</f>
        <v/>
      </c>
      <c r="Y8" s="47">
        <f>R8-W8</f>
        <v/>
      </c>
      <c r="Z8" s="47">
        <f>MAX(Q8,R8)-W8</f>
        <v/>
      </c>
      <c r="AA8" s="47" t="n">
        <v>0</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IF(R9&gt;=W9,"Likely visible","Weak")</f>
        <v/>
      </c>
      <c r="W9" s="47">
        <f>Subsurface_Inputs!$C$43</f>
        <v/>
      </c>
      <c r="X9" s="47">
        <f>Q9-W9</f>
        <v/>
      </c>
      <c r="Y9" s="47">
        <f>R9-W9</f>
        <v/>
      </c>
      <c r="Z9" s="47">
        <f>MAX(Q9,R9)-W9</f>
        <v/>
      </c>
      <c r="AA9" s="47" t="n">
        <v>0</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IF(R10&gt;=W10,"Likely visible","Weak")</f>
        <v/>
      </c>
      <c r="W10" s="47">
        <f>Subsurface_Inputs!$C$43</f>
        <v/>
      </c>
      <c r="X10" s="47">
        <f>Q10-W10</f>
        <v/>
      </c>
      <c r="Y10" s="47">
        <f>R10-W10</f>
        <v/>
      </c>
      <c r="Z10" s="47">
        <f>MAX(Q10,R10)-W10</f>
        <v/>
      </c>
      <c r="AA10" s="47" t="n">
        <v>0</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IF(R11&gt;=W11,"Likely visible","Weak")</f>
        <v/>
      </c>
      <c r="W11" s="47">
        <f>Subsurface_Inputs!$C$43</f>
        <v/>
      </c>
      <c r="X11" s="47">
        <f>Q11-W11</f>
        <v/>
      </c>
      <c r="Y11" s="47">
        <f>R11-W11</f>
        <v/>
      </c>
      <c r="Z11" s="47">
        <f>MAX(Q11,R11)-W11</f>
        <v/>
      </c>
      <c r="AA11" s="47" t="n">
        <v>0</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IF(R12&gt;=W12,"Likely visible","Weak")</f>
        <v/>
      </c>
      <c r="W12" s="47">
        <f>Subsurface_Inputs!$C$43</f>
        <v/>
      </c>
      <c r="X12" s="47">
        <f>Q12-W12</f>
        <v/>
      </c>
      <c r="Y12" s="47">
        <f>R12-W12</f>
        <v/>
      </c>
      <c r="Z12" s="47">
        <f>MAX(Q12,R12)-W12</f>
        <v/>
      </c>
      <c r="AA12" s="47" t="n">
        <v>0</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IF(R13&gt;=W13,"Likely visible","Weak")</f>
        <v/>
      </c>
      <c r="W13" s="47">
        <f>Subsurface_Inputs!$C$43</f>
        <v/>
      </c>
      <c r="X13" s="47">
        <f>Q13-W13</f>
        <v/>
      </c>
      <c r="Y13" s="47">
        <f>R13-W13</f>
        <v/>
      </c>
      <c r="Z13" s="47">
        <f>MAX(Q13,R13)-W13</f>
        <v/>
      </c>
      <c r="AA13" s="47" t="n">
        <v>0</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IF(R14&gt;=W14,"Likely visible","Weak")</f>
        <v/>
      </c>
      <c r="W14" s="47">
        <f>Subsurface_Inputs!$C$43</f>
        <v/>
      </c>
      <c r="X14" s="47">
        <f>Q14-W14</f>
        <v/>
      </c>
      <c r="Y14" s="47">
        <f>R14-W14</f>
        <v/>
      </c>
      <c r="Z14" s="47">
        <f>MAX(Q14,R14)-W14</f>
        <v/>
      </c>
      <c r="AA14" s="47" t="n">
        <v>0</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IF(R15&gt;=W15,"Likely visible","Weak")</f>
        <v/>
      </c>
      <c r="W15" s="47">
        <f>Subsurface_Inputs!$C$43</f>
        <v/>
      </c>
      <c r="X15" s="47">
        <f>Q15-W15</f>
        <v/>
      </c>
      <c r="Y15" s="47">
        <f>R15-W15</f>
        <v/>
      </c>
      <c r="Z15" s="47">
        <f>MAX(Q15,R15)-W15</f>
        <v/>
      </c>
      <c r="AA15" s="47" t="n">
        <v>0</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IF(R16&gt;=W16,"Likely visible","Weak")</f>
        <v/>
      </c>
      <c r="W16" s="47">
        <f>Subsurface_Inputs!$C$43</f>
        <v/>
      </c>
      <c r="X16" s="47">
        <f>Q16-W16</f>
        <v/>
      </c>
      <c r="Y16" s="47">
        <f>R16-W16</f>
        <v/>
      </c>
      <c r="Z16" s="47">
        <f>MAX(Q16,R16)-W16</f>
        <v/>
      </c>
      <c r="AA16" s="47" t="n">
        <v>0</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IF(R17&gt;=W17,"Likely visible","Weak")</f>
        <v/>
      </c>
      <c r="W17" s="47">
        <f>Subsurface_Inputs!$C$43</f>
        <v/>
      </c>
      <c r="X17" s="47">
        <f>Q17-W17</f>
        <v/>
      </c>
      <c r="Y17" s="47">
        <f>R17-W17</f>
        <v/>
      </c>
      <c r="Z17" s="47">
        <f>MAX(Q17,R17)-W17</f>
        <v/>
      </c>
      <c r="AA17" s="47" t="n">
        <v>0</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IF(R18&gt;=W18,"Likely visible","Weak")</f>
        <v/>
      </c>
      <c r="W18" s="47">
        <f>Subsurface_Inputs!$C$43</f>
        <v/>
      </c>
      <c r="X18" s="47">
        <f>Q18-W18</f>
        <v/>
      </c>
      <c r="Y18" s="47">
        <f>R18-W18</f>
        <v/>
      </c>
      <c r="Z18" s="47">
        <f>MAX(Q18,R18)-W18</f>
        <v/>
      </c>
      <c r="AA18" s="47" t="n">
        <v>0</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IF(R19&gt;=W19,"Likely visible","Weak")</f>
        <v/>
      </c>
      <c r="W19" s="47">
        <f>Subsurface_Inputs!$C$43</f>
        <v/>
      </c>
      <c r="X19" s="47">
        <f>Q19-W19</f>
        <v/>
      </c>
      <c r="Y19" s="47">
        <f>R19-W19</f>
        <v/>
      </c>
      <c r="Z19" s="47">
        <f>MAX(Q19,R19)-W19</f>
        <v/>
      </c>
      <c r="AA19" s="47" t="n">
        <v>0</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IF(R20&gt;=W20,"Likely visible","Weak")</f>
        <v/>
      </c>
      <c r="W20" s="47">
        <f>Subsurface_Inputs!$C$43</f>
        <v/>
      </c>
      <c r="X20" s="47">
        <f>Q20-W20</f>
        <v/>
      </c>
      <c r="Y20" s="47">
        <f>R20-W20</f>
        <v/>
      </c>
      <c r="Z20" s="47">
        <f>MAX(Q20,R20)-W20</f>
        <v/>
      </c>
      <c r="AA20" s="47" t="n">
        <v>0</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IF(R21&gt;=W21,"Likely visible","Weak")</f>
        <v/>
      </c>
      <c r="W21" s="47">
        <f>Subsurface_Inputs!$C$43</f>
        <v/>
      </c>
      <c r="X21" s="47">
        <f>Q21-W21</f>
        <v/>
      </c>
      <c r="Y21" s="47">
        <f>R21-W21</f>
        <v/>
      </c>
      <c r="Z21" s="47">
        <f>MAX(Q21,R21)-W21</f>
        <v/>
      </c>
      <c r="AA21" s="47" t="n">
        <v>0</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IF(R22&gt;=W22,"Likely visible","Weak")</f>
        <v/>
      </c>
      <c r="W22" s="47">
        <f>Subsurface_Inputs!$C$43</f>
        <v/>
      </c>
      <c r="X22" s="47">
        <f>Q22-W22</f>
        <v/>
      </c>
      <c r="Y22" s="47">
        <f>R22-W22</f>
        <v/>
      </c>
      <c r="Z22" s="47">
        <f>MAX(Q22,R22)-W22</f>
        <v/>
      </c>
      <c r="AA22" s="47" t="n">
        <v>0</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IF(R23&gt;=W23,"Likely visible","Weak")</f>
        <v/>
      </c>
      <c r="W23" s="47">
        <f>Subsurface_Inputs!$C$43</f>
        <v/>
      </c>
      <c r="X23" s="47">
        <f>Q23-W23</f>
        <v/>
      </c>
      <c r="Y23" s="47">
        <f>R23-W23</f>
        <v/>
      </c>
      <c r="Z23" s="47">
        <f>MAX(Q23,R23)-W23</f>
        <v/>
      </c>
      <c r="AA23" s="47" t="n">
        <v>0</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IF(R24&gt;=W24,"Likely visible","Weak")</f>
        <v/>
      </c>
      <c r="W24" s="47">
        <f>Subsurface_Inputs!$C$43</f>
        <v/>
      </c>
      <c r="X24" s="47">
        <f>Q24-W24</f>
        <v/>
      </c>
      <c r="Y24" s="47">
        <f>R24-W24</f>
        <v/>
      </c>
      <c r="Z24" s="47">
        <f>MAX(Q24,R24)-W24</f>
        <v/>
      </c>
      <c r="AA24" s="47" t="n">
        <v>0</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IF(R25&gt;=W25,"Likely visible","Weak")</f>
        <v/>
      </c>
      <c r="W25" s="47">
        <f>Subsurface_Inputs!$C$43</f>
        <v/>
      </c>
      <c r="X25" s="47">
        <f>Q25-W25</f>
        <v/>
      </c>
      <c r="Y25" s="47">
        <f>R25-W25</f>
        <v/>
      </c>
      <c r="Z25" s="47">
        <f>MAX(Q25,R25)-W25</f>
        <v/>
      </c>
      <c r="AA25" s="47" t="n">
        <v>0</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IF(R26&gt;=W26,"Likely visible","Weak")</f>
        <v/>
      </c>
      <c r="W26" s="47">
        <f>Subsurface_Inputs!$C$43</f>
        <v/>
      </c>
      <c r="X26" s="47">
        <f>Q26-W26</f>
        <v/>
      </c>
      <c r="Y26" s="47">
        <f>R26-W26</f>
        <v/>
      </c>
      <c r="Z26" s="47">
        <f>MAX(Q26,R26)-W26</f>
        <v/>
      </c>
      <c r="AA26" s="47" t="n">
        <v>0</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IF(R27&gt;=W27,"Likely visible","Weak")</f>
        <v/>
      </c>
      <c r="W27" s="47">
        <f>Subsurface_Inputs!$C$43</f>
        <v/>
      </c>
      <c r="X27" s="47">
        <f>Q27-W27</f>
        <v/>
      </c>
      <c r="Y27" s="47">
        <f>R27-W27</f>
        <v/>
      </c>
      <c r="Z27" s="47">
        <f>MAX(Q27,R27)-W27</f>
        <v/>
      </c>
      <c r="AA27" s="47" t="n">
        <v>0</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IF(R28&gt;=W28,"Likely visible","Weak")</f>
        <v/>
      </c>
      <c r="W28" s="47">
        <f>Subsurface_Inputs!$C$43</f>
        <v/>
      </c>
      <c r="X28" s="47">
        <f>Q28-W28</f>
        <v/>
      </c>
      <c r="Y28" s="47">
        <f>R28-W28</f>
        <v/>
      </c>
      <c r="Z28" s="47">
        <f>MAX(Q28,R28)-W28</f>
        <v/>
      </c>
      <c r="AA28" s="47" t="n">
        <v>0</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IF(R29&gt;=W29,"Likely visible","Weak")</f>
        <v/>
      </c>
      <c r="W29" s="47">
        <f>Subsurface_Inputs!$C$43</f>
        <v/>
      </c>
      <c r="X29" s="47">
        <f>Q29-W29</f>
        <v/>
      </c>
      <c r="Y29" s="47">
        <f>R29-W29</f>
        <v/>
      </c>
      <c r="Z29" s="47">
        <f>MAX(Q29,R29)-W29</f>
        <v/>
      </c>
      <c r="AA29" s="47" t="n">
        <v>0</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IF(R30&gt;=W30,"Likely visible","Weak")</f>
        <v/>
      </c>
      <c r="W30" s="47">
        <f>Subsurface_Inputs!$C$43</f>
        <v/>
      </c>
      <c r="X30" s="47">
        <f>Q30-W30</f>
        <v/>
      </c>
      <c r="Y30" s="47">
        <f>R30-W30</f>
        <v/>
      </c>
      <c r="Z30" s="47">
        <f>MAX(Q30,R30)-W30</f>
        <v/>
      </c>
      <c r="AA30" s="47" t="n">
        <v>0</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IF(R31&gt;=W31,"Likely visible","Weak")</f>
        <v/>
      </c>
      <c r="W31" s="47">
        <f>Subsurface_Inputs!$C$43</f>
        <v/>
      </c>
      <c r="X31" s="47">
        <f>Q31-W31</f>
        <v/>
      </c>
      <c r="Y31" s="47">
        <f>R31-W31</f>
        <v/>
      </c>
      <c r="Z31" s="47">
        <f>MAX(Q31,R31)-W31</f>
        <v/>
      </c>
      <c r="AA31" s="47" t="n">
        <v>0</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IF(R32&gt;=W32,"Likely visible","Weak")</f>
        <v/>
      </c>
      <c r="W32" s="47">
        <f>Subsurface_Inputs!$C$43</f>
        <v/>
      </c>
      <c r="X32" s="47">
        <f>Q32-W32</f>
        <v/>
      </c>
      <c r="Y32" s="47">
        <f>R32-W32</f>
        <v/>
      </c>
      <c r="Z32" s="47">
        <f>MAX(Q32,R32)-W32</f>
        <v/>
      </c>
      <c r="AA32" s="47" t="n">
        <v>0</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IF(R33&gt;=W33,"Likely visible","Weak")</f>
        <v/>
      </c>
      <c r="W33" s="47">
        <f>Subsurface_Inputs!$C$43</f>
        <v/>
      </c>
      <c r="X33" s="47">
        <f>Q33-W33</f>
        <v/>
      </c>
      <c r="Y33" s="47">
        <f>R33-W33</f>
        <v/>
      </c>
      <c r="Z33" s="47">
        <f>MAX(Q33,R33)-W33</f>
        <v/>
      </c>
      <c r="AA33" s="47" t="n">
        <v>0</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IF(R34&gt;=W34,"Likely visible","Weak")</f>
        <v/>
      </c>
      <c r="W34" s="47">
        <f>Subsurface_Inputs!$C$43</f>
        <v/>
      </c>
      <c r="X34" s="47">
        <f>Q34-W34</f>
        <v/>
      </c>
      <c r="Y34" s="47">
        <f>R34-W34</f>
        <v/>
      </c>
      <c r="Z34" s="47">
        <f>MAX(Q34,R34)-W34</f>
        <v/>
      </c>
      <c r="AA34" s="47" t="n">
        <v>0</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IF(R35&gt;=W35,"Likely visible","Weak")</f>
        <v/>
      </c>
      <c r="W35" s="47">
        <f>Subsurface_Inputs!$C$43</f>
        <v/>
      </c>
      <c r="X35" s="47">
        <f>Q35-W35</f>
        <v/>
      </c>
      <c r="Y35" s="47">
        <f>R35-W35</f>
        <v/>
      </c>
      <c r="Z35" s="47">
        <f>MAX(Q35,R35)-W35</f>
        <v/>
      </c>
      <c r="AA35" s="47" t="n">
        <v>0</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IF(R36&gt;=W36,"Likely visible","Weak")</f>
        <v/>
      </c>
      <c r="W36" s="47">
        <f>Subsurface_Inputs!$C$43</f>
        <v/>
      </c>
      <c r="X36" s="47">
        <f>Q36-W36</f>
        <v/>
      </c>
      <c r="Y36" s="47">
        <f>R36-W36</f>
        <v/>
      </c>
      <c r="Z36" s="47">
        <f>MAX(Q36,R36)-W36</f>
        <v/>
      </c>
      <c r="AA36" s="47" t="n">
        <v>0</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IF(R37&gt;=W37,"Likely visible","Weak")</f>
        <v/>
      </c>
      <c r="W37" s="47">
        <f>Subsurface_Inputs!$C$43</f>
        <v/>
      </c>
      <c r="X37" s="47">
        <f>Q37-W37</f>
        <v/>
      </c>
      <c r="Y37" s="47">
        <f>R37-W37</f>
        <v/>
      </c>
      <c r="Z37" s="47">
        <f>MAX(Q37,R37)-W37</f>
        <v/>
      </c>
      <c r="AA37" s="47" t="n">
        <v>0</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IF(R38&gt;=W38,"Likely visible","Weak")</f>
        <v/>
      </c>
      <c r="W38" s="47">
        <f>Subsurface_Inputs!$C$43</f>
        <v/>
      </c>
      <c r="X38" s="47">
        <f>Q38-W38</f>
        <v/>
      </c>
      <c r="Y38" s="47">
        <f>R38-W38</f>
        <v/>
      </c>
      <c r="Z38" s="47">
        <f>MAX(Q38,R38)-W38</f>
        <v/>
      </c>
      <c r="AA38" s="47" t="n">
        <v>0</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IF(R39&gt;=W39,"Likely visible","Weak")</f>
        <v/>
      </c>
      <c r="W39" s="47">
        <f>Subsurface_Inputs!$C$43</f>
        <v/>
      </c>
      <c r="X39" s="47">
        <f>Q39-W39</f>
        <v/>
      </c>
      <c r="Y39" s="47">
        <f>R39-W39</f>
        <v/>
      </c>
      <c r="Z39" s="47">
        <f>MAX(Q39,R39)-W39</f>
        <v/>
      </c>
      <c r="AA39" s="47" t="n">
        <v>0</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IF(R40&gt;=W40,"Likely visible","Weak")</f>
        <v/>
      </c>
      <c r="W40" s="47">
        <f>Subsurface_Inputs!$C$43</f>
        <v/>
      </c>
      <c r="X40" s="47">
        <f>Q40-W40</f>
        <v/>
      </c>
      <c r="Y40" s="47">
        <f>R40-W40</f>
        <v/>
      </c>
      <c r="Z40" s="47">
        <f>MAX(Q40,R40)-W40</f>
        <v/>
      </c>
      <c r="AA40" s="47" t="n">
        <v>0</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IF(R41&gt;=W41,"Likely visible","Weak")</f>
        <v/>
      </c>
      <c r="W41" s="47">
        <f>Subsurface_Inputs!$C$43</f>
        <v/>
      </c>
      <c r="X41" s="47">
        <f>Q41-W41</f>
        <v/>
      </c>
      <c r="Y41" s="47">
        <f>R41-W41</f>
        <v/>
      </c>
      <c r="Z41" s="47">
        <f>MAX(Q41,R41)-W41</f>
        <v/>
      </c>
      <c r="AA41" s="47" t="n">
        <v>0</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IF(R42&gt;=W42,"Likely visible","Weak")</f>
        <v/>
      </c>
      <c r="W42" s="47">
        <f>Subsurface_Inputs!$C$43</f>
        <v/>
      </c>
      <c r="X42" s="47">
        <f>Q42-W42</f>
        <v/>
      </c>
      <c r="Y42" s="47">
        <f>R42-W42</f>
        <v/>
      </c>
      <c r="Z42" s="47">
        <f>MAX(Q42,R42)-W42</f>
        <v/>
      </c>
      <c r="AA42" s="47" t="n">
        <v>0</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IF(R43&gt;=W43,"Likely visible","Weak")</f>
        <v/>
      </c>
      <c r="W43" s="47">
        <f>Subsurface_Inputs!$C$43</f>
        <v/>
      </c>
      <c r="X43" s="47">
        <f>Q43-W43</f>
        <v/>
      </c>
      <c r="Y43" s="47">
        <f>R43-W43</f>
        <v/>
      </c>
      <c r="Z43" s="47">
        <f>MAX(Q43,R43)-W43</f>
        <v/>
      </c>
      <c r="AA43" s="47" t="n">
        <v>0</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IF(R44&gt;=W44,"Likely visible","Weak")</f>
        <v/>
      </c>
      <c r="W44" s="47">
        <f>Subsurface_Inputs!$C$43</f>
        <v/>
      </c>
      <c r="X44" s="47">
        <f>Q44-W44</f>
        <v/>
      </c>
      <c r="Y44" s="47">
        <f>R44-W44</f>
        <v/>
      </c>
      <c r="Z44" s="47">
        <f>MAX(Q44,R44)-W44</f>
        <v/>
      </c>
      <c r="AA44" s="47" t="n">
        <v>0</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IF(R45&gt;=W45,"Likely visible","Weak")</f>
        <v/>
      </c>
      <c r="W45" s="47">
        <f>Subsurface_Inputs!$C$43</f>
        <v/>
      </c>
      <c r="X45" s="47">
        <f>Q45-W45</f>
        <v/>
      </c>
      <c r="Y45" s="47">
        <f>R45-W45</f>
        <v/>
      </c>
      <c r="Z45" s="47">
        <f>MAX(Q45,R45)-W45</f>
        <v/>
      </c>
      <c r="AA45" s="47" t="n">
        <v>0</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IF(R46&gt;=W46,"Likely visible","Weak")</f>
        <v/>
      </c>
      <c r="W46" s="47">
        <f>Subsurface_Inputs!$C$43</f>
        <v/>
      </c>
      <c r="X46" s="47">
        <f>Q46-W46</f>
        <v/>
      </c>
      <c r="Y46" s="47">
        <f>R46-W46</f>
        <v/>
      </c>
      <c r="Z46" s="47">
        <f>MAX(Q46,R46)-W46</f>
        <v/>
      </c>
      <c r="AA46" s="47" t="n">
        <v>0</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IF(R47&gt;=W47,"Likely visible","Weak")</f>
        <v/>
      </c>
      <c r="W47" s="47">
        <f>Subsurface_Inputs!$C$43</f>
        <v/>
      </c>
      <c r="X47" s="47">
        <f>Q47-W47</f>
        <v/>
      </c>
      <c r="Y47" s="47">
        <f>R47-W47</f>
        <v/>
      </c>
      <c r="Z47" s="47">
        <f>MAX(Q47,R47)-W47</f>
        <v/>
      </c>
      <c r="AA47" s="47" t="n">
        <v>0</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IF(R48&gt;=W48,"Likely visible","Weak")</f>
        <v/>
      </c>
      <c r="W48" s="47">
        <f>Subsurface_Inputs!$C$43</f>
        <v/>
      </c>
      <c r="X48" s="47">
        <f>Q48-W48</f>
        <v/>
      </c>
      <c r="Y48" s="47">
        <f>R48-W48</f>
        <v/>
      </c>
      <c r="Z48" s="47">
        <f>MAX(Q48,R48)-W48</f>
        <v/>
      </c>
      <c r="AA48" s="47" t="n">
        <v>0</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IF(R49&gt;=W49,"Likely visible","Weak")</f>
        <v/>
      </c>
      <c r="W49" s="47">
        <f>Subsurface_Inputs!$C$43</f>
        <v/>
      </c>
      <c r="X49" s="47">
        <f>Q49-W49</f>
        <v/>
      </c>
      <c r="Y49" s="47">
        <f>R49-W49</f>
        <v/>
      </c>
      <c r="Z49" s="47">
        <f>MAX(Q49,R49)-W49</f>
        <v/>
      </c>
      <c r="AA49" s="47" t="n">
        <v>0</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IF(R50&gt;=W50,"Likely visible","Weak")</f>
        <v/>
      </c>
      <c r="W50" s="47">
        <f>Subsurface_Inputs!$C$43</f>
        <v/>
      </c>
      <c r="X50" s="47">
        <f>Q50-W50</f>
        <v/>
      </c>
      <c r="Y50" s="47">
        <f>R50-W50</f>
        <v/>
      </c>
      <c r="Z50" s="47">
        <f>MAX(Q50,R50)-W50</f>
        <v/>
      </c>
      <c r="AA50" s="47" t="n">
        <v>0</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IF(R51&gt;=W51,"Likely visible","Weak")</f>
        <v/>
      </c>
      <c r="W51" s="47">
        <f>Subsurface_Inputs!$C$43</f>
        <v/>
      </c>
      <c r="X51" s="47">
        <f>Q51-W51</f>
        <v/>
      </c>
      <c r="Y51" s="47">
        <f>R51-W51</f>
        <v/>
      </c>
      <c r="Z51" s="47">
        <f>MAX(Q51,R51)-W51</f>
        <v/>
      </c>
      <c r="AA51" s="47" t="n">
        <v>0</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IF(R52&gt;=W52,"Likely visible","Weak")</f>
        <v/>
      </c>
      <c r="W52" s="47">
        <f>Subsurface_Inputs!$C$43</f>
        <v/>
      </c>
      <c r="X52" s="47">
        <f>Q52-W52</f>
        <v/>
      </c>
      <c r="Y52" s="47">
        <f>R52-W52</f>
        <v/>
      </c>
      <c r="Z52" s="47">
        <f>MAX(Q52,R52)-W52</f>
        <v/>
      </c>
      <c r="AA52" s="47" t="n">
        <v>0</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IF(R53&gt;=W53,"Likely visible","Weak")</f>
        <v/>
      </c>
      <c r="W53" s="47">
        <f>Subsurface_Inputs!$C$43</f>
        <v/>
      </c>
      <c r="X53" s="47">
        <f>Q53-W53</f>
        <v/>
      </c>
      <c r="Y53" s="47">
        <f>R53-W53</f>
        <v/>
      </c>
      <c r="Z53" s="47">
        <f>MAX(Q53,R53)-W53</f>
        <v/>
      </c>
      <c r="AA53" s="47" t="n">
        <v>0</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IF(R54&gt;=W54,"Likely visible","Weak")</f>
        <v/>
      </c>
      <c r="W54" s="47">
        <f>Subsurface_Inputs!$C$43</f>
        <v/>
      </c>
      <c r="X54" s="47">
        <f>Q54-W54</f>
        <v/>
      </c>
      <c r="Y54" s="47">
        <f>R54-W54</f>
        <v/>
      </c>
      <c r="Z54" s="47">
        <f>MAX(Q54,R54)-W54</f>
        <v/>
      </c>
      <c r="AA54" s="47" t="n">
        <v>0</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IF(R55&gt;=W55,"Likely visible","Weak")</f>
        <v/>
      </c>
      <c r="W55" s="47">
        <f>Subsurface_Inputs!$C$43</f>
        <v/>
      </c>
      <c r="X55" s="47">
        <f>Q55-W55</f>
        <v/>
      </c>
      <c r="Y55" s="47">
        <f>R55-W55</f>
        <v/>
      </c>
      <c r="Z55" s="47">
        <f>MAX(Q55,R55)-W55</f>
        <v/>
      </c>
      <c r="AA55" s="47" t="n">
        <v>0</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IF(R56&gt;=W56,"Likely visible","Weak")</f>
        <v/>
      </c>
      <c r="W56" s="47">
        <f>Subsurface_Inputs!$C$43</f>
        <v/>
      </c>
      <c r="X56" s="47">
        <f>Q56-W56</f>
        <v/>
      </c>
      <c r="Y56" s="47">
        <f>R56-W56</f>
        <v/>
      </c>
      <c r="Z56" s="47">
        <f>MAX(Q56,R56)-W56</f>
        <v/>
      </c>
      <c r="AA56" s="47" t="n">
        <v>0</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IF(R57&gt;=W57,"Likely visible","Weak")</f>
        <v/>
      </c>
      <c r="W57" s="47">
        <f>Subsurface_Inputs!$C$43</f>
        <v/>
      </c>
      <c r="X57" s="47">
        <f>Q57-W57</f>
        <v/>
      </c>
      <c r="Y57" s="47">
        <f>R57-W57</f>
        <v/>
      </c>
      <c r="Z57" s="47">
        <f>MAX(Q57,R57)-W57</f>
        <v/>
      </c>
      <c r="AA57" s="47" t="n">
        <v>0</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IF(R58&gt;=W58,"Likely visible","Weak")</f>
        <v/>
      </c>
      <c r="W58" s="47">
        <f>Subsurface_Inputs!$C$43</f>
        <v/>
      </c>
      <c r="X58" s="47">
        <f>Q58-W58</f>
        <v/>
      </c>
      <c r="Y58" s="47">
        <f>R58-W58</f>
        <v/>
      </c>
      <c r="Z58" s="47">
        <f>MAX(Q58,R58)-W58</f>
        <v/>
      </c>
      <c r="AA58" s="47" t="n">
        <v>0</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IF(R59&gt;=W59,"Likely visible","Weak")</f>
        <v/>
      </c>
      <c r="W59" s="47">
        <f>Subsurface_Inputs!$C$43</f>
        <v/>
      </c>
      <c r="X59" s="47">
        <f>Q59-W59</f>
        <v/>
      </c>
      <c r="Y59" s="47">
        <f>R59-W59</f>
        <v/>
      </c>
      <c r="Z59" s="47">
        <f>MAX(Q59,R59)-W59</f>
        <v/>
      </c>
      <c r="AA59" s="47" t="n">
        <v>0</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IF(R60&gt;=W60,"Likely visible","Weak")</f>
        <v/>
      </c>
      <c r="W60" s="47">
        <f>Subsurface_Inputs!$C$43</f>
        <v/>
      </c>
      <c r="X60" s="47">
        <f>Q60-W60</f>
        <v/>
      </c>
      <c r="Y60" s="47">
        <f>R60-W60</f>
        <v/>
      </c>
      <c r="Z60" s="47">
        <f>MAX(Q60,R60)-W60</f>
        <v/>
      </c>
      <c r="AA60" s="47" t="n">
        <v>0</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IF(R61&gt;=W61,"Likely visible","Weak")</f>
        <v/>
      </c>
      <c r="W61" s="47">
        <f>Subsurface_Inputs!$C$43</f>
        <v/>
      </c>
      <c r="X61" s="47">
        <f>Q61-W61</f>
        <v/>
      </c>
      <c r="Y61" s="47">
        <f>R61-W61</f>
        <v/>
      </c>
      <c r="Z61" s="47">
        <f>MAX(Q61,R61)-W61</f>
        <v/>
      </c>
      <c r="AA61" s="47" t="n">
        <v>0</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IF(R62&gt;=W62,"Likely visible","Weak")</f>
        <v/>
      </c>
      <c r="W62" s="47">
        <f>Subsurface_Inputs!$C$43</f>
        <v/>
      </c>
      <c r="X62" s="47">
        <f>Q62-W62</f>
        <v/>
      </c>
      <c r="Y62" s="47">
        <f>R62-W62</f>
        <v/>
      </c>
      <c r="Z62" s="47">
        <f>MAX(Q62,R62)-W62</f>
        <v/>
      </c>
      <c r="AA62" s="47" t="n">
        <v>0</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IF(R63&gt;=W63,"Likely visible","Weak")</f>
        <v/>
      </c>
      <c r="W63" s="47">
        <f>Subsurface_Inputs!$C$43</f>
        <v/>
      </c>
      <c r="X63" s="47">
        <f>Q63-W63</f>
        <v/>
      </c>
      <c r="Y63" s="47">
        <f>R63-W63</f>
        <v/>
      </c>
      <c r="Z63" s="47">
        <f>MAX(Q63,R63)-W63</f>
        <v/>
      </c>
      <c r="AA63" s="47" t="n">
        <v>0</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IF(R64&gt;=W64,"Likely visible","Weak")</f>
        <v/>
      </c>
      <c r="W64" s="47">
        <f>Subsurface_Inputs!$C$43</f>
        <v/>
      </c>
      <c r="X64" s="47">
        <f>Q64-W64</f>
        <v/>
      </c>
      <c r="Y64" s="47">
        <f>R64-W64</f>
        <v/>
      </c>
      <c r="Z64" s="47">
        <f>MAX(Q64,R64)-W64</f>
        <v/>
      </c>
      <c r="AA64" s="47" t="n">
        <v>0</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IF(R65&gt;=W65,"Likely visible","Weak")</f>
        <v/>
      </c>
      <c r="W65" s="47">
        <f>Subsurface_Inputs!$C$43</f>
        <v/>
      </c>
      <c r="X65" s="47">
        <f>Q65-W65</f>
        <v/>
      </c>
      <c r="Y65" s="47">
        <f>R65-W65</f>
        <v/>
      </c>
      <c r="Z65" s="47">
        <f>MAX(Q65,R65)-W65</f>
        <v/>
      </c>
      <c r="AA65" s="47" t="n">
        <v>0</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IF(R66&gt;=W66,"Likely visible","Weak")</f>
        <v/>
      </c>
      <c r="W66" s="47">
        <f>Subsurface_Inputs!$C$43</f>
        <v/>
      </c>
      <c r="X66" s="47">
        <f>Q66-W66</f>
        <v/>
      </c>
      <c r="Y66" s="47">
        <f>R66-W66</f>
        <v/>
      </c>
      <c r="Z66" s="47">
        <f>MAX(Q66,R66)-W66</f>
        <v/>
      </c>
      <c r="AA66" s="47" t="n">
        <v>0</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IF(R67&gt;=W67,"Likely visible","Weak")</f>
        <v/>
      </c>
      <c r="W67" s="47">
        <f>Subsurface_Inputs!$C$43</f>
        <v/>
      </c>
      <c r="X67" s="47">
        <f>Q67-W67</f>
        <v/>
      </c>
      <c r="Y67" s="47">
        <f>R67-W67</f>
        <v/>
      </c>
      <c r="Z67" s="47">
        <f>MAX(Q67,R67)-W67</f>
        <v/>
      </c>
      <c r="AA67" s="47" t="n">
        <v>0</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IF(R68&gt;=W68,"Likely visible","Weak")</f>
        <v/>
      </c>
      <c r="W68" s="47">
        <f>Subsurface_Inputs!$C$43</f>
        <v/>
      </c>
      <c r="X68" s="47">
        <f>Q68-W68</f>
        <v/>
      </c>
      <c r="Y68" s="47">
        <f>R68-W68</f>
        <v/>
      </c>
      <c r="Z68" s="47">
        <f>MAX(Q68,R68)-W68</f>
        <v/>
      </c>
      <c r="AA68" s="47" t="n">
        <v>0</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IF(R69&gt;=W69,"Likely visible","Weak")</f>
        <v/>
      </c>
      <c r="W69" s="47">
        <f>Subsurface_Inputs!$C$43</f>
        <v/>
      </c>
      <c r="X69" s="47">
        <f>Q69-W69</f>
        <v/>
      </c>
      <c r="Y69" s="47">
        <f>R69-W69</f>
        <v/>
      </c>
      <c r="Z69" s="47">
        <f>MAX(Q69,R69)-W69</f>
        <v/>
      </c>
      <c r="AA69" s="47" t="n">
        <v>0</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IF(R70&gt;=W70,"Likely visible","Weak")</f>
        <v/>
      </c>
      <c r="W70" s="47">
        <f>Subsurface_Inputs!$C$43</f>
        <v/>
      </c>
      <c r="X70" s="47">
        <f>Q70-W70</f>
        <v/>
      </c>
      <c r="Y70" s="47">
        <f>R70-W70</f>
        <v/>
      </c>
      <c r="Z70" s="47">
        <f>MAX(Q70,R70)-W70</f>
        <v/>
      </c>
      <c r="AA70" s="47" t="n">
        <v>0</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IF(R71&gt;=W71,"Likely visible","Weak")</f>
        <v/>
      </c>
      <c r="W71" s="47">
        <f>Subsurface_Inputs!$C$43</f>
        <v/>
      </c>
      <c r="X71" s="47">
        <f>Q71-W71</f>
        <v/>
      </c>
      <c r="Y71" s="47">
        <f>R71-W71</f>
        <v/>
      </c>
      <c r="Z71" s="47">
        <f>MAX(Q71,R71)-W71</f>
        <v/>
      </c>
      <c r="AA71" s="47" t="n">
        <v>0</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IF(R72&gt;=W72,"Likely visible","Weak")</f>
        <v/>
      </c>
      <c r="W72" s="47">
        <f>Subsurface_Inputs!$C$43</f>
        <v/>
      </c>
      <c r="X72" s="47">
        <f>Q72-W72</f>
        <v/>
      </c>
      <c r="Y72" s="47">
        <f>R72-W72</f>
        <v/>
      </c>
      <c r="Z72" s="47">
        <f>MAX(Q72,R72)-W72</f>
        <v/>
      </c>
      <c r="AA72" s="47" t="n">
        <v>0</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IF(R73&gt;=W73,"Likely visible","Weak")</f>
        <v/>
      </c>
      <c r="W73" s="47">
        <f>Subsurface_Inputs!$C$43</f>
        <v/>
      </c>
      <c r="X73" s="47">
        <f>Q73-W73</f>
        <v/>
      </c>
      <c r="Y73" s="47">
        <f>R73-W73</f>
        <v/>
      </c>
      <c r="Z73" s="47">
        <f>MAX(Q73,R73)-W73</f>
        <v/>
      </c>
      <c r="AA73" s="47" t="n">
        <v>0</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IF(R74&gt;=W74,"Likely visible","Weak")</f>
        <v/>
      </c>
      <c r="W74" s="47">
        <f>Subsurface_Inputs!$C$43</f>
        <v/>
      </c>
      <c r="X74" s="47">
        <f>Q74-W74</f>
        <v/>
      </c>
      <c r="Y74" s="47">
        <f>R74-W74</f>
        <v/>
      </c>
      <c r="Z74" s="47">
        <f>MAX(Q74,R74)-W74</f>
        <v/>
      </c>
      <c r="AA74" s="47" t="n">
        <v>0</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IF(R75&gt;=W75,"Likely visible","Weak")</f>
        <v/>
      </c>
      <c r="W75" s="47">
        <f>Subsurface_Inputs!$C$43</f>
        <v/>
      </c>
      <c r="X75" s="47">
        <f>Q75-W75</f>
        <v/>
      </c>
      <c r="Y75" s="47">
        <f>R75-W75</f>
        <v/>
      </c>
      <c r="Z75" s="47">
        <f>MAX(Q75,R75)-W75</f>
        <v/>
      </c>
      <c r="AA75" s="47" t="n">
        <v>0</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IF(R76&gt;=W76,"Likely visible","Weak")</f>
        <v/>
      </c>
      <c r="W76" s="47">
        <f>Subsurface_Inputs!$C$43</f>
        <v/>
      </c>
      <c r="X76" s="47">
        <f>Q76-W76</f>
        <v/>
      </c>
      <c r="Y76" s="47">
        <f>R76-W76</f>
        <v/>
      </c>
      <c r="Z76" s="47">
        <f>MAX(Q76,R76)-W76</f>
        <v/>
      </c>
      <c r="AA76" s="47" t="n">
        <v>0</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IF(R77&gt;=W77,"Likely visible","Weak")</f>
        <v/>
      </c>
      <c r="W77" s="47">
        <f>Subsurface_Inputs!$C$43</f>
        <v/>
      </c>
      <c r="X77" s="47">
        <f>Q77-W77</f>
        <v/>
      </c>
      <c r="Y77" s="47">
        <f>R77-W77</f>
        <v/>
      </c>
      <c r="Z77" s="47">
        <f>MAX(Q77,R77)-W77</f>
        <v/>
      </c>
      <c r="AA77" s="47" t="n">
        <v>0</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IF(R78&gt;=W78,"Likely visible","Weak")</f>
        <v/>
      </c>
      <c r="W78" s="47">
        <f>Subsurface_Inputs!$C$43</f>
        <v/>
      </c>
      <c r="X78" s="47">
        <f>Q78-W78</f>
        <v/>
      </c>
      <c r="Y78" s="47">
        <f>R78-W78</f>
        <v/>
      </c>
      <c r="Z78" s="47">
        <f>MAX(Q78,R78)-W78</f>
        <v/>
      </c>
      <c r="AA78" s="47" t="n">
        <v>0</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IF(R79&gt;=W79,"Likely visible","Weak")</f>
        <v/>
      </c>
      <c r="W79" s="47">
        <f>Subsurface_Inputs!$C$43</f>
        <v/>
      </c>
      <c r="X79" s="47">
        <f>Q79-W79</f>
        <v/>
      </c>
      <c r="Y79" s="47">
        <f>R79-W79</f>
        <v/>
      </c>
      <c r="Z79" s="47">
        <f>MAX(Q79,R79)-W79</f>
        <v/>
      </c>
      <c r="AA79" s="47" t="n">
        <v>0</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IF(R80&gt;=W80,"Likely visible","Weak")</f>
        <v/>
      </c>
      <c r="W80" s="47">
        <f>Subsurface_Inputs!$C$43</f>
        <v/>
      </c>
      <c r="X80" s="47">
        <f>Q80-W80</f>
        <v/>
      </c>
      <c r="Y80" s="47">
        <f>R80-W80</f>
        <v/>
      </c>
      <c r="Z80" s="47">
        <f>MAX(Q80,R80)-W80</f>
        <v/>
      </c>
      <c r="AA80" s="47" t="n">
        <v>0</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IF(R81&gt;=W81,"Likely visible","Weak")</f>
        <v/>
      </c>
      <c r="W81" s="47">
        <f>Subsurface_Inputs!$C$43</f>
        <v/>
      </c>
      <c r="X81" s="47">
        <f>Q81-W81</f>
        <v/>
      </c>
      <c r="Y81" s="47">
        <f>R81-W81</f>
        <v/>
      </c>
      <c r="Z81" s="47">
        <f>MAX(Q81,R81)-W81</f>
        <v/>
      </c>
      <c r="AA81" s="47" t="n">
        <v>0</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IF(R82&gt;=W82,"Likely visible","Weak")</f>
        <v/>
      </c>
      <c r="W82" s="47">
        <f>Subsurface_Inputs!$C$43</f>
        <v/>
      </c>
      <c r="X82" s="47">
        <f>Q82-W82</f>
        <v/>
      </c>
      <c r="Y82" s="47">
        <f>R82-W82</f>
        <v/>
      </c>
      <c r="Z82" s="47">
        <f>MAX(Q82,R82)-W82</f>
        <v/>
      </c>
      <c r="AA82" s="47" t="n">
        <v>0</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IF(R83&gt;=W83,"Likely visible","Weak")</f>
        <v/>
      </c>
      <c r="W83" s="47">
        <f>Subsurface_Inputs!$C$43</f>
        <v/>
      </c>
      <c r="X83" s="47">
        <f>Q83-W83</f>
        <v/>
      </c>
      <c r="Y83" s="47">
        <f>R83-W83</f>
        <v/>
      </c>
      <c r="Z83" s="47">
        <f>MAX(Q83,R83)-W83</f>
        <v/>
      </c>
      <c r="AA83" s="47" t="n">
        <v>0</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IF(R84&gt;=W84,"Likely visible","Weak")</f>
        <v/>
      </c>
      <c r="W84" s="47">
        <f>Subsurface_Inputs!$C$43</f>
        <v/>
      </c>
      <c r="X84" s="47">
        <f>Q84-W84</f>
        <v/>
      </c>
      <c r="Y84" s="47">
        <f>R84-W84</f>
        <v/>
      </c>
      <c r="Z84" s="47">
        <f>MAX(Q84,R84)-W84</f>
        <v/>
      </c>
      <c r="AA84" s="47" t="n">
        <v>0</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IF(R85&gt;=W85,"Likely visible","Weak")</f>
        <v/>
      </c>
      <c r="W85" s="47">
        <f>Subsurface_Inputs!$C$43</f>
        <v/>
      </c>
      <c r="X85" s="47">
        <f>Q85-W85</f>
        <v/>
      </c>
      <c r="Y85" s="47">
        <f>R85-W85</f>
        <v/>
      </c>
      <c r="Z85" s="47">
        <f>MAX(Q85,R85)-W85</f>
        <v/>
      </c>
      <c r="AA85" s="47" t="n">
        <v>0</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IF(R86&gt;=W86,"Likely visible","Weak")</f>
        <v/>
      </c>
      <c r="W86" s="47">
        <f>Subsurface_Inputs!$C$43</f>
        <v/>
      </c>
      <c r="X86" s="47">
        <f>Q86-W86</f>
        <v/>
      </c>
      <c r="Y86" s="47">
        <f>R86-W86</f>
        <v/>
      </c>
      <c r="Z86" s="47">
        <f>MAX(Q86,R86)-W86</f>
        <v/>
      </c>
      <c r="AA86" s="47" t="n">
        <v>0</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IF(R87&gt;=W87,"Likely visible","Weak")</f>
        <v/>
      </c>
      <c r="W87" s="47">
        <f>Subsurface_Inputs!$C$43</f>
        <v/>
      </c>
      <c r="X87" s="47">
        <f>Q87-W87</f>
        <v/>
      </c>
      <c r="Y87" s="47">
        <f>R87-W87</f>
        <v/>
      </c>
      <c r="Z87" s="47">
        <f>MAX(Q87,R87)-W87</f>
        <v/>
      </c>
      <c r="AA87" s="47" t="n">
        <v>0</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IF(R88&gt;=W88,"Likely visible","Weak")</f>
        <v/>
      </c>
      <c r="W88" s="47">
        <f>Subsurface_Inputs!$C$43</f>
        <v/>
      </c>
      <c r="X88" s="47">
        <f>Q88-W88</f>
        <v/>
      </c>
      <c r="Y88" s="47">
        <f>R88-W88</f>
        <v/>
      </c>
      <c r="Z88" s="47">
        <f>MAX(Q88,R88)-W88</f>
        <v/>
      </c>
      <c r="AA88" s="47" t="n">
        <v>0</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IF(R89&gt;=W89,"Likely visible","Weak")</f>
        <v/>
      </c>
      <c r="W89" s="47">
        <f>Subsurface_Inputs!$C$43</f>
        <v/>
      </c>
      <c r="X89" s="47">
        <f>Q89-W89</f>
        <v/>
      </c>
      <c r="Y89" s="47">
        <f>R89-W89</f>
        <v/>
      </c>
      <c r="Z89" s="47">
        <f>MAX(Q89,R89)-W89</f>
        <v/>
      </c>
      <c r="AA89" s="47" t="n">
        <v>0</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IF(R90&gt;=W90,"Likely visible","Weak")</f>
        <v/>
      </c>
      <c r="W90" s="47">
        <f>Subsurface_Inputs!$C$43</f>
        <v/>
      </c>
      <c r="X90" s="47">
        <f>Q90-W90</f>
        <v/>
      </c>
      <c r="Y90" s="47">
        <f>R90-W90</f>
        <v/>
      </c>
      <c r="Z90" s="47">
        <f>MAX(Q90,R90)-W90</f>
        <v/>
      </c>
      <c r="AA90" s="47" t="n">
        <v>0</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IF(R91&gt;=W91,"Likely visible","Weak")</f>
        <v/>
      </c>
      <c r="W91" s="47">
        <f>Subsurface_Inputs!$C$43</f>
        <v/>
      </c>
      <c r="X91" s="47">
        <f>Q91-W91</f>
        <v/>
      </c>
      <c r="Y91" s="47">
        <f>R91-W91</f>
        <v/>
      </c>
      <c r="Z91" s="47">
        <f>MAX(Q91,R91)-W91</f>
        <v/>
      </c>
      <c r="AA91" s="47" t="n">
        <v>0</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IF(R92&gt;=W92,"Likely visible","Weak")</f>
        <v/>
      </c>
      <c r="W92" s="47">
        <f>Subsurface_Inputs!$C$43</f>
        <v/>
      </c>
      <c r="X92" s="47">
        <f>Q92-W92</f>
        <v/>
      </c>
      <c r="Y92" s="47">
        <f>R92-W92</f>
        <v/>
      </c>
      <c r="Z92" s="47">
        <f>MAX(Q92,R92)-W92</f>
        <v/>
      </c>
      <c r="AA92" s="47" t="n">
        <v>0</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IF(R93&gt;=W93,"Likely visible","Weak")</f>
        <v/>
      </c>
      <c r="W93" s="47">
        <f>Subsurface_Inputs!$C$43</f>
        <v/>
      </c>
      <c r="X93" s="47">
        <f>Q93-W93</f>
        <v/>
      </c>
      <c r="Y93" s="47">
        <f>R93-W93</f>
        <v/>
      </c>
      <c r="Z93" s="47">
        <f>MAX(Q93,R93)-W93</f>
        <v/>
      </c>
      <c r="AA93" s="47" t="n">
        <v>0</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IF(R94&gt;=W94,"Likely visible","Weak")</f>
        <v/>
      </c>
      <c r="W94" s="47">
        <f>Subsurface_Inputs!$C$43</f>
        <v/>
      </c>
      <c r="X94" s="47">
        <f>Q94-W94</f>
        <v/>
      </c>
      <c r="Y94" s="47">
        <f>R94-W94</f>
        <v/>
      </c>
      <c r="Z94" s="47">
        <f>MAX(Q94,R94)-W94</f>
        <v/>
      </c>
      <c r="AA94" s="47" t="n">
        <v>0</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IF(R95&gt;=W95,"Likely visible","Weak")</f>
        <v/>
      </c>
      <c r="W95" s="47">
        <f>Subsurface_Inputs!$C$43</f>
        <v/>
      </c>
      <c r="X95" s="47">
        <f>Q95-W95</f>
        <v/>
      </c>
      <c r="Y95" s="47">
        <f>R95-W95</f>
        <v/>
      </c>
      <c r="Z95" s="47">
        <f>MAX(Q95,R95)-W95</f>
        <v/>
      </c>
      <c r="AA95" s="47" t="n">
        <v>0</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IF(R96&gt;=W96,"Likely visible","Weak")</f>
        <v/>
      </c>
      <c r="W96" s="47">
        <f>Subsurface_Inputs!$C$43</f>
        <v/>
      </c>
      <c r="X96" s="47">
        <f>Q96-W96</f>
        <v/>
      </c>
      <c r="Y96" s="47">
        <f>R96-W96</f>
        <v/>
      </c>
      <c r="Z96" s="47">
        <f>MAX(Q96,R96)-W96</f>
        <v/>
      </c>
      <c r="AA96" s="47" t="n">
        <v>0</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IF(R97&gt;=W97,"Likely visible","Weak")</f>
        <v/>
      </c>
      <c r="W97" s="47">
        <f>Subsurface_Inputs!$C$43</f>
        <v/>
      </c>
      <c r="X97" s="47">
        <f>Q97-W97</f>
        <v/>
      </c>
      <c r="Y97" s="47">
        <f>R97-W97</f>
        <v/>
      </c>
      <c r="Z97" s="47">
        <f>MAX(Q97,R97)-W97</f>
        <v/>
      </c>
      <c r="AA97" s="47" t="n">
        <v>0</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IF(R98&gt;=W98,"Likely visible","Weak")</f>
        <v/>
      </c>
      <c r="W98" s="47">
        <f>Subsurface_Inputs!$C$43</f>
        <v/>
      </c>
      <c r="X98" s="47">
        <f>Q98-W98</f>
        <v/>
      </c>
      <c r="Y98" s="47">
        <f>R98-W98</f>
        <v/>
      </c>
      <c r="Z98" s="47">
        <f>MAX(Q98,R98)-W98</f>
        <v/>
      </c>
      <c r="AA98" s="47" t="n">
        <v>0</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IF(R99&gt;=W99,"Likely visible","Weak")</f>
        <v/>
      </c>
      <c r="W99" s="47">
        <f>Subsurface_Inputs!$C$43</f>
        <v/>
      </c>
      <c r="X99" s="47">
        <f>Q99-W99</f>
        <v/>
      </c>
      <c r="Y99" s="47">
        <f>R99-W99</f>
        <v/>
      </c>
      <c r="Z99" s="47">
        <f>MAX(Q99,R99)-W99</f>
        <v/>
      </c>
      <c r="AA99" s="47" t="n">
        <v>0</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IF(R100&gt;=W100,"Likely visible","Weak")</f>
        <v/>
      </c>
      <c r="W100" s="47">
        <f>Subsurface_Inputs!$C$43</f>
        <v/>
      </c>
      <c r="X100" s="47">
        <f>Q100-W100</f>
        <v/>
      </c>
      <c r="Y100" s="47">
        <f>R100-W100</f>
        <v/>
      </c>
      <c r="Z100" s="47">
        <f>MAX(Q100,R100)-W100</f>
        <v/>
      </c>
      <c r="AA100" s="47" t="n">
        <v>0</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IF(R101&gt;=W101,"Likely visible","Weak")</f>
        <v/>
      </c>
      <c r="W101" s="47">
        <f>Subsurface_Inputs!$C$43</f>
        <v/>
      </c>
      <c r="X101" s="47">
        <f>Q101-W101</f>
        <v/>
      </c>
      <c r="Y101" s="47">
        <f>R101-W101</f>
        <v/>
      </c>
      <c r="Z101" s="47">
        <f>MAX(Q101,R101)-W101</f>
        <v/>
      </c>
      <c r="AA101" s="47" t="n">
        <v>0</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IF(R102&gt;=W102,"Likely visible","Weak")</f>
        <v/>
      </c>
      <c r="W102" s="47">
        <f>Subsurface_Inputs!$C$43</f>
        <v/>
      </c>
      <c r="X102" s="47">
        <f>Q102-W102</f>
        <v/>
      </c>
      <c r="Y102" s="47">
        <f>R102-W102</f>
        <v/>
      </c>
      <c r="Z102" s="47">
        <f>MAX(Q102,R102)-W102</f>
        <v/>
      </c>
      <c r="AA102" s="47" t="n">
        <v>0</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IF(R103&gt;=W103,"Likely visible","Weak")</f>
        <v/>
      </c>
      <c r="W103" s="47">
        <f>Subsurface_Inputs!$C$43</f>
        <v/>
      </c>
      <c r="X103" s="47">
        <f>Q103-W103</f>
        <v/>
      </c>
      <c r="Y103" s="47">
        <f>R103-W103</f>
        <v/>
      </c>
      <c r="Z103" s="47">
        <f>MAX(Q103,R103)-W103</f>
        <v/>
      </c>
      <c r="AA103" s="47" t="n">
        <v>0</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IF(R104&gt;=W104,"Likely visible","Weak")</f>
        <v/>
      </c>
      <c r="W104" s="47">
        <f>Subsurface_Inputs!$C$43</f>
        <v/>
      </c>
      <c r="X104" s="47">
        <f>Q104-W104</f>
        <v/>
      </c>
      <c r="Y104" s="47">
        <f>R104-W104</f>
        <v/>
      </c>
      <c r="Z104" s="47">
        <f>MAX(Q104,R104)-W104</f>
        <v/>
      </c>
      <c r="AA104" s="47" t="n">
        <v>0</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IF(R105&gt;=W105,"Likely visible","Weak")</f>
        <v/>
      </c>
      <c r="W105" s="47">
        <f>Subsurface_Inputs!$C$43</f>
        <v/>
      </c>
      <c r="X105" s="47">
        <f>Q105-W105</f>
        <v/>
      </c>
      <c r="Y105" s="47">
        <f>R105-W105</f>
        <v/>
      </c>
      <c r="Z105" s="47">
        <f>MAX(Q105,R105)-W105</f>
        <v/>
      </c>
      <c r="AA105" s="47" t="n">
        <v>0</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IF(R106&gt;=W106,"Likely visible","Weak")</f>
        <v/>
      </c>
      <c r="W106" s="47">
        <f>Subsurface_Inputs!$C$43</f>
        <v/>
      </c>
      <c r="X106" s="47">
        <f>Q106-W106</f>
        <v/>
      </c>
      <c r="Y106" s="47">
        <f>R106-W106</f>
        <v/>
      </c>
      <c r="Z106" s="47">
        <f>MAX(Q106,R106)-W106</f>
        <v/>
      </c>
      <c r="AA106" s="47" t="n">
        <v>0</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IF(R107&gt;=W107,"Likely visible","Weak")</f>
        <v/>
      </c>
      <c r="W107" s="47">
        <f>Subsurface_Inputs!$C$43</f>
        <v/>
      </c>
      <c r="X107" s="47">
        <f>Q107-W107</f>
        <v/>
      </c>
      <c r="Y107" s="47">
        <f>R107-W107</f>
        <v/>
      </c>
      <c r="Z107" s="47">
        <f>MAX(Q107,R107)-W107</f>
        <v/>
      </c>
      <c r="AA107" s="47" t="n">
        <v>0</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IF(R108&gt;=W108,"Likely visible","Weak")</f>
        <v/>
      </c>
      <c r="W108" s="47">
        <f>Subsurface_Inputs!$C$43</f>
        <v/>
      </c>
      <c r="X108" s="47">
        <f>Q108-W108</f>
        <v/>
      </c>
      <c r="Y108" s="47">
        <f>R108-W108</f>
        <v/>
      </c>
      <c r="Z108" s="47">
        <f>MAX(Q108,R108)-W108</f>
        <v/>
      </c>
      <c r="AA108" s="47" t="n">
        <v>0</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IF(R109&gt;=W109,"Likely visible","Weak")</f>
        <v/>
      </c>
      <c r="W109" s="47">
        <f>Subsurface_Inputs!$C$43</f>
        <v/>
      </c>
      <c r="X109" s="47">
        <f>Q109-W109</f>
        <v/>
      </c>
      <c r="Y109" s="47">
        <f>R109-W109</f>
        <v/>
      </c>
      <c r="Z109" s="47">
        <f>MAX(Q109,R109)-W109</f>
        <v/>
      </c>
      <c r="AA109" s="47" t="n">
        <v>0</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IF(R110&gt;=W110,"Likely visible","Weak")</f>
        <v/>
      </c>
      <c r="W110" s="47">
        <f>Subsurface_Inputs!$C$43</f>
        <v/>
      </c>
      <c r="X110" s="47">
        <f>Q110-W110</f>
        <v/>
      </c>
      <c r="Y110" s="47">
        <f>R110-W110</f>
        <v/>
      </c>
      <c r="Z110" s="47">
        <f>MAX(Q110,R110)-W110</f>
        <v/>
      </c>
      <c r="AA110" s="47" t="n">
        <v>0</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IF(R111&gt;=W111,"Likely visible","Weak")</f>
        <v/>
      </c>
      <c r="W111" s="47">
        <f>Subsurface_Inputs!$C$43</f>
        <v/>
      </c>
      <c r="X111" s="47">
        <f>Q111-W111</f>
        <v/>
      </c>
      <c r="Y111" s="47">
        <f>R111-W111</f>
        <v/>
      </c>
      <c r="Z111" s="47">
        <f>MAX(Q111,R111)-W111</f>
        <v/>
      </c>
      <c r="AA111" s="47" t="n">
        <v>0</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IF(R112&gt;=W112,"Likely visible","Weak")</f>
        <v/>
      </c>
      <c r="W112" s="47">
        <f>Subsurface_Inputs!$C$43</f>
        <v/>
      </c>
      <c r="X112" s="47">
        <f>Q112-W112</f>
        <v/>
      </c>
      <c r="Y112" s="47">
        <f>R112-W112</f>
        <v/>
      </c>
      <c r="Z112" s="47">
        <f>MAX(Q112,R112)-W112</f>
        <v/>
      </c>
      <c r="AA112" s="47" t="n">
        <v>0</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IF(R113&gt;=W113,"Likely visible","Weak")</f>
        <v/>
      </c>
      <c r="W113" s="47">
        <f>Subsurface_Inputs!$C$43</f>
        <v/>
      </c>
      <c r="X113" s="47">
        <f>Q113-W113</f>
        <v/>
      </c>
      <c r="Y113" s="47">
        <f>R113-W113</f>
        <v/>
      </c>
      <c r="Z113" s="47">
        <f>MAX(Q113,R113)-W113</f>
        <v/>
      </c>
      <c r="AA113" s="47" t="n">
        <v>0</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IF(R114&gt;=W114,"Likely visible","Weak")</f>
        <v/>
      </c>
      <c r="W114" s="47">
        <f>Subsurface_Inputs!$C$43</f>
        <v/>
      </c>
      <c r="X114" s="47">
        <f>Q114-W114</f>
        <v/>
      </c>
      <c r="Y114" s="47">
        <f>R114-W114</f>
        <v/>
      </c>
      <c r="Z114" s="47">
        <f>MAX(Q114,R114)-W114</f>
        <v/>
      </c>
      <c r="AA114" s="47" t="n">
        <v>0</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IF(R115&gt;=W115,"Likely visible","Weak")</f>
        <v/>
      </c>
      <c r="W115" s="47">
        <f>Subsurface_Inputs!$C$43</f>
        <v/>
      </c>
      <c r="X115" s="47">
        <f>Q115-W115</f>
        <v/>
      </c>
      <c r="Y115" s="47">
        <f>R115-W115</f>
        <v/>
      </c>
      <c r="Z115" s="47">
        <f>MAX(Q115,R115)-W115</f>
        <v/>
      </c>
      <c r="AA115" s="47" t="n">
        <v>0</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IF(R116&gt;=W116,"Likely visible","Weak")</f>
        <v/>
      </c>
      <c r="W116" s="47">
        <f>Subsurface_Inputs!$C$43</f>
        <v/>
      </c>
      <c r="X116" s="47">
        <f>Q116-W116</f>
        <v/>
      </c>
      <c r="Y116" s="47">
        <f>R116-W116</f>
        <v/>
      </c>
      <c r="Z116" s="47">
        <f>MAX(Q116,R116)-W116</f>
        <v/>
      </c>
      <c r="AA116" s="47" t="n">
        <v>0</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IF(R117&gt;=W117,"Likely visible","Weak")</f>
        <v/>
      </c>
      <c r="W117" s="47">
        <f>Subsurface_Inputs!$C$43</f>
        <v/>
      </c>
      <c r="X117" s="47">
        <f>Q117-W117</f>
        <v/>
      </c>
      <c r="Y117" s="47">
        <f>R117-W117</f>
        <v/>
      </c>
      <c r="Z117" s="47">
        <f>MAX(Q117,R117)-W117</f>
        <v/>
      </c>
      <c r="AA117" s="47" t="n">
        <v>0</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IF(R118&gt;=W118,"Likely visible","Weak")</f>
        <v/>
      </c>
      <c r="W118" s="47">
        <f>Subsurface_Inputs!$C$43</f>
        <v/>
      </c>
      <c r="X118" s="47">
        <f>Q118-W118</f>
        <v/>
      </c>
      <c r="Y118" s="47">
        <f>R118-W118</f>
        <v/>
      </c>
      <c r="Z118" s="47">
        <f>MAX(Q118,R118)-W118</f>
        <v/>
      </c>
      <c r="AA118" s="47" t="n">
        <v>0</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IF(R119&gt;=W119,"Likely visible","Weak")</f>
        <v/>
      </c>
      <c r="W119" s="47">
        <f>Subsurface_Inputs!$C$43</f>
        <v/>
      </c>
      <c r="X119" s="47">
        <f>Q119-W119</f>
        <v/>
      </c>
      <c r="Y119" s="47">
        <f>R119-W119</f>
        <v/>
      </c>
      <c r="Z119" s="47">
        <f>MAX(Q119,R119)-W119</f>
        <v/>
      </c>
      <c r="AA119" s="47" t="n">
        <v>0</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IF(R120&gt;=W120,"Likely visible","Weak")</f>
        <v/>
      </c>
      <c r="W120" s="47">
        <f>Subsurface_Inputs!$C$43</f>
        <v/>
      </c>
      <c r="X120" s="47">
        <f>Q120-W120</f>
        <v/>
      </c>
      <c r="Y120" s="47">
        <f>R120-W120</f>
        <v/>
      </c>
      <c r="Z120" s="47">
        <f>MAX(Q120,R120)-W120</f>
        <v/>
      </c>
      <c r="AA120" s="47" t="n">
        <v>0</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IF(R121&gt;=W121,"Likely visible","Weak")</f>
        <v/>
      </c>
      <c r="W121" s="47">
        <f>Subsurface_Inputs!$C$43</f>
        <v/>
      </c>
      <c r="X121" s="47">
        <f>Q121-W121</f>
        <v/>
      </c>
      <c r="Y121" s="47">
        <f>R121-W121</f>
        <v/>
      </c>
      <c r="Z121" s="47">
        <f>MAX(Q121,R121)-W121</f>
        <v/>
      </c>
      <c r="AA121" s="47" t="n">
        <v>0</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IF(R122&gt;=W122,"Likely visible","Weak")</f>
        <v/>
      </c>
      <c r="W122" s="47">
        <f>Subsurface_Inputs!$C$43</f>
        <v/>
      </c>
      <c r="X122" s="47">
        <f>Q122-W122</f>
        <v/>
      </c>
      <c r="Y122" s="47">
        <f>R122-W122</f>
        <v/>
      </c>
      <c r="Z122" s="47">
        <f>MAX(Q122,R122)-W122</f>
        <v/>
      </c>
      <c r="AA122" s="47" t="n">
        <v>0</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IF(R123&gt;=W123,"Likely visible","Weak")</f>
        <v/>
      </c>
      <c r="W123" s="47">
        <f>Subsurface_Inputs!$C$43</f>
        <v/>
      </c>
      <c r="X123" s="47">
        <f>Q123-W123</f>
        <v/>
      </c>
      <c r="Y123" s="47">
        <f>R123-W123</f>
        <v/>
      </c>
      <c r="Z123" s="47">
        <f>MAX(Q123,R123)-W123</f>
        <v/>
      </c>
      <c r="AA123" s="47" t="n">
        <v>0</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IF(R124&gt;=W124,"Likely visible","Weak")</f>
        <v/>
      </c>
      <c r="W124" s="47">
        <f>Subsurface_Inputs!$C$43</f>
        <v/>
      </c>
      <c r="X124" s="47">
        <f>Q124-W124</f>
        <v/>
      </c>
      <c r="Y124" s="47">
        <f>R124-W124</f>
        <v/>
      </c>
      <c r="Z124" s="47">
        <f>MAX(Q124,R124)-W124</f>
        <v/>
      </c>
      <c r="AA124" s="47" t="n">
        <v>0</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IF(R125&gt;=W125,"Likely visible","Weak")</f>
        <v/>
      </c>
      <c r="W125" s="47">
        <f>Subsurface_Inputs!$C$43</f>
        <v/>
      </c>
      <c r="X125" s="47">
        <f>Q125-W125</f>
        <v/>
      </c>
      <c r="Y125" s="47">
        <f>R125-W125</f>
        <v/>
      </c>
      <c r="Z125" s="47">
        <f>MAX(Q125,R125)-W125</f>
        <v/>
      </c>
      <c r="AA125" s="47" t="n">
        <v>0</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IF(R126&gt;=W126,"Likely visible","Weak")</f>
        <v/>
      </c>
      <c r="W126" s="47">
        <f>Subsurface_Inputs!$C$43</f>
        <v/>
      </c>
      <c r="X126" s="47">
        <f>Q126-W126</f>
        <v/>
      </c>
      <c r="Y126" s="47">
        <f>R126-W126</f>
        <v/>
      </c>
      <c r="Z126" s="47">
        <f>MAX(Q126,R126)-W126</f>
        <v/>
      </c>
      <c r="AA126" s="47" t="n">
        <v>0</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IF(R127&gt;=W127,"Likely visible","Weak")</f>
        <v/>
      </c>
      <c r="W127" s="47">
        <f>Subsurface_Inputs!$C$43</f>
        <v/>
      </c>
      <c r="X127" s="47">
        <f>Q127-W127</f>
        <v/>
      </c>
      <c r="Y127" s="47">
        <f>R127-W127</f>
        <v/>
      </c>
      <c r="Z127" s="47">
        <f>MAX(Q127,R127)-W127</f>
        <v/>
      </c>
      <c r="AA127" s="47" t="n">
        <v>0</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IF(R128&gt;=W128,"Likely visible","Weak")</f>
        <v/>
      </c>
      <c r="W128" s="47">
        <f>Subsurface_Inputs!$C$43</f>
        <v/>
      </c>
      <c r="X128" s="47">
        <f>Q128-W128</f>
        <v/>
      </c>
      <c r="Y128" s="47">
        <f>R128-W128</f>
        <v/>
      </c>
      <c r="Z128" s="47">
        <f>MAX(Q128,R128)-W128</f>
        <v/>
      </c>
      <c r="AA128" s="47" t="n">
        <v>0</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IF(R129&gt;=W129,"Likely visible","Weak")</f>
        <v/>
      </c>
      <c r="W129" s="47">
        <f>Subsurface_Inputs!$C$43</f>
        <v/>
      </c>
      <c r="X129" s="47">
        <f>Q129-W129</f>
        <v/>
      </c>
      <c r="Y129" s="47">
        <f>R129-W129</f>
        <v/>
      </c>
      <c r="Z129" s="47">
        <f>MAX(Q129,R129)-W129</f>
        <v/>
      </c>
      <c r="AA129" s="47" t="n">
        <v>0</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IF(R130&gt;=W130,"Likely visible","Weak")</f>
        <v/>
      </c>
      <c r="W130" s="47">
        <f>Subsurface_Inputs!$C$43</f>
        <v/>
      </c>
      <c r="X130" s="47">
        <f>Q130-W130</f>
        <v/>
      </c>
      <c r="Y130" s="47">
        <f>R130-W130</f>
        <v/>
      </c>
      <c r="Z130" s="47">
        <f>MAX(Q130,R130)-W130</f>
        <v/>
      </c>
      <c r="AA130" s="47" t="n">
        <v>0</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IF(R131&gt;=W131,"Likely visible","Weak")</f>
        <v/>
      </c>
      <c r="W131" s="47">
        <f>Subsurface_Inputs!$C$43</f>
        <v/>
      </c>
      <c r="X131" s="47">
        <f>Q131-W131</f>
        <v/>
      </c>
      <c r="Y131" s="47">
        <f>R131-W131</f>
        <v/>
      </c>
      <c r="Z131" s="47">
        <f>MAX(Q131,R131)-W131</f>
        <v/>
      </c>
      <c r="AA131" s="47" t="n">
        <v>0</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IF(R132&gt;=W132,"Likely visible","Weak")</f>
        <v/>
      </c>
      <c r="W132" s="47">
        <f>Subsurface_Inputs!$C$43</f>
        <v/>
      </c>
      <c r="X132" s="47">
        <f>Q132-W132</f>
        <v/>
      </c>
      <c r="Y132" s="47">
        <f>R132-W132</f>
        <v/>
      </c>
      <c r="Z132" s="47">
        <f>MAX(Q132,R132)-W132</f>
        <v/>
      </c>
      <c r="AA132" s="47" t="n">
        <v>0</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IF(R133&gt;=W133,"Likely visible","Weak")</f>
        <v/>
      </c>
      <c r="W133" s="47">
        <f>Subsurface_Inputs!$C$43</f>
        <v/>
      </c>
      <c r="X133" s="47">
        <f>Q133-W133</f>
        <v/>
      </c>
      <c r="Y133" s="47">
        <f>R133-W133</f>
        <v/>
      </c>
      <c r="Z133" s="47">
        <f>MAX(Q133,R133)-W133</f>
        <v/>
      </c>
      <c r="AA133" s="47" t="n">
        <v>0</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IF(R134&gt;=W134,"Likely visible","Weak")</f>
        <v/>
      </c>
      <c r="W134" s="47">
        <f>Subsurface_Inputs!$C$43</f>
        <v/>
      </c>
      <c r="X134" s="47">
        <f>Q134-W134</f>
        <v/>
      </c>
      <c r="Y134" s="47">
        <f>R134-W134</f>
        <v/>
      </c>
      <c r="Z134" s="47">
        <f>MAX(Q134,R134)-W134</f>
        <v/>
      </c>
      <c r="AA134" s="47" t="n">
        <v>0</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IF(R135&gt;=W135,"Likely visible","Weak")</f>
        <v/>
      </c>
      <c r="W135" s="47">
        <f>Subsurface_Inputs!$C$43</f>
        <v/>
      </c>
      <c r="X135" s="47">
        <f>Q135-W135</f>
        <v/>
      </c>
      <c r="Y135" s="47">
        <f>R135-W135</f>
        <v/>
      </c>
      <c r="Z135" s="47">
        <f>MAX(Q135,R135)-W135</f>
        <v/>
      </c>
      <c r="AA135" s="47" t="n">
        <v>0</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IF(R136&gt;=W136,"Likely visible","Weak")</f>
        <v/>
      </c>
      <c r="W136" s="47">
        <f>Subsurface_Inputs!$C$43</f>
        <v/>
      </c>
      <c r="X136" s="47">
        <f>Q136-W136</f>
        <v/>
      </c>
      <c r="Y136" s="47">
        <f>R136-W136</f>
        <v/>
      </c>
      <c r="Z136" s="47">
        <f>MAX(Q136,R136)-W136</f>
        <v/>
      </c>
      <c r="AA136" s="47" t="n">
        <v>0</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IF(R137&gt;=W137,"Likely visible","Weak")</f>
        <v/>
      </c>
      <c r="W137" s="47">
        <f>Subsurface_Inputs!$C$43</f>
        <v/>
      </c>
      <c r="X137" s="47">
        <f>Q137-W137</f>
        <v/>
      </c>
      <c r="Y137" s="47">
        <f>R137-W137</f>
        <v/>
      </c>
      <c r="Z137" s="47">
        <f>MAX(Q137,R137)-W137</f>
        <v/>
      </c>
      <c r="AA137" s="47" t="n">
        <v>0</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IF(R138&gt;=W138,"Likely visible","Weak")</f>
        <v/>
      </c>
      <c r="W138" s="47">
        <f>Subsurface_Inputs!$C$43</f>
        <v/>
      </c>
      <c r="X138" s="47">
        <f>Q138-W138</f>
        <v/>
      </c>
      <c r="Y138" s="47">
        <f>R138-W138</f>
        <v/>
      </c>
      <c r="Z138" s="47">
        <f>MAX(Q138,R138)-W138</f>
        <v/>
      </c>
      <c r="AA138" s="47" t="n">
        <v>0</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IF(R139&gt;=W139,"Likely visible","Weak")</f>
        <v/>
      </c>
      <c r="W139" s="47">
        <f>Subsurface_Inputs!$C$43</f>
        <v/>
      </c>
      <c r="X139" s="47">
        <f>Q139-W139</f>
        <v/>
      </c>
      <c r="Y139" s="47">
        <f>R139-W139</f>
        <v/>
      </c>
      <c r="Z139" s="47">
        <f>MAX(Q139,R139)-W139</f>
        <v/>
      </c>
      <c r="AA139" s="47" t="n">
        <v>0</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IF(R140&gt;=W140,"Likely visible","Weak")</f>
        <v/>
      </c>
      <c r="W140" s="47">
        <f>Subsurface_Inputs!$C$43</f>
        <v/>
      </c>
      <c r="X140" s="47">
        <f>Q140-W140</f>
        <v/>
      </c>
      <c r="Y140" s="47">
        <f>R140-W140</f>
        <v/>
      </c>
      <c r="Z140" s="47">
        <f>MAX(Q140,R140)-W140</f>
        <v/>
      </c>
      <c r="AA140" s="47" t="n">
        <v>0</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IF(R141&gt;=W141,"Likely visible","Weak")</f>
        <v/>
      </c>
      <c r="W141" s="47">
        <f>Subsurface_Inputs!$C$43</f>
        <v/>
      </c>
      <c r="X141" s="47">
        <f>Q141-W141</f>
        <v/>
      </c>
      <c r="Y141" s="47">
        <f>R141-W141</f>
        <v/>
      </c>
      <c r="Z141" s="47">
        <f>MAX(Q141,R141)-W141</f>
        <v/>
      </c>
      <c r="AA141" s="47" t="n">
        <v>0</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IF(R142&gt;=W142,"Likely visible","Weak")</f>
        <v/>
      </c>
      <c r="W142" s="47">
        <f>Subsurface_Inputs!$C$43</f>
        <v/>
      </c>
      <c r="X142" s="47">
        <f>Q142-W142</f>
        <v/>
      </c>
      <c r="Y142" s="47">
        <f>R142-W142</f>
        <v/>
      </c>
      <c r="Z142" s="47">
        <f>MAX(Q142,R142)-W142</f>
        <v/>
      </c>
      <c r="AA142" s="47" t="n">
        <v>0</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IF(R143&gt;=W143,"Likely visible","Weak")</f>
        <v/>
      </c>
      <c r="W143" s="47">
        <f>Subsurface_Inputs!$C$43</f>
        <v/>
      </c>
      <c r="X143" s="47">
        <f>Q143-W143</f>
        <v/>
      </c>
      <c r="Y143" s="47">
        <f>R143-W143</f>
        <v/>
      </c>
      <c r="Z143" s="47">
        <f>MAX(Q143,R143)-W143</f>
        <v/>
      </c>
      <c r="AA143" s="47" t="n">
        <v>0</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IF(R144&gt;=W144,"Likely visible","Weak")</f>
        <v/>
      </c>
      <c r="W144" s="47">
        <f>Subsurface_Inputs!$C$43</f>
        <v/>
      </c>
      <c r="X144" s="47">
        <f>Q144-W144</f>
        <v/>
      </c>
      <c r="Y144" s="47">
        <f>R144-W144</f>
        <v/>
      </c>
      <c r="Z144" s="47">
        <f>MAX(Q144,R144)-W144</f>
        <v/>
      </c>
      <c r="AA144" s="47" t="n">
        <v>0</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IF(R145&gt;=W145,"Likely visible","Weak")</f>
        <v/>
      </c>
      <c r="W145" s="47">
        <f>Subsurface_Inputs!$C$43</f>
        <v/>
      </c>
      <c r="X145" s="47">
        <f>Q145-W145</f>
        <v/>
      </c>
      <c r="Y145" s="47">
        <f>R145-W145</f>
        <v/>
      </c>
      <c r="Z145" s="47">
        <f>MAX(Q145,R145)-W145</f>
        <v/>
      </c>
      <c r="AA145" s="47" t="n">
        <v>0</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IF(R146&gt;=W146,"Likely visible","Weak")</f>
        <v/>
      </c>
      <c r="W146" s="47">
        <f>Subsurface_Inputs!$C$43</f>
        <v/>
      </c>
      <c r="X146" s="47">
        <f>Q146-W146</f>
        <v/>
      </c>
      <c r="Y146" s="47">
        <f>R146-W146</f>
        <v/>
      </c>
      <c r="Z146" s="47">
        <f>MAX(Q146,R146)-W146</f>
        <v/>
      </c>
      <c r="AA146" s="47" t="n">
        <v>0</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IF(R147&gt;=W147,"Likely visible","Weak")</f>
        <v/>
      </c>
      <c r="W147" s="47">
        <f>Subsurface_Inputs!$C$43</f>
        <v/>
      </c>
      <c r="X147" s="47">
        <f>Q147-W147</f>
        <v/>
      </c>
      <c r="Y147" s="47">
        <f>R147-W147</f>
        <v/>
      </c>
      <c r="Z147" s="47">
        <f>MAX(Q147,R147)-W147</f>
        <v/>
      </c>
      <c r="AA147" s="47" t="n">
        <v>0</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IF(R148&gt;=W148,"Likely visible","Weak")</f>
        <v/>
      </c>
      <c r="W148" s="47">
        <f>Subsurface_Inputs!$C$43</f>
        <v/>
      </c>
      <c r="X148" s="47">
        <f>Q148-W148</f>
        <v/>
      </c>
      <c r="Y148" s="47">
        <f>R148-W148</f>
        <v/>
      </c>
      <c r="Z148" s="47">
        <f>MAX(Q148,R148)-W148</f>
        <v/>
      </c>
      <c r="AA148" s="47" t="n">
        <v>0</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IF(R149&gt;=W149,"Likely visible","Weak")</f>
        <v/>
      </c>
      <c r="W149" s="47">
        <f>Subsurface_Inputs!$C$43</f>
        <v/>
      </c>
      <c r="X149" s="47">
        <f>Q149-W149</f>
        <v/>
      </c>
      <c r="Y149" s="47">
        <f>R149-W149</f>
        <v/>
      </c>
      <c r="Z149" s="47">
        <f>MAX(Q149,R149)-W149</f>
        <v/>
      </c>
      <c r="AA149" s="47" t="n">
        <v>0</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IF(R150&gt;=W150,"Likely visible","Weak")</f>
        <v/>
      </c>
      <c r="W150" s="47">
        <f>Subsurface_Inputs!$C$43</f>
        <v/>
      </c>
      <c r="X150" s="47">
        <f>Q150-W150</f>
        <v/>
      </c>
      <c r="Y150" s="47">
        <f>R150-W150</f>
        <v/>
      </c>
      <c r="Z150" s="47">
        <f>MAX(Q150,R150)-W150</f>
        <v/>
      </c>
      <c r="AA150" s="47" t="n">
        <v>0</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IF(R151&gt;=W151,"Likely visible","Weak")</f>
        <v/>
      </c>
      <c r="W151" s="47">
        <f>Subsurface_Inputs!$C$43</f>
        <v/>
      </c>
      <c r="X151" s="47">
        <f>Q151-W151</f>
        <v/>
      </c>
      <c r="Y151" s="47">
        <f>R151-W151</f>
        <v/>
      </c>
      <c r="Z151" s="47">
        <f>MAX(Q151,R151)-W151</f>
        <v/>
      </c>
      <c r="AA151" s="47" t="n">
        <v>0</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IF(R152&gt;=W152,"Likely visible","Weak")</f>
        <v/>
      </c>
      <c r="W152" s="47">
        <f>Subsurface_Inputs!$C$43</f>
        <v/>
      </c>
      <c r="X152" s="47">
        <f>Q152-W152</f>
        <v/>
      </c>
      <c r="Y152" s="47">
        <f>R152-W152</f>
        <v/>
      </c>
      <c r="Z152" s="47">
        <f>MAX(Q152,R152)-W152</f>
        <v/>
      </c>
      <c r="AA152" s="47" t="n">
        <v>0</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IF(R153&gt;=W153,"Likely visible","Weak")</f>
        <v/>
      </c>
      <c r="W153" s="47">
        <f>Subsurface_Inputs!$C$43</f>
        <v/>
      </c>
      <c r="X153" s="47">
        <f>Q153-W153</f>
        <v/>
      </c>
      <c r="Y153" s="47">
        <f>R153-W153</f>
        <v/>
      </c>
      <c r="Z153" s="47">
        <f>MAX(Q153,R153)-W153</f>
        <v/>
      </c>
      <c r="AA153" s="47" t="n">
        <v>0</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IF(R154&gt;=W154,"Likely visible","Weak")</f>
        <v/>
      </c>
      <c r="W154" s="47">
        <f>Subsurface_Inputs!$C$43</f>
        <v/>
      </c>
      <c r="X154" s="47">
        <f>Q154-W154</f>
        <v/>
      </c>
      <c r="Y154" s="47">
        <f>R154-W154</f>
        <v/>
      </c>
      <c r="Z154" s="47">
        <f>MAX(Q154,R154)-W154</f>
        <v/>
      </c>
      <c r="AA154" s="47" t="n">
        <v>0</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IF(R155&gt;=W155,"Likely visible","Weak")</f>
        <v/>
      </c>
      <c r="W155" s="47">
        <f>Subsurface_Inputs!$C$43</f>
        <v/>
      </c>
      <c r="X155" s="47">
        <f>Q155-W155</f>
        <v/>
      </c>
      <c r="Y155" s="47">
        <f>R155-W155</f>
        <v/>
      </c>
      <c r="Z155" s="47">
        <f>MAX(Q155,R155)-W155</f>
        <v/>
      </c>
      <c r="AA155" s="47" t="n">
        <v>0</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IF(R156&gt;=W156,"Likely visible","Weak")</f>
        <v/>
      </c>
      <c r="W156" s="47">
        <f>Subsurface_Inputs!$C$43</f>
        <v/>
      </c>
      <c r="X156" s="47">
        <f>Q156-W156</f>
        <v/>
      </c>
      <c r="Y156" s="47">
        <f>R156-W156</f>
        <v/>
      </c>
      <c r="Z156" s="47">
        <f>MAX(Q156,R156)-W156</f>
        <v/>
      </c>
      <c r="AA156" s="47" t="n">
        <v>0</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IF(R157&gt;=W157,"Likely visible","Weak")</f>
        <v/>
      </c>
      <c r="W157" s="47">
        <f>Subsurface_Inputs!$C$43</f>
        <v/>
      </c>
      <c r="X157" s="47">
        <f>Q157-W157</f>
        <v/>
      </c>
      <c r="Y157" s="47">
        <f>R157-W157</f>
        <v/>
      </c>
      <c r="Z157" s="47">
        <f>MAX(Q157,R157)-W157</f>
        <v/>
      </c>
      <c r="AA157" s="47" t="n">
        <v>0</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IF(R158&gt;=W158,"Likely visible","Weak")</f>
        <v/>
      </c>
      <c r="W158" s="47">
        <f>Subsurface_Inputs!$C$43</f>
        <v/>
      </c>
      <c r="X158" s="47">
        <f>Q158-W158</f>
        <v/>
      </c>
      <c r="Y158" s="47">
        <f>R158-W158</f>
        <v/>
      </c>
      <c r="Z158" s="47">
        <f>MAX(Q158,R158)-W158</f>
        <v/>
      </c>
      <c r="AA158" s="47" t="n">
        <v>0</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IF(R159&gt;=W159,"Likely visible","Weak")</f>
        <v/>
      </c>
      <c r="W159" s="47">
        <f>Subsurface_Inputs!$C$43</f>
        <v/>
      </c>
      <c r="X159" s="47">
        <f>Q159-W159</f>
        <v/>
      </c>
      <c r="Y159" s="47">
        <f>R159-W159</f>
        <v/>
      </c>
      <c r="Z159" s="47">
        <f>MAX(Q159,R159)-W159</f>
        <v/>
      </c>
      <c r="AA159" s="47" t="n">
        <v>0</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IF(R160&gt;=W160,"Likely visible","Weak")</f>
        <v/>
      </c>
      <c r="W160" s="47">
        <f>Subsurface_Inputs!$C$43</f>
        <v/>
      </c>
      <c r="X160" s="47">
        <f>Q160-W160</f>
        <v/>
      </c>
      <c r="Y160" s="47">
        <f>R160-W160</f>
        <v/>
      </c>
      <c r="Z160" s="47">
        <f>MAX(Q160,R160)-W160</f>
        <v/>
      </c>
      <c r="AA160" s="47" t="n">
        <v>0</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IF(R161&gt;=W161,"Likely visible","Weak")</f>
        <v/>
      </c>
      <c r="W161" s="47">
        <f>Subsurface_Inputs!$C$43</f>
        <v/>
      </c>
      <c r="X161" s="47">
        <f>Q161-W161</f>
        <v/>
      </c>
      <c r="Y161" s="47">
        <f>R161-W161</f>
        <v/>
      </c>
      <c r="Z161" s="47">
        <f>MAX(Q161,R161)-W161</f>
        <v/>
      </c>
      <c r="AA161" s="47" t="n">
        <v>0</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IF(R162&gt;=W162,"Likely visible","Weak")</f>
        <v/>
      </c>
      <c r="W162" s="47">
        <f>Subsurface_Inputs!$C$43</f>
        <v/>
      </c>
      <c r="X162" s="47">
        <f>Q162-W162</f>
        <v/>
      </c>
      <c r="Y162" s="47">
        <f>R162-W162</f>
        <v/>
      </c>
      <c r="Z162" s="47">
        <f>MAX(Q162,R162)-W162</f>
        <v/>
      </c>
      <c r="AA162" s="47" t="n">
        <v>0</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IF(R163&gt;=W163,"Likely visible","Weak")</f>
        <v/>
      </c>
      <c r="W163" s="47">
        <f>Subsurface_Inputs!$C$43</f>
        <v/>
      </c>
      <c r="X163" s="47">
        <f>Q163-W163</f>
        <v/>
      </c>
      <c r="Y163" s="47">
        <f>R163-W163</f>
        <v/>
      </c>
      <c r="Z163" s="47">
        <f>MAX(Q163,R163)-W163</f>
        <v/>
      </c>
      <c r="AA163" s="47" t="n">
        <v>0</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IF(R164&gt;=W164,"Likely visible","Weak")</f>
        <v/>
      </c>
      <c r="W164" s="47">
        <f>Subsurface_Inputs!$C$43</f>
        <v/>
      </c>
      <c r="X164" s="47">
        <f>Q164-W164</f>
        <v/>
      </c>
      <c r="Y164" s="47">
        <f>R164-W164</f>
        <v/>
      </c>
      <c r="Z164" s="47">
        <f>MAX(Q164,R164)-W164</f>
        <v/>
      </c>
      <c r="AA164" s="47" t="n">
        <v>0</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IF(R165&gt;=W165,"Likely visible","Weak")</f>
        <v/>
      </c>
      <c r="W165" s="47">
        <f>Subsurface_Inputs!$C$43</f>
        <v/>
      </c>
      <c r="X165" s="47">
        <f>Q165-W165</f>
        <v/>
      </c>
      <c r="Y165" s="47">
        <f>R165-W165</f>
        <v/>
      </c>
      <c r="Z165" s="47">
        <f>MAX(Q165,R165)-W165</f>
        <v/>
      </c>
      <c r="AA165" s="47" t="n">
        <v>0</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IF(R166&gt;=W166,"Likely visible","Weak")</f>
        <v/>
      </c>
      <c r="W166" s="47">
        <f>Subsurface_Inputs!$C$43</f>
        <v/>
      </c>
      <c r="X166" s="47">
        <f>Q166-W166</f>
        <v/>
      </c>
      <c r="Y166" s="47">
        <f>R166-W166</f>
        <v/>
      </c>
      <c r="Z166" s="47">
        <f>MAX(Q166,R166)-W166</f>
        <v/>
      </c>
      <c r="AA166" s="47" t="n">
        <v>0</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IF(R167&gt;=W167,"Likely visible","Weak")</f>
        <v/>
      </c>
      <c r="W167" s="47">
        <f>Subsurface_Inputs!$C$43</f>
        <v/>
      </c>
      <c r="X167" s="47">
        <f>Q167-W167</f>
        <v/>
      </c>
      <c r="Y167" s="47">
        <f>R167-W167</f>
        <v/>
      </c>
      <c r="Z167" s="47">
        <f>MAX(Q167,R167)-W167</f>
        <v/>
      </c>
      <c r="AA167" s="47" t="n">
        <v>0</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IF(R168&gt;=W168,"Likely visible","Weak")</f>
        <v/>
      </c>
      <c r="W168" s="47">
        <f>Subsurface_Inputs!$C$43</f>
        <v/>
      </c>
      <c r="X168" s="47">
        <f>Q168-W168</f>
        <v/>
      </c>
      <c r="Y168" s="47">
        <f>R168-W168</f>
        <v/>
      </c>
      <c r="Z168" s="47">
        <f>MAX(Q168,R168)-W168</f>
        <v/>
      </c>
      <c r="AA168" s="47" t="n">
        <v>0</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IF(R169&gt;=W169,"Likely visible","Weak")</f>
        <v/>
      </c>
      <c r="W169" s="47">
        <f>Subsurface_Inputs!$C$43</f>
        <v/>
      </c>
      <c r="X169" s="47">
        <f>Q169-W169</f>
        <v/>
      </c>
      <c r="Y169" s="47">
        <f>R169-W169</f>
        <v/>
      </c>
      <c r="Z169" s="47">
        <f>MAX(Q169,R169)-W169</f>
        <v/>
      </c>
      <c r="AA169" s="47" t="n">
        <v>0</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IF(R170&gt;=W170,"Likely visible","Weak")</f>
        <v/>
      </c>
      <c r="W170" s="47">
        <f>Subsurface_Inputs!$C$43</f>
        <v/>
      </c>
      <c r="X170" s="47">
        <f>Q170-W170</f>
        <v/>
      </c>
      <c r="Y170" s="47">
        <f>R170-W170</f>
        <v/>
      </c>
      <c r="Z170" s="47">
        <f>MAX(Q170,R170)-W170</f>
        <v/>
      </c>
      <c r="AA170" s="47" t="n">
        <v>0</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IF(R171&gt;=W171,"Likely visible","Weak")</f>
        <v/>
      </c>
      <c r="W171" s="47">
        <f>Subsurface_Inputs!$C$43</f>
        <v/>
      </c>
      <c r="X171" s="47">
        <f>Q171-W171</f>
        <v/>
      </c>
      <c r="Y171" s="47">
        <f>R171-W171</f>
        <v/>
      </c>
      <c r="Z171" s="47">
        <f>MAX(Q171,R171)-W171</f>
        <v/>
      </c>
      <c r="AA171" s="47" t="n">
        <v>0</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IF(R172&gt;=W172,"Likely visible","Weak")</f>
        <v/>
      </c>
      <c r="W172" s="47">
        <f>Subsurface_Inputs!$C$43</f>
        <v/>
      </c>
      <c r="X172" s="47">
        <f>Q172-W172</f>
        <v/>
      </c>
      <c r="Y172" s="47">
        <f>R172-W172</f>
        <v/>
      </c>
      <c r="Z172" s="47">
        <f>MAX(Q172,R172)-W172</f>
        <v/>
      </c>
      <c r="AA172" s="47" t="n">
        <v>0</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IF(R173&gt;=W173,"Likely visible","Weak")</f>
        <v/>
      </c>
      <c r="W173" s="47">
        <f>Subsurface_Inputs!$C$43</f>
        <v/>
      </c>
      <c r="X173" s="47">
        <f>Q173-W173</f>
        <v/>
      </c>
      <c r="Y173" s="47">
        <f>R173-W173</f>
        <v/>
      </c>
      <c r="Z173" s="47">
        <f>MAX(Q173,R173)-W173</f>
        <v/>
      </c>
      <c r="AA173" s="47" t="n">
        <v>0</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IF(R174&gt;=W174,"Likely visible","Weak")</f>
        <v/>
      </c>
      <c r="W174" s="47">
        <f>Subsurface_Inputs!$C$43</f>
        <v/>
      </c>
      <c r="X174" s="47">
        <f>Q174-W174</f>
        <v/>
      </c>
      <c r="Y174" s="47">
        <f>R174-W174</f>
        <v/>
      </c>
      <c r="Z174" s="47">
        <f>MAX(Q174,R174)-W174</f>
        <v/>
      </c>
      <c r="AA174" s="47" t="n">
        <v>0</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IF(R175&gt;=W175,"Likely visible","Weak")</f>
        <v/>
      </c>
      <c r="W175" s="47">
        <f>Subsurface_Inputs!$C$43</f>
        <v/>
      </c>
      <c r="X175" s="47">
        <f>Q175-W175</f>
        <v/>
      </c>
      <c r="Y175" s="47">
        <f>R175-W175</f>
        <v/>
      </c>
      <c r="Z175" s="47">
        <f>MAX(Q175,R175)-W175</f>
        <v/>
      </c>
      <c r="AA175" s="47" t="n">
        <v>0</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IF(R176&gt;=W176,"Likely visible","Weak")</f>
        <v/>
      </c>
      <c r="W176" s="47">
        <f>Subsurface_Inputs!$C$43</f>
        <v/>
      </c>
      <c r="X176" s="47">
        <f>Q176-W176</f>
        <v/>
      </c>
      <c r="Y176" s="47">
        <f>R176-W176</f>
        <v/>
      </c>
      <c r="Z176" s="47">
        <f>MAX(Q176,R176)-W176</f>
        <v/>
      </c>
      <c r="AA176" s="47" t="n">
        <v>0</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IF(R177&gt;=W177,"Likely visible","Weak")</f>
        <v/>
      </c>
      <c r="W177" s="47">
        <f>Subsurface_Inputs!$C$43</f>
        <v/>
      </c>
      <c r="X177" s="47">
        <f>Q177-W177</f>
        <v/>
      </c>
      <c r="Y177" s="47">
        <f>R177-W177</f>
        <v/>
      </c>
      <c r="Z177" s="47">
        <f>MAX(Q177,R177)-W177</f>
        <v/>
      </c>
      <c r="AA177" s="47" t="n">
        <v>0</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IF(R178&gt;=W178,"Likely visible","Weak")</f>
        <v/>
      </c>
      <c r="W178" s="47">
        <f>Subsurface_Inputs!$C$43</f>
        <v/>
      </c>
      <c r="X178" s="47">
        <f>Q178-W178</f>
        <v/>
      </c>
      <c r="Y178" s="47">
        <f>R178-W178</f>
        <v/>
      </c>
      <c r="Z178" s="47">
        <f>MAX(Q178,R178)-W178</f>
        <v/>
      </c>
      <c r="AA178" s="47" t="n">
        <v>0</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IF(R179&gt;=W179,"Likely visible","Weak")</f>
        <v/>
      </c>
      <c r="W179" s="47">
        <f>Subsurface_Inputs!$C$43</f>
        <v/>
      </c>
      <c r="X179" s="47">
        <f>Q179-W179</f>
        <v/>
      </c>
      <c r="Y179" s="47">
        <f>R179-W179</f>
        <v/>
      </c>
      <c r="Z179" s="47">
        <f>MAX(Q179,R179)-W179</f>
        <v/>
      </c>
      <c r="AA179" s="47" t="n">
        <v>0</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IF(R180&gt;=W180,"Likely visible","Weak")</f>
        <v/>
      </c>
      <c r="W180" s="47">
        <f>Subsurface_Inputs!$C$43</f>
        <v/>
      </c>
      <c r="X180" s="47">
        <f>Q180-W180</f>
        <v/>
      </c>
      <c r="Y180" s="47">
        <f>R180-W180</f>
        <v/>
      </c>
      <c r="Z180" s="47">
        <f>MAX(Q180,R180)-W180</f>
        <v/>
      </c>
      <c r="AA180" s="47" t="n">
        <v>0</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IF(R181&gt;=W181,"Likely visible","Weak")</f>
        <v/>
      </c>
      <c r="W181" s="47">
        <f>Subsurface_Inputs!$C$43</f>
        <v/>
      </c>
      <c r="X181" s="47">
        <f>Q181-W181</f>
        <v/>
      </c>
      <c r="Y181" s="47">
        <f>R181-W181</f>
        <v/>
      </c>
      <c r="Z181" s="47">
        <f>MAX(Q181,R181)-W181</f>
        <v/>
      </c>
      <c r="AA181" s="47" t="n">
        <v>0</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IF(R182&gt;=W182,"Likely visible","Weak")</f>
        <v/>
      </c>
      <c r="W182" s="47">
        <f>Subsurface_Inputs!$C$43</f>
        <v/>
      </c>
      <c r="X182" s="47">
        <f>Q182-W182</f>
        <v/>
      </c>
      <c r="Y182" s="47">
        <f>R182-W182</f>
        <v/>
      </c>
      <c r="Z182" s="47">
        <f>MAX(Q182,R182)-W182</f>
        <v/>
      </c>
      <c r="AA182" s="47" t="n">
        <v>0</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IF(R183&gt;=W183,"Likely visible","Weak")</f>
        <v/>
      </c>
      <c r="W183" s="47">
        <f>Subsurface_Inputs!$C$43</f>
        <v/>
      </c>
      <c r="X183" s="47">
        <f>Q183-W183</f>
        <v/>
      </c>
      <c r="Y183" s="47">
        <f>R183-W183</f>
        <v/>
      </c>
      <c r="Z183" s="47">
        <f>MAX(Q183,R183)-W183</f>
        <v/>
      </c>
      <c r="AA183" s="47" t="n">
        <v>0</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IF(R184&gt;=W184,"Likely visible","Weak")</f>
        <v/>
      </c>
      <c r="W184" s="47">
        <f>Subsurface_Inputs!$C$43</f>
        <v/>
      </c>
      <c r="X184" s="47">
        <f>Q184-W184</f>
        <v/>
      </c>
      <c r="Y184" s="47">
        <f>R184-W184</f>
        <v/>
      </c>
      <c r="Z184" s="47">
        <f>MAX(Q184,R184)-W184</f>
        <v/>
      </c>
      <c r="AA184" s="47" t="n">
        <v>0</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IF(R185&gt;=W185,"Likely visible","Weak")</f>
        <v/>
      </c>
      <c r="W185" s="47">
        <f>Subsurface_Inputs!$C$43</f>
        <v/>
      </c>
      <c r="X185" s="47">
        <f>Q185-W185</f>
        <v/>
      </c>
      <c r="Y185" s="47">
        <f>R185-W185</f>
        <v/>
      </c>
      <c r="Z185" s="47">
        <f>MAX(Q185,R185)-W185</f>
        <v/>
      </c>
      <c r="AA185" s="47" t="n">
        <v>0</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IF(R186&gt;=W186,"Likely visible","Weak")</f>
        <v/>
      </c>
      <c r="W186" s="47">
        <f>Subsurface_Inputs!$C$43</f>
        <v/>
      </c>
      <c r="X186" s="47">
        <f>Q186-W186</f>
        <v/>
      </c>
      <c r="Y186" s="47">
        <f>R186-W186</f>
        <v/>
      </c>
      <c r="Z186" s="47">
        <f>MAX(Q186,R186)-W186</f>
        <v/>
      </c>
      <c r="AA186" s="47" t="n">
        <v>0</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IF(R187&gt;=W187,"Likely visible","Weak")</f>
        <v/>
      </c>
      <c r="W187" s="47">
        <f>Subsurface_Inputs!$C$43</f>
        <v/>
      </c>
      <c r="X187" s="47">
        <f>Q187-W187</f>
        <v/>
      </c>
      <c r="Y187" s="47">
        <f>R187-W187</f>
        <v/>
      </c>
      <c r="Z187" s="47">
        <f>MAX(Q187,R187)-W187</f>
        <v/>
      </c>
      <c r="AA187" s="47" t="n">
        <v>0</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IF(R188&gt;=W188,"Likely visible","Weak")</f>
        <v/>
      </c>
      <c r="W188" s="47">
        <f>Subsurface_Inputs!$C$43</f>
        <v/>
      </c>
      <c r="X188" s="47">
        <f>Q188-W188</f>
        <v/>
      </c>
      <c r="Y188" s="47">
        <f>R188-W188</f>
        <v/>
      </c>
      <c r="Z188" s="47">
        <f>MAX(Q188,R188)-W188</f>
        <v/>
      </c>
      <c r="AA188" s="47" t="n">
        <v>0</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IF(R189&gt;=W189,"Likely visible","Weak")</f>
        <v/>
      </c>
      <c r="W189" s="47">
        <f>Subsurface_Inputs!$C$43</f>
        <v/>
      </c>
      <c r="X189" s="47">
        <f>Q189-W189</f>
        <v/>
      </c>
      <c r="Y189" s="47">
        <f>R189-W189</f>
        <v/>
      </c>
      <c r="Z189" s="47">
        <f>MAX(Q189,R189)-W189</f>
        <v/>
      </c>
      <c r="AA189" s="47" t="n">
        <v>0</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IF(R190&gt;=W190,"Likely visible","Weak")</f>
        <v/>
      </c>
      <c r="W190" s="47">
        <f>Subsurface_Inputs!$C$43</f>
        <v/>
      </c>
      <c r="X190" s="47">
        <f>Q190-W190</f>
        <v/>
      </c>
      <c r="Y190" s="47">
        <f>R190-W190</f>
        <v/>
      </c>
      <c r="Z190" s="47">
        <f>MAX(Q190,R190)-W190</f>
        <v/>
      </c>
      <c r="AA190" s="47" t="n">
        <v>0</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IF(R191&gt;=W191,"Likely visible","Weak")</f>
        <v/>
      </c>
      <c r="W191" s="47">
        <f>Subsurface_Inputs!$C$43</f>
        <v/>
      </c>
      <c r="X191" s="47">
        <f>Q191-W191</f>
        <v/>
      </c>
      <c r="Y191" s="47">
        <f>R191-W191</f>
        <v/>
      </c>
      <c r="Z191" s="47">
        <f>MAX(Q191,R191)-W191</f>
        <v/>
      </c>
      <c r="AA191" s="47" t="n">
        <v>0</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IF(R192&gt;=W192,"Likely visible","Weak")</f>
        <v/>
      </c>
      <c r="W192" s="47">
        <f>Subsurface_Inputs!$C$43</f>
        <v/>
      </c>
      <c r="X192" s="47">
        <f>Q192-W192</f>
        <v/>
      </c>
      <c r="Y192" s="47">
        <f>R192-W192</f>
        <v/>
      </c>
      <c r="Z192" s="47">
        <f>MAX(Q192,R192)-W192</f>
        <v/>
      </c>
      <c r="AA192" s="47" t="n">
        <v>0</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IF(R193&gt;=W193,"Likely visible","Weak")</f>
        <v/>
      </c>
      <c r="W193" s="47">
        <f>Subsurface_Inputs!$C$43</f>
        <v/>
      </c>
      <c r="X193" s="47">
        <f>Q193-W193</f>
        <v/>
      </c>
      <c r="Y193" s="47">
        <f>R193-W193</f>
        <v/>
      </c>
      <c r="Z193" s="47">
        <f>MAX(Q193,R193)-W193</f>
        <v/>
      </c>
      <c r="AA193" s="47" t="n">
        <v>0</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IF(R194&gt;=W194,"Likely visible","Weak")</f>
        <v/>
      </c>
      <c r="W194" s="47">
        <f>Subsurface_Inputs!$C$43</f>
        <v/>
      </c>
      <c r="X194" s="47">
        <f>Q194-W194</f>
        <v/>
      </c>
      <c r="Y194" s="47">
        <f>R194-W194</f>
        <v/>
      </c>
      <c r="Z194" s="47">
        <f>MAX(Q194,R194)-W194</f>
        <v/>
      </c>
      <c r="AA194" s="47" t="n">
        <v>0</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IF(R195&gt;=W195,"Likely visible","Weak")</f>
        <v/>
      </c>
      <c r="W195" s="47">
        <f>Subsurface_Inputs!$C$43</f>
        <v/>
      </c>
      <c r="X195" s="47">
        <f>Q195-W195</f>
        <v/>
      </c>
      <c r="Y195" s="47">
        <f>R195-W195</f>
        <v/>
      </c>
      <c r="Z195" s="47">
        <f>MAX(Q195,R195)-W195</f>
        <v/>
      </c>
      <c r="AA195" s="47" t="n">
        <v>0</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IF(R196&gt;=W196,"Likely visible","Weak")</f>
        <v/>
      </c>
      <c r="W196" s="47">
        <f>Subsurface_Inputs!$C$43</f>
        <v/>
      </c>
      <c r="X196" s="47">
        <f>Q196-W196</f>
        <v/>
      </c>
      <c r="Y196" s="47">
        <f>R196-W196</f>
        <v/>
      </c>
      <c r="Z196" s="47">
        <f>MAX(Q196,R196)-W196</f>
        <v/>
      </c>
      <c r="AA196" s="47" t="n">
        <v>0</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IF(R197&gt;=W197,"Likely visible","Weak")</f>
        <v/>
      </c>
      <c r="W197" s="47">
        <f>Subsurface_Inputs!$C$43</f>
        <v/>
      </c>
      <c r="X197" s="47">
        <f>Q197-W197</f>
        <v/>
      </c>
      <c r="Y197" s="47">
        <f>R197-W197</f>
        <v/>
      </c>
      <c r="Z197" s="47">
        <f>MAX(Q197,R197)-W197</f>
        <v/>
      </c>
      <c r="AA197" s="47" t="n">
        <v>0</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IF(R198&gt;=W198,"Likely visible","Weak")</f>
        <v/>
      </c>
      <c r="W198" s="47">
        <f>Subsurface_Inputs!$C$43</f>
        <v/>
      </c>
      <c r="X198" s="47">
        <f>Q198-W198</f>
        <v/>
      </c>
      <c r="Y198" s="47">
        <f>R198-W198</f>
        <v/>
      </c>
      <c r="Z198" s="47">
        <f>MAX(Q198,R198)-W198</f>
        <v/>
      </c>
      <c r="AA198" s="47" t="n">
        <v>0</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IF(R199&gt;=W199,"Likely visible","Weak")</f>
        <v/>
      </c>
      <c r="W199" s="47">
        <f>Subsurface_Inputs!$C$43</f>
        <v/>
      </c>
      <c r="X199" s="47">
        <f>Q199-W199</f>
        <v/>
      </c>
      <c r="Y199" s="47">
        <f>R199-W199</f>
        <v/>
      </c>
      <c r="Z199" s="47">
        <f>MAX(Q199,R199)-W199</f>
        <v/>
      </c>
      <c r="AA199" s="47" t="n">
        <v>0</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IF(R200&gt;=W200,"Likely visible","Weak")</f>
        <v/>
      </c>
      <c r="W200" s="47">
        <f>Subsurface_Inputs!$C$43</f>
        <v/>
      </c>
      <c r="X200" s="47">
        <f>Q200-W200</f>
        <v/>
      </c>
      <c r="Y200" s="47">
        <f>R200-W200</f>
        <v/>
      </c>
      <c r="Z200" s="47">
        <f>MAX(Q200,R200)-W200</f>
        <v/>
      </c>
      <c r="AA200" s="47" t="n">
        <v>0</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IF(R201&gt;=W201,"Likely visible","Weak")</f>
        <v/>
      </c>
      <c r="W201" s="47">
        <f>Subsurface_Inputs!$C$43</f>
        <v/>
      </c>
      <c r="X201" s="47">
        <f>Q201-W201</f>
        <v/>
      </c>
      <c r="Y201" s="47">
        <f>R201-W201</f>
        <v/>
      </c>
      <c r="Z201" s="47">
        <f>MAX(Q201,R201)-W201</f>
        <v/>
      </c>
      <c r="AA201" s="47" t="n">
        <v>0</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IF(R202&gt;=W202,"Likely visible","Weak")</f>
        <v/>
      </c>
      <c r="W202" s="47">
        <f>Subsurface_Inputs!$C$43</f>
        <v/>
      </c>
      <c r="X202" s="47">
        <f>Q202-W202</f>
        <v/>
      </c>
      <c r="Y202" s="47">
        <f>R202-W202</f>
        <v/>
      </c>
      <c r="Z202" s="47">
        <f>MAX(Q202,R202)-W202</f>
        <v/>
      </c>
      <c r="AA202" s="47" t="n">
        <v>0</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IF(R203&gt;=W203,"Likely visible","Weak")</f>
        <v/>
      </c>
      <c r="W203" s="47">
        <f>Subsurface_Inputs!$C$43</f>
        <v/>
      </c>
      <c r="X203" s="47">
        <f>Q203-W203</f>
        <v/>
      </c>
      <c r="Y203" s="47">
        <f>R203-W203</f>
        <v/>
      </c>
      <c r="Z203" s="47">
        <f>MAX(Q203,R203)-W203</f>
        <v/>
      </c>
      <c r="AA203" s="47" t="n">
        <v>0</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IF(R204&gt;=W204,"Likely visible","Weak")</f>
        <v/>
      </c>
      <c r="W204" s="47">
        <f>Subsurface_Inputs!$C$43</f>
        <v/>
      </c>
      <c r="X204" s="47">
        <f>Q204-W204</f>
        <v/>
      </c>
      <c r="Y204" s="47">
        <f>R204-W204</f>
        <v/>
      </c>
      <c r="Z204" s="47">
        <f>MAX(Q204,R204)-W204</f>
        <v/>
      </c>
      <c r="AA204" s="47" t="n">
        <v>0</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IF(R205&gt;=W205,"Likely visible","Weak")</f>
        <v/>
      </c>
      <c r="W205" s="47">
        <f>Subsurface_Inputs!$C$43</f>
        <v/>
      </c>
      <c r="X205" s="47">
        <f>Q205-W205</f>
        <v/>
      </c>
      <c r="Y205" s="47">
        <f>R205-W205</f>
        <v/>
      </c>
      <c r="Z205" s="47">
        <f>MAX(Q205,R205)-W205</f>
        <v/>
      </c>
      <c r="AA205" s="47" t="n">
        <v>0</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IF(R206&gt;=W206,"Likely visible","Weak")</f>
        <v/>
      </c>
      <c r="W206" s="47">
        <f>Subsurface_Inputs!$C$43</f>
        <v/>
      </c>
      <c r="X206" s="47">
        <f>Q206-W206</f>
        <v/>
      </c>
      <c r="Y206" s="47">
        <f>R206-W206</f>
        <v/>
      </c>
      <c r="Z206" s="47">
        <f>MAX(Q206,R206)-W206</f>
        <v/>
      </c>
      <c r="AA206" s="47" t="n">
        <v>0</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IF(R207&gt;=W207,"Likely visible","Weak")</f>
        <v/>
      </c>
      <c r="W207" s="47">
        <f>Subsurface_Inputs!$C$43</f>
        <v/>
      </c>
      <c r="X207" s="47">
        <f>Q207-W207</f>
        <v/>
      </c>
      <c r="Y207" s="47">
        <f>R207-W207</f>
        <v/>
      </c>
      <c r="Z207" s="47">
        <f>MAX(Q207,R207)-W207</f>
        <v/>
      </c>
      <c r="AA207" s="47" t="n">
        <v>0</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IF(R208&gt;=W208,"Likely visible","Weak")</f>
        <v/>
      </c>
      <c r="W208" s="47">
        <f>Subsurface_Inputs!$C$43</f>
        <v/>
      </c>
      <c r="X208" s="47">
        <f>Q208-W208</f>
        <v/>
      </c>
      <c r="Y208" s="47">
        <f>R208-W208</f>
        <v/>
      </c>
      <c r="Z208" s="47">
        <f>MAX(Q208,R208)-W208</f>
        <v/>
      </c>
      <c r="AA208" s="47" t="n">
        <v>0</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IF(R209&gt;=W209,"Likely visible","Weak")</f>
        <v/>
      </c>
      <c r="W209" s="47">
        <f>Subsurface_Inputs!$C$43</f>
        <v/>
      </c>
      <c r="X209" s="47">
        <f>Q209-W209</f>
        <v/>
      </c>
      <c r="Y209" s="47">
        <f>R209-W209</f>
        <v/>
      </c>
      <c r="Z209" s="47">
        <f>MAX(Q209,R209)-W209</f>
        <v/>
      </c>
      <c r="AA209" s="47" t="n">
        <v>0</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IF(R210&gt;=W210,"Likely visible","Weak")</f>
        <v/>
      </c>
      <c r="W210" s="47">
        <f>Subsurface_Inputs!$C$43</f>
        <v/>
      </c>
      <c r="X210" s="47">
        <f>Q210-W210</f>
        <v/>
      </c>
      <c r="Y210" s="47">
        <f>R210-W210</f>
        <v/>
      </c>
      <c r="Z210" s="47">
        <f>MAX(Q210,R210)-W210</f>
        <v/>
      </c>
      <c r="AA210" s="47" t="n">
        <v>0</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IF(R211&gt;=W211,"Likely visible","Weak")</f>
        <v/>
      </c>
      <c r="W211" s="47">
        <f>Subsurface_Inputs!$C$43</f>
        <v/>
      </c>
      <c r="X211" s="47">
        <f>Q211-W211</f>
        <v/>
      </c>
      <c r="Y211" s="47">
        <f>R211-W211</f>
        <v/>
      </c>
      <c r="Z211" s="47">
        <f>MAX(Q211,R211)-W211</f>
        <v/>
      </c>
      <c r="AA211" s="47" t="n">
        <v>0</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IF(R212&gt;=W212,"Likely visible","Weak")</f>
        <v/>
      </c>
      <c r="W212" s="47">
        <f>Subsurface_Inputs!$C$43</f>
        <v/>
      </c>
      <c r="X212" s="47">
        <f>Q212-W212</f>
        <v/>
      </c>
      <c r="Y212" s="47">
        <f>R212-W212</f>
        <v/>
      </c>
      <c r="Z212" s="47">
        <f>MAX(Q212,R212)-W212</f>
        <v/>
      </c>
      <c r="AA212" s="47" t="n">
        <v>0</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IF(R213&gt;=W213,"Likely visible","Weak")</f>
        <v/>
      </c>
      <c r="W213" s="47">
        <f>Subsurface_Inputs!$C$43</f>
        <v/>
      </c>
      <c r="X213" s="47">
        <f>Q213-W213</f>
        <v/>
      </c>
      <c r="Y213" s="47">
        <f>R213-W213</f>
        <v/>
      </c>
      <c r="Z213" s="47">
        <f>MAX(Q213,R213)-W213</f>
        <v/>
      </c>
      <c r="AA213" s="47" t="n">
        <v>0</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IF(R214&gt;=W214,"Likely visible","Weak")</f>
        <v/>
      </c>
      <c r="W214" s="47">
        <f>Subsurface_Inputs!$C$43</f>
        <v/>
      </c>
      <c r="X214" s="47">
        <f>Q214-W214</f>
        <v/>
      </c>
      <c r="Y214" s="47">
        <f>R214-W214</f>
        <v/>
      </c>
      <c r="Z214" s="47">
        <f>MAX(Q214,R214)-W214</f>
        <v/>
      </c>
      <c r="AA214" s="47" t="n">
        <v>0</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IF(R215&gt;=W215,"Likely visible","Weak")</f>
        <v/>
      </c>
      <c r="W215" s="47">
        <f>Subsurface_Inputs!$C$43</f>
        <v/>
      </c>
      <c r="X215" s="47">
        <f>Q215-W215</f>
        <v/>
      </c>
      <c r="Y215" s="47">
        <f>R215-W215</f>
        <v/>
      </c>
      <c r="Z215" s="47">
        <f>MAX(Q215,R215)-W215</f>
        <v/>
      </c>
      <c r="AA215" s="47" t="n">
        <v>0</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IF(R216&gt;=W216,"Likely visible","Weak")</f>
        <v/>
      </c>
      <c r="W216" s="47">
        <f>Subsurface_Inputs!$C$43</f>
        <v/>
      </c>
      <c r="X216" s="47">
        <f>Q216-W216</f>
        <v/>
      </c>
      <c r="Y216" s="47">
        <f>R216-W216</f>
        <v/>
      </c>
      <c r="Z216" s="47">
        <f>MAX(Q216,R216)-W216</f>
        <v/>
      </c>
      <c r="AA216" s="47" t="n">
        <v>0</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IF(R217&gt;=W217,"Likely visible","Weak")</f>
        <v/>
      </c>
      <c r="W217" s="47">
        <f>Subsurface_Inputs!$C$43</f>
        <v/>
      </c>
      <c r="X217" s="47">
        <f>Q217-W217</f>
        <v/>
      </c>
      <c r="Y217" s="47">
        <f>R217-W217</f>
        <v/>
      </c>
      <c r="Z217" s="47">
        <f>MAX(Q217,R217)-W217</f>
        <v/>
      </c>
      <c r="AA217" s="47" t="n">
        <v>0</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IF(R218&gt;=W218,"Likely visible","Weak")</f>
        <v/>
      </c>
      <c r="W218" s="47">
        <f>Subsurface_Inputs!$C$43</f>
        <v/>
      </c>
      <c r="X218" s="47">
        <f>Q218-W218</f>
        <v/>
      </c>
      <c r="Y218" s="47">
        <f>R218-W218</f>
        <v/>
      </c>
      <c r="Z218" s="47">
        <f>MAX(Q218,R218)-W218</f>
        <v/>
      </c>
      <c r="AA218" s="47" t="n">
        <v>0</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IF(R219&gt;=W219,"Likely visible","Weak")</f>
        <v/>
      </c>
      <c r="W219" s="47">
        <f>Subsurface_Inputs!$C$43</f>
        <v/>
      </c>
      <c r="X219" s="47">
        <f>Q219-W219</f>
        <v/>
      </c>
      <c r="Y219" s="47">
        <f>R219-W219</f>
        <v/>
      </c>
      <c r="Z219" s="47">
        <f>MAX(Q219,R219)-W219</f>
        <v/>
      </c>
      <c r="AA219" s="47" t="n">
        <v>0</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IF(R220&gt;=W220,"Likely visible","Weak")</f>
        <v/>
      </c>
      <c r="W220" s="47">
        <f>Subsurface_Inputs!$C$43</f>
        <v/>
      </c>
      <c r="X220" s="47">
        <f>Q220-W220</f>
        <v/>
      </c>
      <c r="Y220" s="47">
        <f>R220-W220</f>
        <v/>
      </c>
      <c r="Z220" s="47">
        <f>MAX(Q220,R220)-W220</f>
        <v/>
      </c>
      <c r="AA220" s="47" t="n">
        <v>0</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IF(R221&gt;=W221,"Likely visible","Weak")</f>
        <v/>
      </c>
      <c r="W221" s="47">
        <f>Subsurface_Inputs!$C$43</f>
        <v/>
      </c>
      <c r="X221" s="47">
        <f>Q221-W221</f>
        <v/>
      </c>
      <c r="Y221" s="47">
        <f>R221-W221</f>
        <v/>
      </c>
      <c r="Z221" s="47">
        <f>MAX(Q221,R221)-W221</f>
        <v/>
      </c>
      <c r="AA221" s="47" t="n">
        <v>0</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IF(R222&gt;=W222,"Likely visible","Weak")</f>
        <v/>
      </c>
      <c r="W222" s="47">
        <f>Subsurface_Inputs!$C$43</f>
        <v/>
      </c>
      <c r="X222" s="47">
        <f>Q222-W222</f>
        <v/>
      </c>
      <c r="Y222" s="47">
        <f>R222-W222</f>
        <v/>
      </c>
      <c r="Z222" s="47">
        <f>MAX(Q222,R222)-W222</f>
        <v/>
      </c>
      <c r="AA222" s="47" t="n">
        <v>0</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IF(R223&gt;=W223,"Likely visible","Weak")</f>
        <v/>
      </c>
      <c r="W223" s="47">
        <f>Subsurface_Inputs!$C$43</f>
        <v/>
      </c>
      <c r="X223" s="47">
        <f>Q223-W223</f>
        <v/>
      </c>
      <c r="Y223" s="47">
        <f>R223-W223</f>
        <v/>
      </c>
      <c r="Z223" s="47">
        <f>MAX(Q223,R223)-W223</f>
        <v/>
      </c>
      <c r="AA223" s="47" t="n">
        <v>0</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IF(R224&gt;=W224,"Likely visible","Weak")</f>
        <v/>
      </c>
      <c r="W224" s="47">
        <f>Subsurface_Inputs!$C$43</f>
        <v/>
      </c>
      <c r="X224" s="47">
        <f>Q224-W224</f>
        <v/>
      </c>
      <c r="Y224" s="47">
        <f>R224-W224</f>
        <v/>
      </c>
      <c r="Z224" s="47">
        <f>MAX(Q224,R224)-W224</f>
        <v/>
      </c>
      <c r="AA224" s="47" t="n">
        <v>0</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IF(R225&gt;=W225,"Likely visible","Weak")</f>
        <v/>
      </c>
      <c r="W225" s="47">
        <f>Subsurface_Inputs!$C$43</f>
        <v/>
      </c>
      <c r="X225" s="47">
        <f>Q225-W225</f>
        <v/>
      </c>
      <c r="Y225" s="47">
        <f>R225-W225</f>
        <v/>
      </c>
      <c r="Z225" s="47">
        <f>MAX(Q225,R225)-W225</f>
        <v/>
      </c>
      <c r="AA225" s="47" t="n">
        <v>0</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IF(R226&gt;=W226,"Likely visible","Weak")</f>
        <v/>
      </c>
      <c r="W226" s="47">
        <f>Subsurface_Inputs!$C$43</f>
        <v/>
      </c>
      <c r="X226" s="47">
        <f>Q226-W226</f>
        <v/>
      </c>
      <c r="Y226" s="47">
        <f>R226-W226</f>
        <v/>
      </c>
      <c r="Z226" s="47">
        <f>MAX(Q226,R226)-W226</f>
        <v/>
      </c>
      <c r="AA226" s="47" t="n">
        <v>0</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IF(R227&gt;=W227,"Likely visible","Weak")</f>
        <v/>
      </c>
      <c r="W227" s="47">
        <f>Subsurface_Inputs!$C$43</f>
        <v/>
      </c>
      <c r="X227" s="47">
        <f>Q227-W227</f>
        <v/>
      </c>
      <c r="Y227" s="47">
        <f>R227-W227</f>
        <v/>
      </c>
      <c r="Z227" s="47">
        <f>MAX(Q227,R227)-W227</f>
        <v/>
      </c>
      <c r="AA227" s="47" t="n">
        <v>0</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IF(R228&gt;=W228,"Likely visible","Weak")</f>
        <v/>
      </c>
      <c r="W228" s="47">
        <f>Subsurface_Inputs!$C$43</f>
        <v/>
      </c>
      <c r="X228" s="47">
        <f>Q228-W228</f>
        <v/>
      </c>
      <c r="Y228" s="47">
        <f>R228-W228</f>
        <v/>
      </c>
      <c r="Z228" s="47">
        <f>MAX(Q228,R228)-W228</f>
        <v/>
      </c>
      <c r="AA228" s="47" t="n">
        <v>0</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IF(R229&gt;=W229,"Likely visible","Weak")</f>
        <v/>
      </c>
      <c r="W229" s="47">
        <f>Subsurface_Inputs!$C$43</f>
        <v/>
      </c>
      <c r="X229" s="47">
        <f>Q229-W229</f>
        <v/>
      </c>
      <c r="Y229" s="47">
        <f>R229-W229</f>
        <v/>
      </c>
      <c r="Z229" s="47">
        <f>MAX(Q229,R229)-W229</f>
        <v/>
      </c>
      <c r="AA229" s="47" t="n">
        <v>0</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IF(R230&gt;=W230,"Likely visible","Weak")</f>
        <v/>
      </c>
      <c r="W230" s="47">
        <f>Subsurface_Inputs!$C$43</f>
        <v/>
      </c>
      <c r="X230" s="47">
        <f>Q230-W230</f>
        <v/>
      </c>
      <c r="Y230" s="47">
        <f>R230-W230</f>
        <v/>
      </c>
      <c r="Z230" s="47">
        <f>MAX(Q230,R230)-W230</f>
        <v/>
      </c>
      <c r="AA230" s="47" t="n">
        <v>0</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IF(R231&gt;=W231,"Likely visible","Weak")</f>
        <v/>
      </c>
      <c r="W231" s="47">
        <f>Subsurface_Inputs!$C$43</f>
        <v/>
      </c>
      <c r="X231" s="47">
        <f>Q231-W231</f>
        <v/>
      </c>
      <c r="Y231" s="47">
        <f>R231-W231</f>
        <v/>
      </c>
      <c r="Z231" s="47">
        <f>MAX(Q231,R231)-W231</f>
        <v/>
      </c>
      <c r="AA231" s="47" t="n">
        <v>0</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IF(R232&gt;=W232,"Likely visible","Weak")</f>
        <v/>
      </c>
      <c r="W232" s="47">
        <f>Subsurface_Inputs!$C$43</f>
        <v/>
      </c>
      <c r="X232" s="47">
        <f>Q232-W232</f>
        <v/>
      </c>
      <c r="Y232" s="47">
        <f>R232-W232</f>
        <v/>
      </c>
      <c r="Z232" s="47">
        <f>MAX(Q232,R232)-W232</f>
        <v/>
      </c>
      <c r="AA232" s="47" t="n">
        <v>0</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IF(R233&gt;=W233,"Likely visible","Weak")</f>
        <v/>
      </c>
      <c r="W233" s="47">
        <f>Subsurface_Inputs!$C$43</f>
        <v/>
      </c>
      <c r="X233" s="47">
        <f>Q233-W233</f>
        <v/>
      </c>
      <c r="Y233" s="47">
        <f>R233-W233</f>
        <v/>
      </c>
      <c r="Z233" s="47">
        <f>MAX(Q233,R233)-W233</f>
        <v/>
      </c>
      <c r="AA233" s="47" t="n">
        <v>0</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IF(R234&gt;=W234,"Likely visible","Weak")</f>
        <v/>
      </c>
      <c r="W234" s="47">
        <f>Subsurface_Inputs!$C$43</f>
        <v/>
      </c>
      <c r="X234" s="47">
        <f>Q234-W234</f>
        <v/>
      </c>
      <c r="Y234" s="47">
        <f>R234-W234</f>
        <v/>
      </c>
      <c r="Z234" s="47">
        <f>MAX(Q234,R234)-W234</f>
        <v/>
      </c>
      <c r="AA234" s="47" t="n">
        <v>0</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IF(R235&gt;=W235,"Likely visible","Weak")</f>
        <v/>
      </c>
      <c r="W235" s="47">
        <f>Subsurface_Inputs!$C$43</f>
        <v/>
      </c>
      <c r="X235" s="47">
        <f>Q235-W235</f>
        <v/>
      </c>
      <c r="Y235" s="47">
        <f>R235-W235</f>
        <v/>
      </c>
      <c r="Z235" s="47">
        <f>MAX(Q235,R235)-W235</f>
        <v/>
      </c>
      <c r="AA235" s="47" t="n">
        <v>0</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IF(R236&gt;=W236,"Likely visible","Weak")</f>
        <v/>
      </c>
      <c r="W236" s="47">
        <f>Subsurface_Inputs!$C$43</f>
        <v/>
      </c>
      <c r="X236" s="47">
        <f>Q236-W236</f>
        <v/>
      </c>
      <c r="Y236" s="47">
        <f>R236-W236</f>
        <v/>
      </c>
      <c r="Z236" s="47">
        <f>MAX(Q236,R236)-W236</f>
        <v/>
      </c>
      <c r="AA236" s="47" t="n">
        <v>0</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IF(R237&gt;=W237,"Likely visible","Weak")</f>
        <v/>
      </c>
      <c r="W237" s="47">
        <f>Subsurface_Inputs!$C$43</f>
        <v/>
      </c>
      <c r="X237" s="47">
        <f>Q237-W237</f>
        <v/>
      </c>
      <c r="Y237" s="47">
        <f>R237-W237</f>
        <v/>
      </c>
      <c r="Z237" s="47">
        <f>MAX(Q237,R237)-W237</f>
        <v/>
      </c>
      <c r="AA237" s="47" t="n">
        <v>0</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IF(R238&gt;=W238,"Likely visible","Weak")</f>
        <v/>
      </c>
      <c r="W238" s="47">
        <f>Subsurface_Inputs!$C$43</f>
        <v/>
      </c>
      <c r="X238" s="47">
        <f>Q238-W238</f>
        <v/>
      </c>
      <c r="Y238" s="47">
        <f>R238-W238</f>
        <v/>
      </c>
      <c r="Z238" s="47">
        <f>MAX(Q238,R238)-W238</f>
        <v/>
      </c>
      <c r="AA238" s="47" t="n">
        <v>0</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IF(R239&gt;=W239,"Likely visible","Weak")</f>
        <v/>
      </c>
      <c r="W239" s="47">
        <f>Subsurface_Inputs!$C$43</f>
        <v/>
      </c>
      <c r="X239" s="47">
        <f>Q239-W239</f>
        <v/>
      </c>
      <c r="Y239" s="47">
        <f>R239-W239</f>
        <v/>
      </c>
      <c r="Z239" s="47">
        <f>MAX(Q239,R239)-W239</f>
        <v/>
      </c>
      <c r="AA239" s="47" t="n">
        <v>0</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IF(R240&gt;=W240,"Likely visible","Weak")</f>
        <v/>
      </c>
      <c r="W240" s="47">
        <f>Subsurface_Inputs!$C$43</f>
        <v/>
      </c>
      <c r="X240" s="47">
        <f>Q240-W240</f>
        <v/>
      </c>
      <c r="Y240" s="47">
        <f>R240-W240</f>
        <v/>
      </c>
      <c r="Z240" s="47">
        <f>MAX(Q240,R240)-W240</f>
        <v/>
      </c>
      <c r="AA240" s="47" t="n">
        <v>0</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IF(R241&gt;=W241,"Likely visible","Weak")</f>
        <v/>
      </c>
      <c r="W241" s="47">
        <f>Subsurface_Inputs!$C$43</f>
        <v/>
      </c>
      <c r="X241" s="47">
        <f>Q241-W241</f>
        <v/>
      </c>
      <c r="Y241" s="47">
        <f>R241-W241</f>
        <v/>
      </c>
      <c r="Z241" s="47">
        <f>MAX(Q241,R241)-W241</f>
        <v/>
      </c>
      <c r="AA241" s="47" t="n">
        <v>0</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IF(R242&gt;=W242,"Likely visible","Weak")</f>
        <v/>
      </c>
      <c r="W242" s="47">
        <f>Subsurface_Inputs!$C$43</f>
        <v/>
      </c>
      <c r="X242" s="47">
        <f>Q242-W242</f>
        <v/>
      </c>
      <c r="Y242" s="47">
        <f>R242-W242</f>
        <v/>
      </c>
      <c r="Z242" s="47">
        <f>MAX(Q242,R242)-W242</f>
        <v/>
      </c>
      <c r="AA242" s="47" t="n">
        <v>0</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row r="42">
      <c r="A42" s="50" t="inlineStr">
        <is>
          <t>detectability_margin = echo_dB - detection_threshold_dB</t>
        </is>
      </c>
      <c r="B42" s="50" t="inlineStr">
        <is>
          <t>Positive means the simulated return is above the simple detection threshold.</t>
        </is>
      </c>
      <c r="C42" s="50" t="inlineStr">
        <is>
          <t>Subsurface_Inputs detection threshold, echo estimates</t>
        </is>
      </c>
      <c r="D42" s="50" t="inlineStr">
        <is>
          <t>detectability margin</t>
        </is>
      </c>
    </row>
    <row r="43">
      <c r="A43" s="50" t="inlineStr">
        <is>
          <t>realism/proof scores</t>
        </is>
      </c>
      <c r="B43" s="50" t="inlineStr">
        <is>
          <t>Judgment score for model credibility, not a measured science result.</t>
        </is>
      </c>
      <c r="C43" s="50" t="inlineStr">
        <is>
          <t>synthetic inputs and assumptions</t>
        </is>
      </c>
      <c r="D43" s="50" t="inlineStr">
        <is>
          <t>dashboard realism block</t>
        </is>
      </c>
    </row>
  </sheetData>
  <mergeCells count="1">
    <mergeCell ref="A1:D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row r="29">
      <c r="A29" s="50" t="inlineStr">
        <is>
          <t>Detectability Margin vs Threshold</t>
        </is>
      </c>
      <c r="B29" s="50" t="inlineStr">
        <is>
          <t>Shows whether lens/ocean echoes clear a simple detection threshold.</t>
        </is>
      </c>
      <c r="C29" s="50" t="inlineStr">
        <is>
          <t>Useful for judging whether the simulated bottom layer would be visible.</t>
        </is>
      </c>
      <c r="D29" s="50" t="inlineStr">
        <is>
          <t>0 dB is the threshold line.</t>
        </is>
      </c>
      <c r="E29" s="50" t="inlineStr">
        <is>
          <t>Subsurface_Live_Data!A:X:Y:AA</t>
        </is>
      </c>
      <c r="F29" s="50" t="inlineStr">
        <is>
          <t>margin = echo - threshold</t>
        </is>
      </c>
      <c r="G29" s="50" t="inlineStr">
        <is>
          <t>See Subsurface_Checks</t>
        </is>
      </c>
    </row>
    <row r="30">
      <c r="A30" s="50" t="inlineStr">
        <is>
          <t>Ice Shell Thickness Along Track</t>
        </is>
      </c>
      <c r="B30" s="50" t="inlineStr">
        <is>
          <t>Shows possible ice-ocean boundary depth as thickness.</t>
        </is>
      </c>
      <c r="C30" s="50" t="inlineStr">
        <is>
          <t>Useful because the mission question is about what is below the icy surface.</t>
        </is>
      </c>
      <c r="D30" s="50" t="inlineStr">
        <is>
          <t>No baseline; line is synthetic proposed thickness.</t>
        </is>
      </c>
      <c r="E30" s="50" t="inlineStr">
        <is>
          <t>Subsurface_Live_Data!A:K</t>
        </is>
      </c>
      <c r="F30" s="50" t="inlineStr">
        <is>
          <t>ocean_depth formula from Subsurface_Inputs</t>
        </is>
      </c>
      <c r="G30" s="50" t="inlineStr">
        <is>
          <t>See Subsurface_Checks</t>
        </is>
      </c>
    </row>
  </sheetData>
  <mergeCells count="3">
    <mergeCell ref="A13:G13"/>
    <mergeCell ref="A2:G2"/>
    <mergeCell ref="A1:G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row r="9">
      <c r="A9" s="50" t="inlineStr">
        <is>
          <t>Detection threshold numeric</t>
        </is>
      </c>
      <c r="B9" s="50">
        <f>IF(ISNUMBER(Subsurface_Inputs!C43),"OK","Review")</f>
        <v/>
      </c>
      <c r="C9" s="50" t="inlineStr">
        <is>
          <t>Detection threshold should be a numeric dB value.</t>
        </is>
      </c>
    </row>
    <row r="10">
      <c r="A10" s="50" t="inlineStr">
        <is>
          <t>Detectability margins finite</t>
        </is>
      </c>
      <c r="B10" s="50">
        <f>IF(COUNT(Subsurface_Live_Data!X2:Y242)=ROWS(Subsurface_Live_Data!X2:Y242)*2,"OK","Review")</f>
        <v/>
      </c>
      <c r="C10" s="50" t="inlineStr">
        <is>
          <t>Lens/ocean margins should stay numeric.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row r="14">
      <c r="A14" s="50" t="inlineStr">
        <is>
          <t>detectability_margin = echo_dB - detection_threshold_dB</t>
        </is>
      </c>
      <c r="B14" s="50" t="inlineStr">
        <is>
          <t>Positive values are easier-to-see simulated returns.</t>
        </is>
      </c>
      <c r="C14" s="50" t="inlineStr">
        <is>
          <t>Subsurface_Inputs C43 and echo formulas</t>
        </is>
      </c>
      <c r="D14" s="50" t="inlineStr">
        <is>
          <t>lens/ocean echo margin</t>
        </is>
      </c>
    </row>
    <row r="15">
      <c r="A15" s="50" t="inlineStr">
        <is>
          <t>realism score</t>
        </is>
      </c>
      <c r="B15" s="50" t="inlineStr">
        <is>
          <t>A judgment estimate: useful for communication, not a scientific proof.</t>
        </is>
      </c>
      <c r="C15" s="50" t="inlineStr">
        <is>
          <t>model assumptions and missing real constraints</t>
        </is>
      </c>
      <c r="D15" s="50" t="inlineStr">
        <is>
          <t>dashboard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2026-06-10T00:10:35Z</dcterms:modified>
  <cp:lastModifiedBy>Tyler Lee</cp:lastModifiedBy>
</cp:coreProperties>
</file>