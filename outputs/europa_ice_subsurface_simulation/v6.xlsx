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2196" tabRatio="600" firstSheet="0" activeTab="0"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Inputs" sheetId="3" state="visible" r:id="rId3"/>
    <sheet xmlns:r="http://schemas.openxmlformats.org/officeDocument/2006/relationships" name="Subsurface_Inputs" sheetId="4" state="visible" r:id="rId4"/>
    <sheet xmlns:r="http://schemas.openxmlformats.org/officeDocument/2006/relationships" name="Model_Data" sheetId="5" state="visible" r:id="rId5"/>
    <sheet xmlns:r="http://schemas.openxmlformats.org/officeDocument/2006/relationships" name="Subsurface_Live_Data" sheetId="6" state="visible" r:id="rId6"/>
    <sheet xmlns:r="http://schemas.openxmlformats.org/officeDocument/2006/relationships" name="Subsurface_Scenario_Data" sheetId="7" state="visible" r:id="rId7"/>
    <sheet xmlns:r="http://schemas.openxmlformats.org/officeDocument/2006/relationships" name="Subsurface_Materials_Evidence" sheetId="8" state="visible" r:id="rId8"/>
    <sheet xmlns:r="http://schemas.openxmlformats.org/officeDocument/2006/relationships" name="Subsurface_Radargram_Data" sheetId="9" state="visible" r:id="rId9"/>
    <sheet xmlns:r="http://schemas.openxmlformats.org/officeDocument/2006/relationships" name="Chart_Data" sheetId="10" state="visible" r:id="rId10"/>
    <sheet xmlns:r="http://schemas.openxmlformats.org/officeDocument/2006/relationships" name="Scenario_Data" sheetId="11" state="visible" r:id="rId11"/>
    <sheet xmlns:r="http://schemas.openxmlformats.org/officeDocument/2006/relationships" name="PRF_Results" sheetId="12" state="visible" r:id="rId12"/>
    <sheet xmlns:r="http://schemas.openxmlformats.org/officeDocument/2006/relationships" name="Formula_Guide" sheetId="13" state="visible" r:id="rId13"/>
    <sheet xmlns:r="http://schemas.openxmlformats.org/officeDocument/2006/relationships" name="Topography_Formulas" sheetId="14" state="visible" r:id="rId14"/>
    <sheet xmlns:r="http://schemas.openxmlformats.org/officeDocument/2006/relationships" name="Checks" sheetId="15" state="visible" r:id="rId15"/>
    <sheet xmlns:r="http://schemas.openxmlformats.org/officeDocument/2006/relationships" name="Graph_Guide" sheetId="16" state="visible" r:id="rId16"/>
    <sheet xmlns:r="http://schemas.openxmlformats.org/officeDocument/2006/relationships" name="Dashboard_Live_Data" sheetId="17" state="visible" r:id="rId17"/>
    <sheet xmlns:r="http://schemas.openxmlformats.org/officeDocument/2006/relationships" name="Native_Chart_Data" sheetId="18" state="visible" r:id="rId18"/>
    <sheet xmlns:r="http://schemas.openxmlformats.org/officeDocument/2006/relationships" name="Subsurface_Checks" sheetId="19" state="visible" r:id="rId19"/>
    <sheet xmlns:r="http://schemas.openxmlformats.org/officeDocument/2006/relationships" name="Subsurface_Formulas" sheetId="20" state="visible" r:id="rId20"/>
  </sheets>
  <definedNames>
    <definedName name="_xlnm._FilterDatabase" localSheetId="5" hidden="1">'Subsurface_Live_Data'!$A$1:$V$242</definedName>
    <definedName name="_xlnm._FilterDatabase" localSheetId="6" hidden="1">'Subsurface_Scenario_Data'!$A$1:$J$242</definedName>
    <definedName name="_xlnm._FilterDatabase" localSheetId="8" hidden="1">'Subsurface_Radargram_Data'!$A$1:$G$242</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24">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b val="1"/>
      <color rgb="00FFFFFF"/>
    </font>
    <font>
      <b val="1"/>
      <color rgb="00FFFFFF"/>
      <sz val="14"/>
    </font>
    <font>
      <b val="1"/>
      <color rgb="001F2937"/>
    </font>
    <font>
      <b val="1"/>
      <color rgb="001F2937"/>
      <sz val="14"/>
    </font>
    <font>
      <b val="1"/>
      <color rgb="001F2937"/>
      <sz val="16"/>
    </font>
    <font>
      <color rgb="00526174"/>
    </font>
    <font>
      <b val="1"/>
      <color rgb="001F2937"/>
      <sz val="13"/>
    </font>
    <font>
      <b val="1"/>
    </font>
  </fonts>
  <fills count="16">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001F4E79"/>
      </patternFill>
    </fill>
    <fill>
      <patternFill patternType="solid">
        <fgColor rgb="001F2937"/>
      </patternFill>
    </fill>
    <fill>
      <patternFill patternType="solid">
        <fgColor rgb="00D9EAF7"/>
      </patternFill>
    </fill>
    <fill>
      <patternFill patternType="solid">
        <fgColor rgb="00FFF2CC"/>
      </patternFill>
    </fill>
  </fills>
  <borders count="1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style="thin">
        <color rgb="00D4DAE3"/>
      </left>
      <right style="thin">
        <color rgb="00D4DAE3"/>
      </right>
      <top style="thin">
        <color rgb="00D4DAE3"/>
      </top>
      <bottom style="thin">
        <color rgb="00D4DAE3"/>
      </bottom>
    </border>
  </borders>
  <cellStyleXfs count="1">
    <xf numFmtId="0" fontId="0" fillId="0" borderId="0"/>
  </cellStyleXfs>
  <cellXfs count="66">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 fillId="2" borderId="0" applyAlignment="1" pivotButton="0" quotePrefix="0" xfId="0">
      <alignment horizontal="center" vertical="center"/>
    </xf>
    <xf numFmtId="0" fontId="3" fillId="3" borderId="0" applyAlignment="1" pivotButton="0" quotePrefix="0" xfId="0">
      <alignment wrapText="1"/>
    </xf>
    <xf numFmtId="0" fontId="5" fillId="6" borderId="2" applyAlignment="1" pivotButton="0" quotePrefix="0" xfId="0">
      <alignment horizontal="left" vertical="center"/>
    </xf>
    <xf numFmtId="0" fontId="5" fillId="6" borderId="3" applyAlignment="1" pivotButton="0" quotePrefix="0" xfId="0">
      <alignment horizontal="left" vertical="center"/>
    </xf>
    <xf numFmtId="0" fontId="5" fillId="6" borderId="4" applyAlignment="1" pivotButton="0" quotePrefix="0" xfId="0">
      <alignment horizontal="left" vertical="center"/>
    </xf>
    <xf numFmtId="0" fontId="3" fillId="5" borderId="2"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6" applyAlignment="1" pivotButton="0" quotePrefix="0" xfId="0">
      <alignment wrapText="1"/>
    </xf>
    <xf numFmtId="0" fontId="12" fillId="10" borderId="7" applyAlignment="1" pivotButton="0" quotePrefix="0" xfId="0">
      <alignment wrapText="1"/>
    </xf>
    <xf numFmtId="0" fontId="12" fillId="10" borderId="8" applyAlignment="1" pivotButton="0" quotePrefix="0" xfId="0">
      <alignment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3" fillId="5" borderId="1" applyAlignment="1" pivotButton="0" quotePrefix="0" xfId="0">
      <alignment wrapText="1"/>
    </xf>
    <xf numFmtId="0" fontId="0" fillId="0" borderId="7" pivotButton="0" quotePrefix="0" xfId="0"/>
    <xf numFmtId="0" fontId="0" fillId="0" borderId="8" pivotButton="0" quotePrefix="0" xfId="0"/>
    <xf numFmtId="0" fontId="12" fillId="10" borderId="5" applyAlignment="1" pivotButton="0" quotePrefix="0" xfId="0">
      <alignment wrapText="1"/>
    </xf>
    <xf numFmtId="0" fontId="16" fillId="12" borderId="13" applyAlignment="1" pivotButton="0" quotePrefix="0" xfId="0">
      <alignment vertical="top" wrapText="1"/>
    </xf>
    <xf numFmtId="164" fontId="0" fillId="0" borderId="13" applyAlignment="1" pivotButton="0" quotePrefix="0" xfId="0">
      <alignment vertical="top" wrapText="1"/>
    </xf>
    <xf numFmtId="0" fontId="17" fillId="13" borderId="0" pivotButton="0" quotePrefix="0" xfId="0"/>
    <xf numFmtId="0" fontId="18" fillId="14" borderId="13" applyAlignment="1" pivotButton="0" quotePrefix="0" xfId="0">
      <alignment vertical="top" wrapText="1"/>
    </xf>
    <xf numFmtId="0" fontId="0" fillId="0" borderId="13" applyAlignment="1" pivotButton="0" quotePrefix="0" xfId="0">
      <alignment vertical="top" wrapText="1"/>
    </xf>
    <xf numFmtId="0" fontId="19" fillId="0" borderId="0" pivotButton="0" quotePrefix="0" xfId="0"/>
    <xf numFmtId="0" fontId="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pivotButton="0" quotePrefix="0" xfId="0"/>
    <xf numFmtId="0" fontId="23" fillId="14" borderId="13" applyAlignment="1" pivotButton="0" quotePrefix="0" xfId="0">
      <alignment vertical="top" wrapText="1"/>
    </xf>
    <xf numFmtId="0" fontId="0" fillId="15" borderId="13" applyAlignment="1" pivotButton="0" quotePrefix="0" xfId="0">
      <alignment vertical="top" wrapText="1"/>
    </xf>
    <xf numFmtId="0" fontId="21" fillId="14" borderId="13" applyAlignment="1" pivotButton="0" quotePrefix="0" xfId="0">
      <alignment vertical="top" wrapText="1"/>
    </xf>
    <xf numFmtId="164" fontId="0" fillId="15" borderId="13" applyAlignment="1" pivotButton="0" quotePrefix="0" xfId="0">
      <alignment vertical="top" wrapText="1"/>
    </xf>
    <xf numFmtId="0" fontId="0" fillId="14" borderId="13" applyAlignment="1" pivotButton="0" quotePrefix="0" xfId="0">
      <alignment vertical="top" wrapText="1"/>
    </xf>
    <xf numFmtId="0" fontId="21" fillId="0" borderId="0" pivotButton="0" quotePrefix="0" xfId="0"/>
    <xf numFmtId="9" fontId="0" fillId="0" borderId="13" applyAlignment="1" pivotButton="0" quotePrefix="0" xfId="0">
      <alignment vertical="top" wrapText="1"/>
    </xf>
    <xf numFmtId="0" fontId="18" fillId="0" borderId="13" applyAlignment="1" pivotButton="0" quotePrefix="0" xfId="0">
      <alignment vertical="top" wrapText="1"/>
    </xf>
    <xf numFmtId="0" fontId="0" fillId="0" borderId="0" applyAlignment="1" pivotButton="0" quotePrefix="0" xfId="0">
      <alignment vertical="top" wrapText="1"/>
    </xf>
    <xf numFmtId="0" fontId="0" fillId="15" borderId="0" applyAlignment="1" pivotButton="0" quotePrefix="0" xfId="0">
      <alignment vertical="top" wrapText="1"/>
    </xf>
  </cellXfs>
  <cellStyles count="1">
    <cellStyle name="Normal" xfId="0" builtinId="0"/>
  </cellStyles>
  <dxfs count="2">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Subsurface Truth Model: Icy Layers</a:t>
            </a:r>
          </a:p>
        </rich>
      </tx>
    </title>
    <plotArea>
      <scatterChart>
        <scatterStyle val="line"/>
        <ser>
          <idx val="0"/>
          <order val="0"/>
          <tx>
            <v>Icy top surface</v>
          </tx>
          <spPr>
            <a:ln xmlns:a="http://schemas.openxmlformats.org/drawingml/2006/main" w="22000">
              <a:solidFill>
                <a:srgbClr val="E76F24"/>
              </a:solidFill>
              <a:prstDash val="solid"/>
            </a:ln>
          </spPr>
          <marker>
            <symbol val="none"/>
            <spPr>
              <a:ln xmlns:a="http://schemas.openxmlformats.org/drawingml/2006/main">
                <a:prstDash val="solid"/>
              </a:ln>
            </spPr>
          </marker>
          <xVal>
            <numRef>
              <f>'Subsurface_Live_Data'!$A$2:$A$242</f>
            </numRef>
          </xVal>
          <yVal>
            <numRef>
              <f>'Subsurface_Live_Data'!$B$2:$B$242</f>
            </numRef>
          </yVal>
        </ser>
        <ser>
          <idx val="1"/>
          <order val="1"/>
          <tx>
            <v>Shallow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'Subsurface_Live_Data'!$G$2:$G$242</f>
            </numRef>
          </yVal>
        </ser>
        <ser>
          <idx val="2"/>
          <order val="2"/>
          <tx>
            <v>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'Subsurface_Live_Data'!$J$2:$J$242</f>
            </numRef>
          </yVal>
        </ser>
        <ser>
          <idx val="3"/>
          <order val="3"/>
          <tx>
            <v>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'Subsurface_Live_Data'!$L$2:$L$242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Elevation relative to reference (m)</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Scenario Comparison: Thin / Medium / Thick Ice</a:t>
            </a:r>
          </a:p>
        </rich>
      </tx>
    </title>
    <plotArea>
      <scatterChart>
        <scatterStyle val="line"/>
        <ser>
          <idx val="0"/>
          <order val="0"/>
          <tx>
            <v>Thin shell</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'Subsurface_Scenario_Data'!$A$2:$A$242</f>
            </numRef>
          </xVal>
          <yVal>
            <numRef>
              <f>'Subsurface_Scenario_Data'!$E$2:$E$242</f>
            </numRef>
          </yVal>
        </ser>
        <ser>
          <idx val="1"/>
          <order val="1"/>
          <tx>
            <v>Medium shell</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'Subsurface_Scenario_Data'!$F$2:$F$242</f>
            </numRef>
          </yVal>
        </ser>
        <ser>
          <idx val="2"/>
          <order val="2"/>
          <tx>
            <v>Thick shell</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'Subsurface_Scenario_Data'!$G$2:$G$242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Depth to possible boundary (m)</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Boundary Uncertainty Band</a:t>
            </a:r>
          </a:p>
        </rich>
      </tx>
    </title>
    <plotArea>
      <scatterChart>
        <scatterStyle val="line"/>
        <ser>
          <idx val="0"/>
          <order val="0"/>
          <tx>
            <v>Lower bound</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'Subsurface_Scenario_Data'!$A$2:$A$242</f>
            </numRef>
          </xVal>
          <yVal>
            <numRef>
              <f>'Subsurface_Scenario_Data'!$C$2:$C$242</f>
            </numRef>
          </yVal>
        </ser>
        <ser>
          <idx val="1"/>
          <order val="1"/>
          <tx>
            <v>Mean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'Subsurface_Scenario_Data'!$B$2:$B$242</f>
            </numRef>
          </yVal>
        </ser>
        <ser>
          <idx val="2"/>
          <order val="2"/>
          <tx>
            <v>Upper bound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'Subsurface_Scenario_Data'!$D$2:$D$242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Depth to possible boundary (m)</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Ocean Model vs No-Ocean Control</a:t>
            </a:r>
          </a:p>
        </rich>
      </tx>
    </title>
    <plotArea>
      <scatterChart>
        <scatterStyle val="line"/>
        <ser>
          <idx val="0"/>
          <order val="0"/>
          <tx>
            <v>Ocean model margin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'Subsurface_Scenario_Data'!$A$2:$A$242</f>
            </numRef>
          </xVal>
          <yVal>
            <numRef>
              <f>'Subsurface_Scenario_Data'!$H$2:$H$242</f>
            </numRef>
          </yVal>
        </ser>
        <ser>
          <idx val="1"/>
          <order val="1"/>
          <tx>
            <v>No-ocean control margin</v>
          </tx>
          <spPr>
            <a:ln xmlns:a="http://schemas.openxmlformats.org/drawingml/2006/main" w="22000">
              <a:solidFill>
                <a:srgbClr val="808080"/>
              </a:solidFill>
              <a:prstDash val="solid"/>
            </a:ln>
          </spPr>
          <marker>
            <symbol val="none"/>
            <spPr>
              <a:ln xmlns:a="http://schemas.openxmlformats.org/drawingml/2006/main">
                <a:prstDash val="solid"/>
              </a:ln>
            </spPr>
          </marker>
          <xVal>
            <numRef>
              <f>'Subsurface_Scenario_Data'!$A$2:$A$242</f>
            </numRef>
          </xVal>
          <yVal>
            <numRef>
              <f>'Subsurface_Scenario_Data'!$I$2:$I$242</f>
            </numRef>
          </yVal>
        </ser>
        <ser>
          <idx val="2"/>
          <order val="2"/>
          <tx>
            <v>Zero threshold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'Subsurface_Scenario_Data'!$A$2:$A$242</f>
            </numRef>
          </xVal>
          <yVal>
            <numRef>
              <f>'Subsurface_Scenario_Data'!$J$2:$J$242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Margin above threshold (dB)</a:t>
                </a:r>
              </a:p>
            </rich>
          </tx>
        </title>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Radargram-Style Return Timing With Clutter</a:t>
            </a:r>
          </a:p>
        </rich>
      </tx>
    </title>
    <plotArea>
      <scatterChart>
        <scatterStyle val="line"/>
        <ser>
          <idx val="0"/>
          <order val="0"/>
          <tx>
            <v>Surface clutter upper</v>
          </tx>
          <spPr>
            <a:ln xmlns:a="http://schemas.openxmlformats.org/drawingml/2006/main" w="22000">
              <a:solidFill>
                <a:srgbClr val="808080"/>
              </a:solidFill>
              <a:prstDash val="solid"/>
            </a:ln>
          </spPr>
          <marker>
            <symbol val="none"/>
            <spPr>
              <a:ln xmlns:a="http://schemas.openxmlformats.org/drawingml/2006/main">
                <a:prstDash val="solid"/>
              </a:ln>
            </spPr>
          </marker>
          <xVal>
            <numRef>
              <f>'Subsurface_Radargram_Data'!$A$2:$A$242</f>
            </numRef>
          </xVal>
          <yVal>
            <numRef>
              <f>'Subsurface_Radargram_Data'!$C$2:$C$242</f>
            </numRef>
          </yVal>
        </ser>
        <ser>
          <idx val="1"/>
          <order val="1"/>
          <tx>
            <v>Shallow ice return</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'Subsurface_Radargram_Data'!$A$2:$A$242</f>
            </numRef>
          </xVal>
          <yVal>
            <numRef>
              <f>'Subsurface_Radargram_Data'!$D$2:$D$242</f>
            </numRef>
          </yVal>
        </ser>
        <ser>
          <idx val="2"/>
          <order val="2"/>
          <tx>
            <v>Warm/briny lens return</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'Subsurface_Radargram_Data'!$A$2:$A$242</f>
            </numRef>
          </xVal>
          <yVal>
            <numRef>
              <f>'Subsurface_Radargram_Data'!$E$2:$E$242</f>
            </numRef>
          </yVal>
        </ser>
        <ser>
          <idx val="3"/>
          <order val="3"/>
          <tx>
            <v>Ocean boundary return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'Subsurface_Radargram_Data'!$A$2:$A$242</f>
            </numRef>
          </xVal>
          <yVal>
            <numRef>
              <f>'Subsurface_Radargram_Data'!$F$2:$F$242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Two-way delay after surface return (us)</a:t>
                </a:r>
              </a:p>
            </rich>
          </tx>
        </title>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Detectability Margin vs Threshold</a:t>
            </a:r>
          </a:p>
        </rich>
      </tx>
    </title>
    <plotArea>
      <scatterChart>
        <scatterStyle val="line"/>
        <ser>
          <idx val="0"/>
          <order val="0"/>
          <tx>
            <v>Lens echo margin</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'Subsurface_Live_Data'!$X$2:$X$242</f>
            </numRef>
          </yVal>
        </ser>
        <ser>
          <idx val="1"/>
          <order val="1"/>
          <tx>
            <v>Ocean echo margin</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'Subsurface_Live_Data'!$Y$2:$Y$242</f>
            </numRef>
          </yVal>
        </ser>
        <ser>
          <idx val="2"/>
          <order val="2"/>
          <tx>
            <v>Zero margin threshold</v>
          </tx>
          <spPr>
            <a:ln xmlns:a="http://schemas.openxmlformats.org/drawingml/2006/main" w="22000">
              <a:solidFill>
                <a:srgbClr val="C43A3A"/>
              </a:solidFill>
              <a:prstDash val="solid"/>
            </a:ln>
          </spPr>
          <marker>
            <symbol val="none"/>
            <spPr>
              <a:ln xmlns:a="http://schemas.openxmlformats.org/drawingml/2006/main">
                <a:prstDash val="solid"/>
              </a:ln>
            </spPr>
          </marker>
          <xVal>
            <numRef>
              <f>'Subsurface_Live_Data'!$A$2:$A$242</f>
            </numRef>
          </xVal>
          <yVal>
            <numRef>
              <f>'Subsurface_Live_Data'!$AA$2:$AA$242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Margin above threshold (dB)</a:t>
                </a:r>
              </a:p>
            </rich>
          </tx>
        </title>
        <majorTickMark val="none"/>
        <minorTickMark val="none"/>
        <crossAx val="10"/>
      </valAx>
    </plotArea>
    <legend>
      <legendPos val="b"/>
    </legend>
    <plotVisOnly val="1"/>
    <dispBlanksAs val="gap"/>
  </chart>
</chartSpace>
</file>

<file path=xl/charts/chart15.xml><?xml version="1.0" encoding="utf-8"?>
<chartSpace xmlns="http://schemas.openxmlformats.org/drawingml/2006/chart">
  <style val="10"/>
  <chart>
    <title>
      <tx>
        <rich>
          <a:bodyPr xmlns:a="http://schemas.openxmlformats.org/drawingml/2006/main"/>
          <a:p xmlns:a="http://schemas.openxmlformats.org/drawingml/2006/main">
            <a:pPr>
              <a:defRPr/>
            </a:pPr>
            <a:r>
              <a:t>Reflection Strength by Material / Interface</a:t>
            </a:r>
          </a:p>
        </rich>
      </tx>
    </title>
    <plotArea>
      <barChart>
        <barDir val="bar"/>
        <grouping val="clustered"/>
        <ser>
          <idx val="0"/>
          <order val="0"/>
          <tx>
            <strRef>
              <f>'Subsurface_Materials_Evidence'!B1</f>
            </strRef>
          </tx>
          <spPr>
            <a:solidFill xmlns:a="http://schemas.openxmlformats.org/drawingml/2006/main">
              <a:srgbClr val="2F6DB3"/>
            </a:solidFill>
            <a:ln xmlns:a="http://schemas.openxmlformats.org/drawingml/2006/main">
              <a:prstDash val="solid"/>
            </a:ln>
          </spPr>
          <cat>
            <numRef>
              <f>'Subsurface_Materials_Evidence'!$A$2:$A$6</f>
            </numRef>
          </cat>
          <val>
            <numRef>
              <f>'Subsurface_Materials_Evidence'!$B$2:$B$6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Pre-depth-loss reflection strength (dB)</a:t>
                </a:r>
              </a:p>
            </rich>
          </tx>
        </title>
        <majorTickMark val="none"/>
        <minorTickMark val="none"/>
        <crossAx val="10"/>
      </valAx>
    </plotArea>
    <plotVisOnly val="1"/>
    <dispBlanksAs val="gap"/>
  </chart>
</chartSpace>
</file>

<file path=xl/charts/chart16.xml><?xml version="1.0" encoding="utf-8"?>
<chartSpace xmlns="http://schemas.openxmlformats.org/drawingml/2006/chart">
  <style val="10"/>
  <chart>
    <title>
      <tx>
        <rich>
          <a:bodyPr xmlns:a="http://schemas.openxmlformats.org/drawingml/2006/main"/>
          <a:p xmlns:a="http://schemas.openxmlformats.org/drawingml/2006/main">
            <a:pPr>
              <a:defRPr/>
            </a:pPr>
            <a:r>
              <a:t>Cross-Instrument Evidence Score</a:t>
            </a:r>
          </a:p>
        </rich>
      </tx>
    </title>
    <plotArea>
      <barChart>
        <barDir val="bar"/>
        <grouping val="clustered"/>
        <ser>
          <idx val="0"/>
          <order val="0"/>
          <tx>
            <strRef>
              <f>'Subsurface_Materials_Evidence'!B9</f>
            </strRef>
          </tx>
          <spPr>
            <a:solidFill xmlns:a="http://schemas.openxmlformats.org/drawingml/2006/main">
              <a:srgbClr val="219653"/>
            </a:solidFill>
            <a:ln xmlns:a="http://schemas.openxmlformats.org/drawingml/2006/main">
              <a:prstDash val="solid"/>
            </a:ln>
          </spPr>
          <cat>
            <numRef>
              <f>'Subsurface_Materials_Evidence'!$A$10:$A$13</f>
            </numRef>
          </cat>
          <val>
            <numRef>
              <f>'Subsurface_Materials_Evidence'!$B$10:$B$13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Support score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 Type="http://schemas.openxmlformats.org/officeDocument/2006/relationships/chart" Target="/xl/charts/chart13.xml" Id="rId5"/><Relationship Type="http://schemas.openxmlformats.org/officeDocument/2006/relationships/chart" Target="/xl/charts/chart14.xml" Id="rId6"/><Relationship Type="http://schemas.openxmlformats.org/officeDocument/2006/relationships/chart" Target="/xl/charts/chart15.xml" Id="rId7"/><Relationship Type="http://schemas.openxmlformats.org/officeDocument/2006/relationships/chart" Target="/xl/charts/chart16.xml" Id="rId8"/></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oneCellAnchor>
    <from>
      <col>0</col>
      <colOff>0</colOff>
      <row>12</row>
      <rowOff>0</rowOff>
    </from>
    <ext cx="5580000" cy="277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12</row>
      <rowOff>0</rowOff>
    </from>
    <ext cx="5580000" cy="277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29</row>
      <rowOff>0</rowOff>
    </from>
    <ext cx="5580000" cy="277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29</row>
      <rowOff>0</rowOff>
    </from>
    <ext cx="5580000" cy="277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46</row>
      <rowOff>0</rowOff>
    </from>
    <ext cx="5580000" cy="2772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46</row>
      <rowOff>0</rowOff>
    </from>
    <ext cx="5580000" cy="2772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63</row>
      <rowOff>0</rowOff>
    </from>
    <ext cx="5580000" cy="2772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9</col>
      <colOff>0</colOff>
      <row>63</row>
      <rowOff>0</rowOff>
    </from>
    <ext cx="5580000" cy="2772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tabSelected="1" workbookViewId="0">
      <selection activeCell="A1" sqref="A1:H1"/>
    </sheetView>
  </sheetViews>
  <sheetFormatPr baseColWidth="8" defaultRowHeight="13.5"/>
  <cols>
    <col width="31" customWidth="1" min="1" max="1"/>
    <col width="13" customWidth="1" min="2" max="2"/>
    <col width="9" customWidth="1" min="3" max="3"/>
    <col width="34" customWidth="1" min="4" max="4"/>
    <col width="14" customWidth="1" min="5" max="5"/>
    <col width="18" customWidth="1" min="6" max="6"/>
    <col width="14" customWidth="1" min="7" max="8"/>
    <col width="28" customWidth="1" min="9" max="9"/>
    <col width="16" customWidth="1" min="10" max="18"/>
  </cols>
  <sheetData>
    <row r="1" ht="21" customHeight="1">
      <c r="A1" s="23" t="inlineStr">
        <is>
          <t>Parabolic Motion Radar + Topography Parameter Model</t>
        </is>
      </c>
    </row>
    <row r="2" ht="13.9" customHeight="1">
      <c r="A2" s="24"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c r="A4" s="39" t="inlineStr">
        <is>
          <t>Key Output Results</t>
        </is>
      </c>
      <c r="B4" s="40" t="n"/>
      <c r="C4" s="40" t="n"/>
      <c r="D4" s="41" t="n"/>
    </row>
    <row r="5">
      <c r="A5" s="2" t="inlineStr">
        <is>
          <t>Output</t>
        </is>
      </c>
      <c r="B5" s="2" t="inlineStr">
        <is>
          <t>Value</t>
        </is>
      </c>
      <c r="C5" s="2" t="inlineStr">
        <is>
          <t>Unit</t>
        </is>
      </c>
      <c r="D5" s="2" t="inlineStr">
        <is>
          <t>What it means</t>
        </is>
      </c>
    </row>
    <row r="6" ht="39.4" customHeight="1">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c r="A8" s="1" t="inlineStr">
        <is>
          <t>Topo apparent depth at mid-pass</t>
        </is>
      </c>
      <c r="B8" s="11">
        <f>Model_Data!AC122</f>
        <v/>
      </c>
      <c r="C8" s="1" t="inlineStr">
        <is>
          <t>m</t>
        </is>
      </c>
      <c r="D8" s="1" t="inlineStr">
        <is>
          <t>Apparent depth after terrain height changes the range geometry.</t>
        </is>
      </c>
    </row>
    <row r="9">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c r="A11" s="1" t="inlineStr">
        <is>
          <t>Topo VHF interferometric phase</t>
        </is>
      </c>
      <c r="B11" s="11">
        <f>Model_Data!AF122</f>
        <v/>
      </c>
      <c r="C11" s="1" t="inlineStr">
        <is>
          <t>deg</t>
        </is>
      </c>
      <c r="D11" s="1" t="inlineStr">
        <is>
          <t>VHF phase after topography changes the look geometry.</t>
        </is>
      </c>
    </row>
    <row r="12" ht="26.25" customHeight="1">
      <c r="A12" s="1" t="inlineStr">
        <is>
          <t>Max target terrain height</t>
        </is>
      </c>
      <c r="B12" s="11">
        <f>MAX(Model_Data!Y2:Y242)</f>
        <v/>
      </c>
      <c r="C12" s="1" t="inlineStr">
        <is>
          <t>m</t>
        </is>
      </c>
      <c r="D12" s="1" t="inlineStr">
        <is>
          <t>Highest modeled terrain at the side-offset target path.</t>
        </is>
      </c>
    </row>
    <row r="13" ht="26.25" customHeight="1">
      <c r="A13" s="1" t="inlineStr">
        <is>
          <t>Min target terrain height</t>
        </is>
      </c>
      <c r="B13" s="11">
        <f>MIN(Model_Data!Y2:Y242)</f>
        <v/>
      </c>
      <c r="C13" s="1" t="inlineStr">
        <is>
          <t>m</t>
        </is>
      </c>
      <c r="D13" s="1" t="inlineStr">
        <is>
          <t>Lowest modeled terrain at the side-offset target path.</t>
        </is>
      </c>
    </row>
    <row r="14" ht="26.25" customHeight="1">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c r="A15" s="1" t="inlineStr">
        <is>
          <t>Max topo VHF Doppler magnitude</t>
        </is>
      </c>
      <c r="B15" s="11">
        <f>MAX(Model_Data!AO2:AO242)</f>
        <v/>
      </c>
      <c r="C15" s="1" t="inlineStr">
        <is>
          <t>Hz</t>
        </is>
      </c>
      <c r="D15" s="1" t="inlineStr">
        <is>
          <t>Largest VHF Doppler after topography is included.</t>
        </is>
      </c>
    </row>
    <row r="16" ht="26.25" customHeight="1">
      <c r="A16" s="1" t="inlineStr">
        <is>
          <t>Simple minimum PRF with topo</t>
        </is>
      </c>
      <c r="B16" s="11">
        <f>2*B15</f>
        <v/>
      </c>
      <c r="C16" s="1" t="inlineStr">
        <is>
          <t>Hz</t>
        </is>
      </c>
      <c r="D16" s="1" t="inlineStr">
        <is>
          <t>Twice max topo VHF Doppler, a simple no-alias floor.</t>
        </is>
      </c>
    </row>
    <row r="17" ht="26.25" customHeight="1">
      <c r="A17" s="1" t="inlineStr">
        <is>
          <t>Topo depth uncertainty band</t>
        </is>
      </c>
      <c r="B17" s="11">
        <f>Model_Data!AQ122</f>
        <v/>
      </c>
      <c r="C17" s="1" t="inlineStr">
        <is>
          <t>m</t>
        </is>
      </c>
      <c r="D17" s="1" t="inlineStr">
        <is>
          <t>Representative vertical uncertainty converted to apparent-depth uncertainty.</t>
        </is>
      </c>
    </row>
    <row r="19" ht="15.75" customHeight="1">
      <c r="A19" s="39" t="inlineStr">
        <is>
          <t>PRF Choices</t>
        </is>
      </c>
      <c r="B19" s="40" t="n"/>
      <c r="C19" s="40" t="n"/>
      <c r="D19" s="40" t="n"/>
      <c r="E19" s="40" t="n"/>
      <c r="F19" s="41" t="n"/>
    </row>
    <row r="20" ht="26.25" customHeight="1">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c r="A21" s="9">
        <f>PRF_Results!A4</f>
        <v/>
      </c>
      <c r="B21" s="9">
        <f>PRF_Results!B4</f>
        <v/>
      </c>
      <c r="C21" s="9">
        <f>PRF_Results!C4</f>
        <v/>
      </c>
      <c r="D21" s="9">
        <f>PRF_Results!D4</f>
        <v/>
      </c>
      <c r="E21" s="9">
        <f>PRF_Results!E4</f>
        <v/>
      </c>
      <c r="F21" s="1">
        <f>PRF_Results!F4</f>
        <v/>
      </c>
    </row>
    <row r="22" ht="26.25" customHeight="1">
      <c r="A22" s="9">
        <f>PRF_Results!A5</f>
        <v/>
      </c>
      <c r="B22" s="9">
        <f>PRF_Results!B5</f>
        <v/>
      </c>
      <c r="C22" s="9">
        <f>PRF_Results!C5</f>
        <v/>
      </c>
      <c r="D22" s="9">
        <f>PRF_Results!D5</f>
        <v/>
      </c>
      <c r="E22" s="9">
        <f>PRF_Results!E5</f>
        <v/>
      </c>
      <c r="F22" s="1">
        <f>PRF_Results!F5</f>
        <v/>
      </c>
    </row>
    <row r="23" ht="26.25" customHeight="1">
      <c r="A23" s="9">
        <f>PRF_Results!A6</f>
        <v/>
      </c>
      <c r="B23" s="9">
        <f>PRF_Results!B6</f>
        <v/>
      </c>
      <c r="C23" s="9">
        <f>PRF_Results!C6</f>
        <v/>
      </c>
      <c r="D23" s="9">
        <f>PRF_Results!D6</f>
        <v/>
      </c>
      <c r="E23" s="9">
        <f>PRF_Results!E6</f>
        <v/>
      </c>
      <c r="F23" s="1">
        <f>PRF_Results!F6</f>
        <v/>
      </c>
    </row>
    <row r="25" ht="15.75" customHeight="1">
      <c r="A25" s="39" t="inlineStr">
        <is>
          <t>How to read this model</t>
        </is>
      </c>
      <c r="B25" s="40" t="n"/>
      <c r="C25" s="40" t="n"/>
      <c r="D25" s="40" t="n"/>
      <c r="E25" s="40" t="n"/>
      <c r="F25" s="40" t="n"/>
      <c r="G25" s="40" t="n"/>
      <c r="H25" s="41" t="n"/>
    </row>
    <row r="26" ht="13.9" customHeight="1">
      <c r="A26" s="42"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40" t="n"/>
      <c r="C26" s="40" t="n"/>
      <c r="D26" s="40" t="n"/>
      <c r="E26" s="40" t="n"/>
      <c r="F26" s="40" t="n"/>
      <c r="G26" s="40" t="n"/>
      <c r="H26" s="41" t="n"/>
    </row>
    <row r="114" ht="15.75" customHeight="1">
      <c r="A114" s="39" t="inlineStr">
        <is>
          <t>Paper Pass Scenario Comparison</t>
        </is>
      </c>
      <c r="B114" s="40" t="n"/>
      <c r="C114" s="40" t="n"/>
      <c r="D114" s="40" t="n"/>
      <c r="E114" s="40" t="n"/>
      <c r="F114" s="40" t="n"/>
      <c r="G114" s="40" t="n"/>
      <c r="H114" s="40" t="n"/>
      <c r="I114" s="4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 customHeight="1">
      <c r="A120" s="28" t="inlineStr">
        <is>
          <t>Scenario note</t>
        </is>
      </c>
      <c r="B120" s="30" t="inlineStr">
        <is>
          <t>Paper numbers are converted into this workbook's simplified parabola so the outcomes can be compared. The paper states altitude ranges and groundtrack requirements, not an exact parabolic spacecraft trajectory.</t>
        </is>
      </c>
      <c r="C120" s="40" t="n"/>
      <c r="D120" s="40" t="n"/>
      <c r="E120" s="40" t="n"/>
      <c r="F120" s="40" t="n"/>
      <c r="G120" s="40" t="n"/>
      <c r="H120" s="40" t="n"/>
      <c r="I120" s="41" t="n"/>
    </row>
    <row r="122" ht="27" customHeight="1">
      <c r="A122" s="31" t="inlineStr">
        <is>
          <t>Quick Graph Guide</t>
        </is>
      </c>
    </row>
    <row r="123" ht="27" customHeight="1">
      <c r="A123" s="32" t="inlineStr">
        <is>
          <t>Graph</t>
        </is>
      </c>
      <c r="B123" s="32" t="inlineStr">
        <is>
          <t>What it is trying to show</t>
        </is>
      </c>
      <c r="C123" s="43" t="n"/>
      <c r="D123" s="43" t="n"/>
      <c r="E123" s="44" t="n"/>
      <c r="F123" s="32" t="inlineStr">
        <is>
          <t>How to read the baseline</t>
        </is>
      </c>
      <c r="G123" s="43" t="n"/>
      <c r="H123" s="43" t="n"/>
      <c r="I123" s="44" t="n"/>
    </row>
    <row r="124" ht="27" customHeight="1">
      <c r="A124" s="16" t="inlineStr">
        <is>
          <t>Apparent depth</t>
        </is>
      </c>
      <c r="B124" s="33" t="inlineStr">
        <is>
          <t>Motion and topography change the apparent radar depth relative to the nadir reference.</t>
        </is>
      </c>
      <c r="C124" s="43" t="n"/>
      <c r="D124" s="43" t="n"/>
      <c r="E124" s="44" t="n"/>
      <c r="F124" s="33" t="inlineStr">
        <is>
          <t>Grey zero line is a reference, not a plotted terrain/run result.</t>
        </is>
      </c>
      <c r="G124" s="43" t="n"/>
      <c r="H124" s="43" t="n"/>
      <c r="I124" s="44" t="n"/>
    </row>
    <row r="125" ht="27" customHeight="1">
      <c r="A125" s="16" t="inlineStr">
        <is>
          <t>Surface height</t>
        </is>
      </c>
      <c r="B125" s="33" t="inlineStr">
        <is>
          <t>Shows the generated topography used as the reference floor, plus the off-nadir target and nadir terrain heights. The satellite path is curved/parabolic, not flat.</t>
        </is>
      </c>
      <c r="C125" s="43" t="n"/>
      <c r="D125" s="43" t="n"/>
      <c r="E125" s="44" t="n"/>
      <c r="F125" s="33" t="inlineStr">
        <is>
          <t>Grey floor now follows the generated topography instead of 0 m; colored lines show target and nadir terrain.</t>
        </is>
      </c>
      <c r="G125" s="43" t="n"/>
      <c r="H125" s="43" t="n"/>
      <c r="I125" s="44" t="n"/>
    </row>
    <row r="126" ht="27" customHeight="1">
      <c r="A126" s="16" t="inlineStr">
        <is>
          <t>Doppler</t>
        </is>
      </c>
      <c r="B126" s="33" t="inlineStr">
        <is>
          <t>Range-rate-driven VHF/HF Doppler, with flat geometry compared against topography-adjusted geometry.</t>
        </is>
      </c>
      <c r="C126" s="43" t="n"/>
      <c r="D126" s="43" t="n"/>
      <c r="E126" s="44" t="n"/>
      <c r="F126" s="33" t="inlineStr">
        <is>
          <t>Crossing 0 Hz means the radial motion changes sign near closest approach.</t>
        </is>
      </c>
      <c r="G126" s="43" t="n"/>
      <c r="H126" s="43" t="n"/>
      <c r="I126" s="44" t="n"/>
    </row>
    <row r="127" ht="27" customHeight="1">
      <c r="A127" s="16" t="inlineStr">
        <is>
          <t>Motion-only / scenarios</t>
        </is>
      </c>
      <c r="B127" s="33" t="inlineStr">
        <is>
          <t>The motion-only chart is a radar reading from flat ground. It is not ground height; the curve comes from satellite path and slant-range geometry.</t>
        </is>
      </c>
      <c r="C127" s="43" t="n"/>
      <c r="D127" s="43" t="n"/>
      <c r="E127" s="44" t="n"/>
      <c r="F127" s="33" t="inlineStr">
        <is>
          <t>Scenario baselines are grey reference floors; they are intentionally not orange model lines.</t>
        </is>
      </c>
      <c r="G127" s="43" t="n"/>
      <c r="H127" s="43" t="n"/>
      <c r="I127" s="44" t="n"/>
    </row>
    <row r="128" ht="27" customHeight="1">
      <c r="A128" s="16" t="inlineStr">
        <is>
          <t>Detailed notes</t>
        </is>
      </c>
      <c r="B128" s="33" t="inlineStr">
        <is>
          <t>See the Graph_Guide tab for every chart, source range, formula basis, and audit status.</t>
        </is>
      </c>
      <c r="C128" s="43" t="n"/>
      <c r="D128" s="43" t="n"/>
      <c r="E128" s="44" t="n"/>
      <c r="F128" s="33" t="inlineStr">
        <is>
          <t>Checks!B4:B23 remains the formula-health checklist.</t>
        </is>
      </c>
      <c r="G128" s="43" t="n"/>
      <c r="H128" s="43" t="n"/>
      <c r="I128" s="44"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F127:I127"/>
    <mergeCell ref="F124:I124"/>
    <mergeCell ref="A26:H26"/>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0"/>
  <sheetViews>
    <sheetView workbookViewId="0">
      <pane ySplit="3" topLeftCell="A4" activePane="bottomLeft" state="frozen"/>
      <selection pane="bottomLeft" activeCell="A1" sqref="A1"/>
    </sheetView>
  </sheetViews>
  <sheetFormatPr baseColWidth="8" defaultRowHeight="15"/>
  <cols>
    <col width="34" customWidth="1" min="1" max="1"/>
    <col width="18" customWidth="1" min="2" max="2"/>
    <col width="12" customWidth="1" min="3" max="3"/>
    <col width="54" customWidth="1" min="4" max="4"/>
    <col width="34" customWidth="1" min="6" max="6"/>
    <col width="14" customWidth="1" min="7" max="7"/>
    <col width="58" customWidth="1" min="8" max="8"/>
    <col width="50" customWidth="1" min="9" max="9"/>
  </cols>
  <sheetData>
    <row r="1">
      <c r="A1" s="53" t="inlineStr">
        <is>
          <t>Europa Ice Subsurface Interface</t>
        </is>
      </c>
    </row>
    <row r="2">
      <c r="A2" s="61" t="inlineStr">
        <is>
          <t>Output-only view: key data, realism/proof score, and live graphs. Change assumptions on Subsurface_Inputs.</t>
        </is>
      </c>
    </row>
    <row r="4">
      <c r="A4" s="46" t="inlineStr">
        <is>
          <t>Important Data</t>
        </is>
      </c>
      <c r="B4" s="46" t="inlineStr">
        <is>
          <t>Value</t>
        </is>
      </c>
      <c r="C4" s="46" t="inlineStr">
        <is>
          <t>Unit</t>
        </is>
      </c>
      <c r="D4" s="46" t="inlineStr">
        <is>
          <t>Why it matters</t>
        </is>
      </c>
      <c r="F4" s="46" t="inlineStr">
        <is>
          <t>Realism / Proof Strength</t>
        </is>
      </c>
      <c r="G4" s="46" t="inlineStr">
        <is>
          <t>Score</t>
        </is>
      </c>
      <c r="H4" s="46" t="inlineStr">
        <is>
          <t>What this means</t>
        </is>
      </c>
      <c r="I4" s="46" t="inlineStr">
        <is>
          <t>How to improve</t>
        </is>
      </c>
    </row>
    <row r="5">
      <c r="A5" s="50" t="inlineStr">
        <is>
          <t>Average ice-ocean boundary depth</t>
        </is>
      </c>
      <c r="B5" s="47">
        <f>AVERAGE(Subsurface_Live_Data!K2:K242)</f>
        <v/>
      </c>
      <c r="C5" s="50" t="inlineStr">
        <is>
          <t>m</t>
        </is>
      </c>
      <c r="D5" s="50" t="inlineStr">
        <is>
          <t>Mean proposed bottom reflector depth.</t>
        </is>
      </c>
      <c r="F5" s="50" t="inlineStr">
        <is>
          <t>Concept demonstration realism</t>
        </is>
      </c>
      <c r="G5" s="62" t="n">
        <v>0.7</v>
      </c>
      <c r="H5" s="50" t="inlineStr">
        <is>
          <t>Good for showing radar response to layered ice and clutter.</t>
        </is>
      </c>
      <c r="I5" s="50" t="inlineStr">
        <is>
          <t>Compare more scenarios and uncertainty bands.</t>
        </is>
      </c>
    </row>
    <row r="6">
      <c r="A6" s="50" t="inlineStr">
        <is>
          <t>Boundary uncertainty band</t>
        </is>
      </c>
      <c r="B6" s="47">
        <f>Subsurface_Inputs!$C$44</f>
        <v/>
      </c>
      <c r="C6" s="50" t="inlineStr">
        <is>
          <t>m</t>
        </is>
      </c>
      <c r="D6" s="50" t="inlineStr">
        <is>
          <t>Likely plus/minus range around bottom reflector.</t>
        </is>
      </c>
      <c r="F6" s="50" t="inlineStr">
        <is>
          <t>Europa prediction realism</t>
        </is>
      </c>
      <c r="G6" s="62">
        <f>MIN(0.75,0.25+Subsurface_Materials_Evidence!D14/100*0.45)</f>
        <v/>
      </c>
      <c r="H6" s="50" t="inlineStr">
        <is>
          <t>More realistic than v5 because it includes scenarios, material differences, and evidence inputs.</t>
        </is>
      </c>
      <c r="I6" s="50" t="inlineStr">
        <is>
          <t>Tie values to published constraints or real mission data.</t>
        </is>
      </c>
    </row>
    <row r="7">
      <c r="A7" s="50" t="inlineStr">
        <is>
          <t>Best ocean echo margin</t>
        </is>
      </c>
      <c r="B7" s="47">
        <f>MAX(Subsurface_Live_Data!Y2:Y242)</f>
        <v/>
      </c>
      <c r="C7" s="50" t="inlineStr">
        <is>
          <t>dB</t>
        </is>
      </c>
      <c r="D7" s="50" t="inlineStr">
        <is>
          <t>How far deep reflector is above/below threshold.</t>
        </is>
      </c>
      <c r="F7" s="50" t="inlineStr">
        <is>
          <t>Proof strength for real subsurface claim</t>
        </is>
      </c>
      <c r="G7" s="62">
        <f>MIN(0.60,0.15+Subsurface_Materials_Evidence!D14/100*0.35)</f>
        <v/>
      </c>
      <c r="H7" s="50" t="inlineStr">
        <is>
          <t>Still a hypothesis test, not proof by itself.</t>
        </is>
      </c>
      <c r="I7" s="50" t="inlineStr">
        <is>
          <t>Validate against measured radar, thermal, composition, and magnetic/plasma observations.</t>
        </is>
      </c>
    </row>
    <row r="8">
      <c r="A8" s="50" t="inlineStr">
        <is>
          <t>Best lens echo margin</t>
        </is>
      </c>
      <c r="B8" s="47">
        <f>MAX(Subsurface_Live_Data!X2:X242)</f>
        <v/>
      </c>
      <c r="C8" s="50" t="inlineStr">
        <is>
          <t>dB</t>
        </is>
      </c>
      <c r="D8" s="50" t="inlineStr">
        <is>
          <t>How far lens return is above/below threshold.</t>
        </is>
      </c>
    </row>
    <row r="9">
      <c r="A9" s="50" t="inlineStr">
        <is>
          <t>Likely visible ocean samples</t>
        </is>
      </c>
      <c r="B9" s="47">
        <f>COUNTIF(Subsurface_Live_Data!V2:V242,"Likely visible")</f>
        <v/>
      </c>
      <c r="C9" s="50" t="inlineStr">
        <is>
          <t>count</t>
        </is>
      </c>
      <c r="D9" s="50" t="inlineStr">
        <is>
          <t>How much of the pass clears detection threshold.</t>
        </is>
      </c>
    </row>
    <row r="10">
      <c r="A10" s="50" t="inlineStr">
        <is>
          <t>Total evidence support</t>
        </is>
      </c>
      <c r="B10" s="47">
        <f>Subsurface_Materials_Evidence!D14</f>
        <v/>
      </c>
      <c r="C10" s="50" t="inlineStr">
        <is>
          <t>%</t>
        </is>
      </c>
      <c r="D10" s="50" t="inlineStr">
        <is>
          <t>Radar + thermal + composition + magnetic/plasma support.</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5"/>
  <cols>
    <col width="26" customWidth="1" min="1" max="1"/>
    <col width="18" customWidth="1" min="2" max="2"/>
    <col width="12" customWidth="1" min="3" max="3"/>
    <col width="10" customWidth="1" min="4" max="4"/>
    <col width="58" customWidth="1" min="5" max="5"/>
    <col width="12" customWidth="1" min="6" max="6"/>
    <col width="30" customWidth="1" min="7" max="7"/>
    <col width="10" customWidth="1" min="8" max="10"/>
    <col width="11" customWidth="1" min="11" max="11"/>
    <col width="15" customWidth="1" min="12" max="12"/>
    <col width="14" customWidth="1" min="13" max="13"/>
    <col width="72" customWidth="1" min="14" max="14"/>
  </cols>
  <sheetData>
    <row r="1" ht="21" customHeight="1">
      <c r="A1" s="23" t="inlineStr">
        <is>
          <t>Parabolic Motion Radar Model - Editable Inputs</t>
        </is>
      </c>
    </row>
    <row r="2" ht="13.9" customHeight="1">
      <c r="A2" s="34" t="inlineStr">
        <is>
          <t>Change the yellow cells in column C for the custom model. Use the TRUE/FALSE scenario toggles at the right to overlay paper-derived pass cases on the Dashboard charts.</t>
        </is>
      </c>
    </row>
    <row r="4" ht="15.75" customHeight="1">
      <c r="A4" s="2" t="inlineStr">
        <is>
          <t>Parameter</t>
        </is>
      </c>
      <c r="B4" s="2" t="inlineStr">
        <is>
          <t>Symbol</t>
        </is>
      </c>
      <c r="C4" s="2" t="inlineStr">
        <is>
          <t>Value</t>
        </is>
      </c>
      <c r="D4" s="2" t="inlineStr">
        <is>
          <t>Unit</t>
        </is>
      </c>
      <c r="E4" s="2" t="inlineStr">
        <is>
          <t>Notes</t>
        </is>
      </c>
      <c r="F4" s="39" t="inlineStr">
        <is>
          <t>Paper-Derived Pass Scenario Overlays</t>
        </is>
      </c>
      <c r="G4" s="40" t="n"/>
      <c r="H4" s="40" t="n"/>
      <c r="I4" s="40" t="n"/>
      <c r="J4" s="40" t="n"/>
      <c r="K4" s="40" t="n"/>
      <c r="L4" s="40" t="n"/>
      <c r="M4" s="40" t="n"/>
      <c r="N4" s="4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 customHeight="1">
      <c r="A11" s="1" t="inlineStr">
        <is>
          <t>Along-track speed</t>
        </is>
      </c>
      <c r="B11" s="1" t="inlineStr">
        <is>
          <t>v</t>
        </is>
      </c>
      <c r="C11" s="3" t="n">
        <v>4</v>
      </c>
      <c r="D11" s="1" t="inlineStr">
        <is>
          <t>km/s</t>
        </is>
      </c>
      <c r="E11" s="1" t="inlineStr">
        <is>
          <t>Used for range rate, Doppler, and pulse spacing.</t>
        </is>
      </c>
      <c r="F11" s="28" t="inlineStr">
        <is>
          <t>Scenario note</t>
        </is>
      </c>
      <c r="G11" s="30" t="inlineStr">
        <is>
          <t>The paper gives altitude ranges and required groundtrack lengths, not exact parabolic equations. These rows convert those paper values into the same simplified parabola equation so outcomes can be compared on one dashboard.</t>
        </is>
      </c>
      <c r="H11" s="40" t="n"/>
      <c r="I11" s="40" t="n"/>
      <c r="J11" s="40" t="n"/>
      <c r="K11" s="40" t="n"/>
      <c r="L11" s="40" t="n"/>
      <c r="M11" s="40" t="n"/>
      <c r="N11" s="4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 customHeight="1">
      <c r="A23" s="28" t="inlineStr">
        <is>
          <t>Model note</t>
        </is>
      </c>
      <c r="B23" s="30" t="inlineStr">
        <is>
          <t>The parabola is a simplified local path, not a real mission trajectory. Use it to see how geometry changes radar outputs.</t>
        </is>
      </c>
      <c r="C23" s="40" t="n"/>
      <c r="D23" s="40" t="n"/>
      <c r="E23" s="41" t="n"/>
    </row>
    <row r="25" ht="15.75" customHeight="1">
      <c r="A25" s="39" t="inlineStr">
        <is>
          <t>Representative Europa Topography Controls</t>
        </is>
      </c>
      <c r="B25" s="40" t="n"/>
      <c r="C25" s="40" t="n"/>
      <c r="D25" s="40" t="n"/>
      <c r="E25" s="41" t="n"/>
    </row>
    <row r="26">
      <c r="A26" s="2" t="inlineStr">
        <is>
          <t>Parameter</t>
        </is>
      </c>
      <c r="B26" s="2" t="inlineStr">
        <is>
          <t>Symbol</t>
        </is>
      </c>
      <c r="C26" s="2" t="inlineStr">
        <is>
          <t>Value</t>
        </is>
      </c>
      <c r="D26" s="2" t="inlineStr">
        <is>
          <t>Unit</t>
        </is>
      </c>
      <c r="E26" s="2" t="inlineStr">
        <is>
          <t>Notes</t>
        </is>
      </c>
    </row>
    <row r="27" ht="26.25" customHeight="1">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 customHeight="1">
      <c r="A54" s="28" t="inlineStr">
        <is>
          <t>Topography note</t>
        </is>
      </c>
      <c r="B54" s="30" t="inlineStr">
        <is>
          <t>This is a detailed representative terrain model, not a real imported Europa DEM. It now combines the local project synthetic DEM shape with a seed-controlled random terrain term so you can test multiple possible surfaces.</t>
        </is>
      </c>
      <c r="C54" s="40" t="n"/>
      <c r="D54" s="40" t="n"/>
      <c r="E54" s="4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8" customWidth="1" min="3" max="3"/>
    <col width="12" customWidth="1" min="4" max="4"/>
    <col width="72" customWidth="1" min="5" max="5"/>
  </cols>
  <sheetData>
    <row r="1">
      <c r="A1" s="53" t="inlineStr">
        <is>
          <t>Europa Ice Subsurface Editable Inputs</t>
        </is>
      </c>
    </row>
    <row r="2">
      <c r="A2" s="54" t="inlineStr">
        <is>
          <t>Change the yellow values in column C. Subsurface_Live_Data and Subsurface_Dashboard update from these formulas.</t>
        </is>
      </c>
      <c r="E2" s="54" t="inlineStr">
        <is>
          <t>All editable values live on this tab. Subsurface_Dashboard is output-only.</t>
        </is>
      </c>
    </row>
    <row r="3">
      <c r="A3" s="46" t="inlineStr">
        <is>
          <t>Section</t>
        </is>
      </c>
      <c r="B3" s="46" t="inlineStr">
        <is>
          <t>Parameter</t>
        </is>
      </c>
      <c r="C3" s="46" t="inlineStr">
        <is>
          <t>Value</t>
        </is>
      </c>
      <c r="D3" s="46" t="inlineStr">
        <is>
          <t>Unit</t>
        </is>
      </c>
      <c r="E3" s="46" t="inlineStr">
        <is>
          <t>Notes</t>
        </is>
      </c>
    </row>
    <row r="4">
      <c r="A4" s="50" t="inlineStr">
        <is>
          <t>Surface</t>
        </is>
      </c>
      <c r="B4" s="50" t="inlineStr">
        <is>
          <t>Use generated icy topography</t>
        </is>
      </c>
      <c r="C4" s="57" t="inlineStr">
        <is>
          <t>TRUE</t>
        </is>
      </c>
      <c r="D4" s="50" t="n"/>
      <c r="E4" s="50" t="inlineStr">
        <is>
          <t>Surface/topography is modeled as icy terrain, not rock.</t>
        </is>
      </c>
    </row>
    <row r="5">
      <c r="A5" s="50" t="inlineStr">
        <is>
          <t>Shallow ice</t>
        </is>
      </c>
      <c r="B5" s="50" t="inlineStr">
        <is>
          <t>Upper ice layer mean depth</t>
        </is>
      </c>
      <c r="C5" s="57" t="n">
        <v>1150</v>
      </c>
      <c r="D5" s="50" t="inlineStr">
        <is>
          <t>m</t>
        </is>
      </c>
      <c r="E5" s="50" t="inlineStr">
        <is>
          <t>Depth below the local icy surface.</t>
        </is>
      </c>
    </row>
    <row r="6">
      <c r="A6" s="50" t="inlineStr">
        <is>
          <t>Shallow ice</t>
        </is>
      </c>
      <c r="B6" s="50" t="inlineStr">
        <is>
          <t>Upper ice sine amplitude</t>
        </is>
      </c>
      <c r="C6" s="57" t="n">
        <v>160</v>
      </c>
      <c r="D6" s="50" t="inlineStr">
        <is>
          <t>m</t>
        </is>
      </c>
      <c r="E6" s="50" t="inlineStr">
        <is>
          <t>Smooth undulation in shallow internal ice.</t>
        </is>
      </c>
    </row>
    <row r="7">
      <c r="A7" s="50" t="inlineStr">
        <is>
          <t>Shallow ice</t>
        </is>
      </c>
      <c r="B7" s="50" t="inlineStr">
        <is>
          <t>Upper ice phase shift</t>
        </is>
      </c>
      <c r="C7" s="57" t="n">
        <v>10</v>
      </c>
      <c r="D7" s="50" t="inlineStr">
        <is>
          <t>km</t>
        </is>
      </c>
      <c r="E7" s="50" t="inlineStr">
        <is>
          <t>Moves the shallow layer pattern left/right.</t>
        </is>
      </c>
    </row>
    <row r="8">
      <c r="A8" s="50" t="inlineStr">
        <is>
          <t>Shallow ice</t>
        </is>
      </c>
      <c r="B8" s="50" t="inlineStr">
        <is>
          <t>Upper ice sine wavelength</t>
        </is>
      </c>
      <c r="C8" s="57" t="n">
        <v>42</v>
      </c>
      <c r="D8" s="50" t="inlineStr">
        <is>
          <t>km</t>
        </is>
      </c>
      <c r="E8" s="50" t="inlineStr">
        <is>
          <t>Longer number means smoother/larger features.</t>
        </is>
      </c>
    </row>
    <row r="9">
      <c r="A9" s="50" t="inlineStr">
        <is>
          <t>Shallow ice</t>
        </is>
      </c>
      <c r="B9" s="50" t="inlineStr">
        <is>
          <t>Upper ice cosine amplitude</t>
        </is>
      </c>
      <c r="C9" s="57" t="n">
        <v>60</v>
      </c>
      <c r="D9" s="50" t="inlineStr">
        <is>
          <t>m</t>
        </is>
      </c>
      <c r="E9" s="50" t="inlineStr">
        <is>
          <t>Secondary shallow-layer variation.</t>
        </is>
      </c>
    </row>
    <row r="10">
      <c r="A10" s="50" t="inlineStr">
        <is>
          <t>Shallow ice</t>
        </is>
      </c>
      <c r="B10" s="50" t="inlineStr">
        <is>
          <t>Upper ice cosine wavelength</t>
        </is>
      </c>
      <c r="C10" s="57" t="n">
        <v>23</v>
      </c>
      <c r="D10" s="50" t="inlineStr">
        <is>
          <t>km</t>
        </is>
      </c>
      <c r="E10" s="50" t="inlineStr">
        <is>
          <t>Secondary shallow-layer spacing.</t>
        </is>
      </c>
    </row>
    <row r="11">
      <c r="A11" s="50" t="inlineStr">
        <is>
          <t>Shallow ice</t>
        </is>
      </c>
      <c r="B11" s="50" t="inlineStr">
        <is>
          <t>Surface coupling factor</t>
        </is>
      </c>
      <c r="C11" s="57" t="n">
        <v>0.04</v>
      </c>
      <c r="D11" s="50" t="n"/>
      <c r="E11" s="50" t="inlineStr">
        <is>
          <t>How much surface relief carries into shallow ice.</t>
        </is>
      </c>
    </row>
    <row r="12">
      <c r="A12" s="50" t="n"/>
      <c r="B12" s="50" t="n"/>
      <c r="C12" s="50" t="n"/>
      <c r="D12" s="50" t="n"/>
      <c r="E12" s="50" t="n"/>
    </row>
    <row r="13">
      <c r="A13" s="50" t="inlineStr">
        <is>
          <t>Warm/briny lens</t>
        </is>
      </c>
      <c r="B13" s="50" t="inlineStr">
        <is>
          <t>Lens A strength</t>
        </is>
      </c>
      <c r="C13" s="57" t="n">
        <v>0.95</v>
      </c>
      <c r="D13" s="50" t="inlineStr">
        <is>
          <t>0-1</t>
        </is>
      </c>
      <c r="E13" s="50" t="inlineStr">
        <is>
          <t>Local possible warm/briny contrast, not proven.</t>
        </is>
      </c>
    </row>
    <row r="14">
      <c r="A14" s="50" t="inlineStr">
        <is>
          <t>Warm/briny lens</t>
        </is>
      </c>
      <c r="B14" s="50" t="inlineStr">
        <is>
          <t>Lens A center</t>
        </is>
      </c>
      <c r="C14" s="57" t="n">
        <v>-24</v>
      </c>
      <c r="D14" s="50" t="inlineStr">
        <is>
          <t>km</t>
        </is>
      </c>
      <c r="E14" s="50" t="inlineStr">
        <is>
          <t>Along-track center of first possible lens.</t>
        </is>
      </c>
    </row>
    <row r="15">
      <c r="A15" s="50" t="inlineStr">
        <is>
          <t>Warm/briny lens</t>
        </is>
      </c>
      <c r="B15" s="50" t="inlineStr">
        <is>
          <t>Lens A width</t>
        </is>
      </c>
      <c r="C15" s="57" t="n">
        <v>10</v>
      </c>
      <c r="D15" s="50" t="inlineStr">
        <is>
          <t>km</t>
        </is>
      </c>
      <c r="E15" s="50" t="inlineStr">
        <is>
          <t>Controls how broad lens A is.</t>
        </is>
      </c>
    </row>
    <row r="16">
      <c r="A16" s="50" t="inlineStr">
        <is>
          <t>Warm/briny lens</t>
        </is>
      </c>
      <c r="B16" s="50" t="inlineStr">
        <is>
          <t>Lens B strength</t>
        </is>
      </c>
      <c r="C16" s="57" t="n">
        <v>0.7</v>
      </c>
      <c r="D16" s="50" t="inlineStr">
        <is>
          <t>0-1</t>
        </is>
      </c>
      <c r="E16" s="50" t="inlineStr">
        <is>
          <t>Second possible lens.</t>
        </is>
      </c>
    </row>
    <row r="17">
      <c r="A17" s="50" t="inlineStr">
        <is>
          <t>Warm/briny lens</t>
        </is>
      </c>
      <c r="B17" s="50" t="inlineStr">
        <is>
          <t>Lens B center</t>
        </is>
      </c>
      <c r="C17" s="57" t="n">
        <v>30</v>
      </c>
      <c r="D17" s="50" t="inlineStr">
        <is>
          <t>km</t>
        </is>
      </c>
      <c r="E17" s="50" t="inlineStr">
        <is>
          <t>Along-track center of second possible lens.</t>
        </is>
      </c>
    </row>
    <row r="18">
      <c r="A18" s="50" t="inlineStr">
        <is>
          <t>Warm/briny lens</t>
        </is>
      </c>
      <c r="B18" s="50" t="inlineStr">
        <is>
          <t>Lens B width</t>
        </is>
      </c>
      <c r="C18" s="57" t="n">
        <v>8</v>
      </c>
      <c r="D18" s="50" t="inlineStr">
        <is>
          <t>km</t>
        </is>
      </c>
      <c r="E18" s="50" t="inlineStr">
        <is>
          <t>Controls how broad lens B is.</t>
        </is>
      </c>
    </row>
    <row r="19">
      <c r="A19" s="50" t="inlineStr">
        <is>
          <t>Warm/briny lens</t>
        </is>
      </c>
      <c r="B19" s="50" t="inlineStr">
        <is>
          <t>Lens mean depth</t>
        </is>
      </c>
      <c r="C19" s="57" t="n">
        <v>5100</v>
      </c>
      <c r="D19" s="50" t="inlineStr">
        <is>
          <t>m</t>
        </is>
      </c>
      <c r="E19" s="50" t="inlineStr">
        <is>
          <t>Depth below local surface.</t>
        </is>
      </c>
    </row>
    <row r="20">
      <c r="A20" s="50" t="inlineStr">
        <is>
          <t>Warm/briny lens</t>
        </is>
      </c>
      <c r="B20" s="50" t="inlineStr">
        <is>
          <t>Lens depth wave amplitude</t>
        </is>
      </c>
      <c r="C20" s="57" t="n">
        <v>520</v>
      </c>
      <c r="D20" s="50" t="inlineStr">
        <is>
          <t>m</t>
        </is>
      </c>
      <c r="E20" s="50" t="inlineStr">
        <is>
          <t>Broad depth variation.</t>
        </is>
      </c>
    </row>
    <row r="21">
      <c r="A21" s="50" t="inlineStr">
        <is>
          <t>Warm/briny lens</t>
        </is>
      </c>
      <c r="B21" s="50" t="inlineStr">
        <is>
          <t>Lens depth phase shift</t>
        </is>
      </c>
      <c r="C21" s="57" t="n">
        <v>6</v>
      </c>
      <c r="D21" s="50" t="inlineStr">
        <is>
          <t>km</t>
        </is>
      </c>
      <c r="E21" s="50" t="inlineStr">
        <is>
          <t>Moves lens-depth wave left/right.</t>
        </is>
      </c>
    </row>
    <row r="22">
      <c r="A22" s="50" t="inlineStr">
        <is>
          <t>Warm/briny lens</t>
        </is>
      </c>
      <c r="B22" s="50" t="inlineStr">
        <is>
          <t>Lens depth wavelength</t>
        </is>
      </c>
      <c r="C22" s="57" t="n">
        <v>82</v>
      </c>
      <c r="D22" s="50" t="inlineStr">
        <is>
          <t>km</t>
        </is>
      </c>
      <c r="E22" s="50" t="inlineStr">
        <is>
          <t>Lens-depth wave spacing.</t>
        </is>
      </c>
    </row>
    <row r="23">
      <c r="A23" s="50" t="inlineStr">
        <is>
          <t>Warm/briny lens</t>
        </is>
      </c>
      <c r="B23" s="50" t="inlineStr">
        <is>
          <t>Lens uplift when strong</t>
        </is>
      </c>
      <c r="C23" s="57" t="n">
        <v>240</v>
      </c>
      <c r="D23" s="50" t="inlineStr">
        <is>
          <t>m</t>
        </is>
      </c>
      <c r="E23" s="50" t="inlineStr">
        <is>
          <t>Strong lens sits slightly shallower.</t>
        </is>
      </c>
    </row>
    <row r="24">
      <c r="A24" s="50" t="n"/>
      <c r="B24" s="50" t="n"/>
      <c r="C24" s="50" t="n"/>
      <c r="D24" s="50" t="n"/>
      <c r="E24" s="50" t="n"/>
    </row>
    <row r="25">
      <c r="A25" s="50" t="inlineStr">
        <is>
          <t>Ice-ocean boundary</t>
        </is>
      </c>
      <c r="B25" s="50" t="inlineStr">
        <is>
          <t>Nominal ice shell thickness</t>
        </is>
      </c>
      <c r="C25" s="57" t="n">
        <v>15000</v>
      </c>
      <c r="D25" s="50" t="inlineStr">
        <is>
          <t>m</t>
        </is>
      </c>
      <c r="E25" s="50" t="inlineStr">
        <is>
          <t>Possible bottom reflector depth.</t>
        </is>
      </c>
    </row>
    <row r="26">
      <c r="A26" s="50" t="inlineStr">
        <is>
          <t>Ice-ocean boundary</t>
        </is>
      </c>
      <c r="B26" s="50" t="inlineStr">
        <is>
          <t>Ocean boundary sine amplitude</t>
        </is>
      </c>
      <c r="C26" s="57" t="n">
        <v>760</v>
      </c>
      <c r="D26" s="50" t="inlineStr">
        <is>
          <t>m</t>
        </is>
      </c>
      <c r="E26" s="50" t="inlineStr">
        <is>
          <t>Broad thickness variation.</t>
        </is>
      </c>
    </row>
    <row r="27">
      <c r="A27" s="50" t="inlineStr">
        <is>
          <t>Ice-ocean boundary</t>
        </is>
      </c>
      <c r="B27" s="50" t="inlineStr">
        <is>
          <t>Ocean boundary sine phase</t>
        </is>
      </c>
      <c r="C27" s="57" t="n">
        <v>26</v>
      </c>
      <c r="D27" s="50" t="inlineStr">
        <is>
          <t>km</t>
        </is>
      </c>
      <c r="E27" s="50" t="inlineStr">
        <is>
          <t>Moves basal pattern left/right.</t>
        </is>
      </c>
    </row>
    <row r="28">
      <c r="A28" s="50" t="inlineStr">
        <is>
          <t>Ice-ocean boundary</t>
        </is>
      </c>
      <c r="B28" s="50" t="inlineStr">
        <is>
          <t>Ocean boundary sine wavelength</t>
        </is>
      </c>
      <c r="C28" s="57" t="n">
        <v>135</v>
      </c>
      <c r="D28" s="50" t="inlineStr">
        <is>
          <t>km</t>
        </is>
      </c>
      <c r="E28" s="50" t="inlineStr">
        <is>
          <t>Large-scale basal relief.</t>
        </is>
      </c>
    </row>
    <row r="29">
      <c r="A29" s="50" t="inlineStr">
        <is>
          <t>Ice-ocean boundary</t>
        </is>
      </c>
      <c r="B29" s="50" t="inlineStr">
        <is>
          <t>Ocean boundary cosine amplitude</t>
        </is>
      </c>
      <c r="C29" s="57" t="n">
        <v>330</v>
      </c>
      <c r="D29" s="50" t="inlineStr">
        <is>
          <t>m</t>
        </is>
      </c>
      <c r="E29" s="50" t="inlineStr">
        <is>
          <t>Secondary basal relief.</t>
        </is>
      </c>
    </row>
    <row r="30">
      <c r="A30" s="50" t="inlineStr">
        <is>
          <t>Ice-ocean boundary</t>
        </is>
      </c>
      <c r="B30" s="50" t="inlineStr">
        <is>
          <t>Ocean boundary cosine phase</t>
        </is>
      </c>
      <c r="C30" s="57" t="n">
        <v>8</v>
      </c>
      <c r="D30" s="50" t="inlineStr">
        <is>
          <t>km</t>
        </is>
      </c>
      <c r="E30" s="50" t="inlineStr">
        <is>
          <t>Moves secondary basal pattern.</t>
        </is>
      </c>
    </row>
    <row r="31">
      <c r="A31" s="50" t="inlineStr">
        <is>
          <t>Ice-ocean boundary</t>
        </is>
      </c>
      <c r="B31" s="50" t="inlineStr">
        <is>
          <t>Ocean boundary cosine wavelength</t>
        </is>
      </c>
      <c r="C31" s="57" t="n">
        <v>62</v>
      </c>
      <c r="D31" s="50" t="inlineStr">
        <is>
          <t>km</t>
        </is>
      </c>
      <c r="E31" s="50" t="inlineStr">
        <is>
          <t>Secondary basal spacing.</t>
        </is>
      </c>
    </row>
    <row r="32">
      <c r="A32" s="50" t="inlineStr">
        <is>
          <t>Ice-ocean boundary</t>
        </is>
      </c>
      <c r="B32" s="50" t="inlineStr">
        <is>
          <t>Surface anti-coupling factor</t>
        </is>
      </c>
      <c r="C32" s="57" t="n">
        <v>0.14</v>
      </c>
      <c r="D32" s="50" t="n"/>
      <c r="E32" s="50" t="inlineStr">
        <is>
          <t>Surface highs slightly reduce thickness.</t>
        </is>
      </c>
    </row>
    <row r="33">
      <c r="A33" s="50" t="n"/>
      <c r="B33" s="50" t="n"/>
      <c r="C33" s="50" t="n"/>
      <c r="D33" s="50" t="n"/>
      <c r="E33" s="50" t="n"/>
    </row>
    <row r="34">
      <c r="A34" s="50" t="inlineStr">
        <is>
          <t>Radar</t>
        </is>
      </c>
      <c r="B34" s="50" t="inlineStr">
        <is>
          <t>Ice refractive index</t>
        </is>
      </c>
      <c r="C34" s="57">
        <f>Inputs!$C$12</f>
        <v/>
      </c>
      <c r="D34" s="50" t="n"/>
      <c r="E34" s="50" t="inlineStr">
        <is>
          <t>Uses workbook ice index by default.</t>
        </is>
      </c>
    </row>
    <row r="35">
      <c r="A35" s="50" t="inlineStr">
        <is>
          <t>Radar</t>
        </is>
      </c>
      <c r="B35" s="50" t="inlineStr">
        <is>
          <t>Speed of light</t>
        </is>
      </c>
      <c r="C35" s="57" t="n">
        <v>299792458</v>
      </c>
      <c r="D35" s="50" t="inlineStr">
        <is>
          <t>m/s</t>
        </is>
      </c>
      <c r="E35" s="50" t="inlineStr">
        <is>
          <t>Used for two-way delay.</t>
        </is>
      </c>
    </row>
    <row r="36">
      <c r="A36" s="50" t="inlineStr">
        <is>
          <t>Radar</t>
        </is>
      </c>
      <c r="B36" s="50" t="inlineStr">
        <is>
          <t>One-way ice attenuation</t>
        </is>
      </c>
      <c r="C36" s="57" t="n">
        <v>0.9</v>
      </c>
      <c r="D36" s="50" t="inlineStr">
        <is>
          <t>dB/km</t>
        </is>
      </c>
      <c r="E36" s="50" t="inlineStr">
        <is>
          <t>Simple signal loss through ice.</t>
        </is>
      </c>
    </row>
    <row r="37">
      <c r="A37" s="50" t="inlineStr">
        <is>
          <t>Radar</t>
        </is>
      </c>
      <c r="B37" s="50" t="inlineStr">
        <is>
          <t>Shallow layer base echo</t>
        </is>
      </c>
      <c r="C37" s="57" t="n">
        <v>-10</v>
      </c>
      <c r="D37" s="50" t="inlineStr">
        <is>
          <t>dB</t>
        </is>
      </c>
      <c r="E37" s="50" t="inlineStr">
        <is>
          <t>Relative reflector strength before attenuation.</t>
        </is>
      </c>
    </row>
    <row r="38">
      <c r="A38" s="50" t="inlineStr">
        <is>
          <t>Radar</t>
        </is>
      </c>
      <c r="B38" s="50" t="inlineStr">
        <is>
          <t>Lens base echo</t>
        </is>
      </c>
      <c r="C38" s="57" t="n">
        <v>-24</v>
      </c>
      <c r="D38" s="50" t="inlineStr">
        <is>
          <t>dB</t>
        </is>
      </c>
      <c r="E38" s="50" t="inlineStr">
        <is>
          <t>Relative lens strength before lens multiplier and attenuation.</t>
        </is>
      </c>
    </row>
    <row r="39">
      <c r="A39" s="50" t="inlineStr">
        <is>
          <t>Radar</t>
        </is>
      </c>
      <c r="B39" s="50" t="inlineStr">
        <is>
          <t>Lens strength echo bonus</t>
        </is>
      </c>
      <c r="C39" s="57" t="n">
        <v>9</v>
      </c>
      <c r="D39" s="50" t="inlineStr">
        <is>
          <t>dB</t>
        </is>
      </c>
      <c r="E39" s="50" t="inlineStr">
        <is>
          <t>A stronger lens creates a stronger reflector.</t>
        </is>
      </c>
    </row>
    <row r="40">
      <c r="A40" s="50" t="inlineStr">
        <is>
          <t>Radar</t>
        </is>
      </c>
      <c r="B40" s="50" t="inlineStr">
        <is>
          <t>Ocean boundary base echo</t>
        </is>
      </c>
      <c r="C40" s="57" t="n">
        <v>-6</v>
      </c>
      <c r="D40" s="50" t="inlineStr">
        <is>
          <t>dB</t>
        </is>
      </c>
      <c r="E40" s="50" t="inlineStr">
        <is>
          <t>Large material contrast from ice to possible ocean.</t>
        </is>
      </c>
    </row>
    <row r="41">
      <c r="A41" s="50" t="inlineStr">
        <is>
          <t>Radar</t>
        </is>
      </c>
      <c r="B41" s="50" t="inlineStr">
        <is>
          <t>Basal roughness penalty</t>
        </is>
      </c>
      <c r="C41" s="57" t="n">
        <v>0.004</v>
      </c>
      <c r="D41" s="50" t="inlineStr">
        <is>
          <t>dB/m</t>
        </is>
      </c>
      <c r="E41" s="50" t="inlineStr">
        <is>
          <t>Rougher boundary weakens coherent echo.</t>
        </is>
      </c>
    </row>
    <row r="42">
      <c r="A42" s="50" t="inlineStr">
        <is>
          <t>Radar</t>
        </is>
      </c>
      <c r="B42" s="50" t="inlineStr">
        <is>
          <t>Lens display threshold</t>
        </is>
      </c>
      <c r="C42" s="57" t="n">
        <v>0.18</v>
      </c>
      <c r="D42" s="50" t="inlineStr">
        <is>
          <t>0-1</t>
        </is>
      </c>
      <c r="E42" s="50" t="inlineStr">
        <is>
          <t>Below this, lens is treated as too weak for chart focus.</t>
        </is>
      </c>
    </row>
    <row r="43">
      <c r="A43" s="50" t="inlineStr">
        <is>
          <t>Radar</t>
        </is>
      </c>
      <c r="B43" s="50" t="inlineStr">
        <is>
          <t>Detection threshold</t>
        </is>
      </c>
      <c r="C43" s="57" t="n">
        <v>-45</v>
      </c>
      <c r="D43" s="50" t="inlineStr">
        <is>
          <t>dB</t>
        </is>
      </c>
      <c r="E43" s="50" t="inlineStr">
        <is>
          <t>Simple threshold for treating a return as easier to see.</t>
        </is>
      </c>
    </row>
    <row r="44">
      <c r="A44" s="50" t="inlineStr">
        <is>
          <t>Uncertainty</t>
        </is>
      </c>
      <c r="B44" s="50" t="inlineStr">
        <is>
          <t>Boundary uncertainty band</t>
        </is>
      </c>
      <c r="C44" s="57" t="n">
        <v>1500</v>
      </c>
      <c r="D44" s="50" t="inlineStr">
        <is>
          <t>m</t>
        </is>
      </c>
      <c r="E44" s="50" t="inlineStr">
        <is>
          <t>Plus/minus range around the possible ice-ocean boundary.</t>
        </is>
      </c>
    </row>
    <row r="45">
      <c r="A45" s="50" t="inlineStr">
        <is>
          <t>Scenario</t>
        </is>
      </c>
      <c r="B45" s="50" t="inlineStr">
        <is>
          <t>Thin shell multiplier</t>
        </is>
      </c>
      <c r="C45" s="57" t="n">
        <v>0.55</v>
      </c>
      <c r="D45" s="50" t="n"/>
      <c r="E45" s="50" t="inlineStr">
        <is>
          <t>Creates a thinner-shell scenario from the live depth.</t>
        </is>
      </c>
    </row>
    <row r="46">
      <c r="A46" s="50" t="inlineStr">
        <is>
          <t>Scenario</t>
        </is>
      </c>
      <c r="B46" s="50" t="inlineStr">
        <is>
          <t>Thick shell multiplier</t>
        </is>
      </c>
      <c r="C46" s="57" t="n">
        <v>1.75</v>
      </c>
      <c r="D46" s="50" t="n"/>
      <c r="E46" s="50" t="inlineStr">
        <is>
          <t>Creates a thicker-shell scenario from the live depth.</t>
        </is>
      </c>
    </row>
    <row r="47">
      <c r="A47" s="50" t="inlineStr">
        <is>
          <t>Scenario</t>
        </is>
      </c>
      <c r="B47" s="50" t="inlineStr">
        <is>
          <t>No-ocean control echo</t>
        </is>
      </c>
      <c r="C47" s="57" t="n">
        <v>-60</v>
      </c>
      <c r="D47" s="50" t="inlineStr">
        <is>
          <t>dB</t>
        </is>
      </c>
      <c r="E47" s="50" t="inlineStr">
        <is>
          <t>Weak baseline return for a no-bottom-reflector control case.</t>
        </is>
      </c>
    </row>
    <row r="48">
      <c r="A48" s="50" t="inlineStr">
        <is>
          <t>Evidence</t>
        </is>
      </c>
      <c r="B48" s="50" t="inlineStr">
        <is>
          <t>Radar support score</t>
        </is>
      </c>
      <c r="C48" s="57" t="n">
        <v>55</v>
      </c>
      <c r="D48" s="50" t="inlineStr">
        <is>
          <t>%</t>
        </is>
      </c>
      <c r="E48" s="50" t="inlineStr">
        <is>
          <t>How strongly radar outputs support the proposed subsurface.</t>
        </is>
      </c>
    </row>
    <row r="49">
      <c r="A49" s="50" t="inlineStr">
        <is>
          <t>Evidence</t>
        </is>
      </c>
      <c r="B49" s="50" t="inlineStr">
        <is>
          <t>Thermal support score</t>
        </is>
      </c>
      <c r="C49" s="57" t="n">
        <v>35</v>
      </c>
      <c r="D49" s="50" t="inlineStr">
        <is>
          <t>%</t>
        </is>
      </c>
      <c r="E49" s="50" t="inlineStr">
        <is>
          <t>Proxy for E-THEMIS-style warm-region support.</t>
        </is>
      </c>
    </row>
    <row r="50">
      <c r="A50" s="50" t="inlineStr">
        <is>
          <t>Evidence</t>
        </is>
      </c>
      <c r="B50" s="50" t="inlineStr">
        <is>
          <t>Composition support score</t>
        </is>
      </c>
      <c r="C50" s="57" t="n">
        <v>40</v>
      </c>
      <c r="D50" s="50" t="inlineStr">
        <is>
          <t>%</t>
        </is>
      </c>
      <c r="E50" s="50" t="inlineStr">
        <is>
          <t>Proxy for MISE-style salts/ice/organic context.</t>
        </is>
      </c>
    </row>
    <row r="51">
      <c r="A51" s="50" t="inlineStr">
        <is>
          <t>Evidence</t>
        </is>
      </c>
      <c r="B51" s="50" t="inlineStr">
        <is>
          <t>Magnetic/plasma support score</t>
        </is>
      </c>
      <c r="C51" s="57" t="n">
        <v>50</v>
      </c>
      <c r="D51" s="50" t="inlineStr">
        <is>
          <t>%</t>
        </is>
      </c>
      <c r="E51" s="50" t="inlineStr">
        <is>
          <t>Proxy for ECM/PIMS-style ocean support.</t>
        </is>
      </c>
    </row>
    <row r="52">
      <c r="A52" s="50" t="inlineStr">
        <is>
          <t>Evidence</t>
        </is>
      </c>
      <c r="B52" s="50" t="inlineStr">
        <is>
          <t>Radar evidence weight</t>
        </is>
      </c>
      <c r="C52" s="57" t="n">
        <v>40</v>
      </c>
      <c r="D52" s="50" t="inlineStr">
        <is>
          <t>%</t>
        </is>
      </c>
      <c r="E52" s="50" t="inlineStr">
        <is>
          <t>Radar should carry the most weight here.</t>
        </is>
      </c>
    </row>
    <row r="53">
      <c r="A53" s="50" t="inlineStr">
        <is>
          <t>Evidence</t>
        </is>
      </c>
      <c r="B53" s="50" t="inlineStr">
        <is>
          <t>Thermal evidence weight</t>
        </is>
      </c>
      <c r="C53" s="57" t="n">
        <v>20</v>
      </c>
      <c r="D53" s="50" t="inlineStr">
        <is>
          <t>%</t>
        </is>
      </c>
      <c r="E53" s="50" t="inlineStr">
        <is>
          <t>Thermal evidence is supporting context.</t>
        </is>
      </c>
    </row>
    <row r="54">
      <c r="A54" s="50" t="inlineStr">
        <is>
          <t>Evidence</t>
        </is>
      </c>
      <c r="B54" s="50" t="inlineStr">
        <is>
          <t>Composition evidence weight</t>
        </is>
      </c>
      <c r="C54" s="57" t="n">
        <v>20</v>
      </c>
      <c r="D54" s="50" t="inlineStr">
        <is>
          <t>%</t>
        </is>
      </c>
      <c r="E54" s="50" t="inlineStr">
        <is>
          <t>Surface composition is supporting context.</t>
        </is>
      </c>
    </row>
    <row r="55">
      <c r="A55" s="50" t="inlineStr">
        <is>
          <t>Evidence</t>
        </is>
      </c>
      <c r="B55" s="50" t="inlineStr">
        <is>
          <t>Magnetic/plasma evidence weight</t>
        </is>
      </c>
      <c r="C55" s="57" t="n">
        <v>20</v>
      </c>
      <c r="D55" s="50" t="inlineStr">
        <is>
          <t>%</t>
        </is>
      </c>
      <c r="E55" s="50" t="inlineStr">
        <is>
          <t>Interior/ocean support from non-radar instruments.</t>
        </is>
      </c>
    </row>
    <row r="56">
      <c r="A56" s="50" t="inlineStr">
        <is>
          <t>Radargram</t>
        </is>
      </c>
      <c r="B56" s="50" t="inlineStr">
        <is>
          <t>Radargram timing jitter</t>
        </is>
      </c>
      <c r="C56" s="57" t="n">
        <v>1.5</v>
      </c>
      <c r="D56" s="50" t="inlineStr">
        <is>
          <t>us</t>
        </is>
      </c>
      <c r="E56" s="50" t="inlineStr">
        <is>
          <t>Adds deterministic timing wiggle to radargram-style chart.</t>
        </is>
      </c>
    </row>
    <row r="57">
      <c r="A57" s="50" t="inlineStr">
        <is>
          <t>Radargram</t>
        </is>
      </c>
      <c r="B57" s="50" t="inlineStr">
        <is>
          <t>Surface clutter band</t>
        </is>
      </c>
      <c r="C57" s="57" t="n">
        <v>12</v>
      </c>
      <c r="D57" s="50" t="inlineStr">
        <is>
          <t>us</t>
        </is>
      </c>
      <c r="E57" s="50" t="inlineStr">
        <is>
          <t>Approximate near-surface clutter window.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5"/>
  <cols>
    <col width="10" customWidth="1" min="1" max="2"/>
    <col width="12" customWidth="1" min="3" max="5"/>
    <col width="16" customWidth="1" min="6" max="6"/>
    <col width="14" customWidth="1" min="7" max="7"/>
    <col width="16" customWidth="1" min="8" max="8"/>
    <col width="14" customWidth="1" min="9" max="11"/>
    <col width="11" customWidth="1" min="12" max="12"/>
    <col width="10" customWidth="1" min="13" max="13"/>
    <col width="12" customWidth="1" min="14" max="14"/>
    <col width="14" customWidth="1" min="15" max="17"/>
    <col width="13" customWidth="1" min="18" max="21"/>
    <col width="16" customWidth="1" min="22" max="23"/>
    <col width="13" customWidth="1" min="24" max="25"/>
    <col width="15" customWidth="1" min="26" max="28"/>
    <col width="18" customWidth="1" min="29" max="30"/>
    <col width="16" customWidth="1" min="31" max="33"/>
    <col width="14" customWidth="1" min="34" max="34"/>
    <col width="20" customWidth="1" min="35" max="36"/>
    <col width="18" customWidth="1" min="37" max="43"/>
    <col width="16" customWidth="1" min="44" max="45"/>
  </cols>
  <sheetData>
    <row r="1" ht="26.25" customHeight="1">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A2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21" customWidth="1" min="23" max="23"/>
    <col width="21" customWidth="1" min="24" max="24"/>
    <col width="21" customWidth="1" min="25" max="25"/>
    <col width="21" customWidth="1" min="26" max="26"/>
    <col width="21" customWidth="1" min="27" max="27"/>
  </cols>
  <sheetData>
    <row r="1">
      <c r="A1" s="46" t="inlineStr">
        <is>
          <t>x_km</t>
        </is>
      </c>
      <c r="B1" s="46" t="inlineStr">
        <is>
          <t>surface_height_m</t>
        </is>
      </c>
      <c r="C1" s="46" t="inlineStr">
        <is>
          <t>nadir_height_m</t>
        </is>
      </c>
      <c r="D1" s="46" t="inlineStr">
        <is>
          <t>spacecraft_altitude_km</t>
        </is>
      </c>
      <c r="E1" s="46" t="inlineStr">
        <is>
          <t>target_y_km</t>
        </is>
      </c>
      <c r="F1" s="46" t="inlineStr">
        <is>
          <t>upper_ice_layer_depth_m</t>
        </is>
      </c>
      <c r="G1" s="46" t="inlineStr">
        <is>
          <t>upper_ice_layer_elevation_m</t>
        </is>
      </c>
      <c r="H1" s="46" t="inlineStr">
        <is>
          <t>lens_strength_0to1</t>
        </is>
      </c>
      <c r="I1" s="46" t="inlineStr">
        <is>
          <t>briny_warm_lens_depth_m</t>
        </is>
      </c>
      <c r="J1" s="46" t="inlineStr">
        <is>
          <t>briny_warm_lens_elevation_m</t>
        </is>
      </c>
      <c r="K1" s="46" t="inlineStr">
        <is>
          <t>ice_ocean_boundary_depth_m</t>
        </is>
      </c>
      <c r="L1" s="46" t="inlineStr">
        <is>
          <t>ice_ocean_boundary_elevation_m</t>
        </is>
      </c>
      <c r="M1" s="46" t="inlineStr">
        <is>
          <t>upper_ice_layer_delay_us</t>
        </is>
      </c>
      <c r="N1" s="46" t="inlineStr">
        <is>
          <t>briny_warm_lens_delay_us</t>
        </is>
      </c>
      <c r="O1" s="46" t="inlineStr">
        <is>
          <t>ice_ocean_boundary_delay_us</t>
        </is>
      </c>
      <c r="P1" s="46" t="inlineStr">
        <is>
          <t>upper_ice_layer_echo_db</t>
        </is>
      </c>
      <c r="Q1" s="46" t="inlineStr">
        <is>
          <t>briny_warm_lens_echo_db</t>
        </is>
      </c>
      <c r="R1" s="46" t="inlineStr">
        <is>
          <t>ice_ocean_boundary_echo_db</t>
        </is>
      </c>
      <c r="S1" s="46" t="inlineStr">
        <is>
          <t>ice_thickness_variation_m</t>
        </is>
      </c>
      <c r="T1" s="46" t="inlineStr">
        <is>
          <t>ocean_to_shallow_depth_ratio</t>
        </is>
      </c>
      <c r="U1" s="46" t="inlineStr">
        <is>
          <t>lens_visible_flag</t>
        </is>
      </c>
      <c r="V1" s="46" t="inlineStr">
        <is>
          <t>ocean_echo_flag</t>
        </is>
      </c>
      <c r="W1" s="46" t="inlineStr">
        <is>
          <t>detection_threshold_db</t>
        </is>
      </c>
      <c r="X1" s="46" t="inlineStr">
        <is>
          <t>lens_echo_margin_db</t>
        </is>
      </c>
      <c r="Y1" s="46" t="inlineStr">
        <is>
          <t>ocean_echo_margin_db</t>
        </is>
      </c>
      <c r="Z1" s="46" t="inlineStr">
        <is>
          <t>best_deep_return_margin_db</t>
        </is>
      </c>
      <c r="AA1" s="46" t="inlineStr">
        <is>
          <t>zero_margin_reference</t>
        </is>
      </c>
    </row>
    <row r="2">
      <c r="A2" s="47">
        <f>Model_Data!A2</f>
        <v/>
      </c>
      <c r="B2" s="47">
        <f>Model_Data!Y2</f>
        <v/>
      </c>
      <c r="C2" s="47">
        <f>Model_Data!X2</f>
        <v/>
      </c>
      <c r="D2" s="47">
        <f>Model_Data!B2</f>
        <v/>
      </c>
      <c r="E2" s="47">
        <f>Inputs!$C$6</f>
        <v/>
      </c>
      <c r="F2" s="47">
        <f>Subsurface_Inputs!$C$5+Subsurface_Inputs!$C$6*SIN(2*PI()*(A2+Subsurface_Inputs!$C$7)/Subsurface_Inputs!$C$8)+Subsurface_Inputs!$C$9*COS(2*PI()*A2/Subsurface_Inputs!$C$10)+Subsurface_Inputs!$C$11*(B2-AVERAGE($B$2:$B$242))</f>
        <v/>
      </c>
      <c r="G2" s="47">
        <f>B2-F2</f>
        <v/>
      </c>
      <c r="H2" s="47">
        <f>MIN(1,MAX(0,Subsurface_Inputs!$C$13*EXP(-0.5*((A2-Subsurface_Inputs!$C$14)/Subsurface_Inputs!$C$15)^2)+Subsurface_Inputs!$C$16*EXP(-0.5*((A2-Subsurface_Inputs!$C$17)/Subsurface_Inputs!$C$18)^2)))</f>
        <v/>
      </c>
      <c r="I2" s="47">
        <f>Subsurface_Inputs!$C$19+Subsurface_Inputs!$C$20*SIN(2*PI()*(A2-Subsurface_Inputs!$C$21)/Subsurface_Inputs!$C$22)-Subsurface_Inputs!$C$23*H2</f>
        <v/>
      </c>
      <c r="J2" s="47">
        <f>B2-I2</f>
        <v/>
      </c>
      <c r="K2" s="47">
        <f>Subsurface_Inputs!$C$25+Subsurface_Inputs!$C$26*SIN(2*PI()*(A2+Subsurface_Inputs!$C$27)/Subsurface_Inputs!$C$28)+Subsurface_Inputs!$C$29*COS(2*PI()*(A2-Subsurface_Inputs!$C$30)/Subsurface_Inputs!$C$31)-Subsurface_Inputs!$C$32*(B2-AVERAGE($B$2:$B$242))</f>
        <v/>
      </c>
      <c r="L2" s="47">
        <f>B2-K2</f>
        <v/>
      </c>
      <c r="M2" s="47">
        <f>2*Subsurface_Inputs!$C$34*F2/Subsurface_Inputs!$C$35*1000000</f>
        <v/>
      </c>
      <c r="N2" s="47">
        <f>2*Subsurface_Inputs!$C$34*I2/Subsurface_Inputs!$C$35*1000000</f>
        <v/>
      </c>
      <c r="O2" s="47">
        <f>2*Subsurface_Inputs!$C$34*K2/Subsurface_Inputs!$C$35*1000000</f>
        <v/>
      </c>
      <c r="P2" s="47">
        <f>Subsurface_Inputs!$C$37-2*Subsurface_Inputs!$C$36*(F2/1000)</f>
        <v/>
      </c>
      <c r="Q2" s="47">
        <f>Subsurface_Inputs!$C$38+Subsurface_Inputs!$C$39*H2-2*Subsurface_Inputs!$C$36*(I2/1000)</f>
        <v/>
      </c>
      <c r="R2" s="47">
        <f>Subsurface_Inputs!$C$40-2*Subsurface_Inputs!$C$36*(K2/1000)-Subsurface_Inputs!$C$41*ABS(L2-AVERAGE($L$2:$L$242))</f>
        <v/>
      </c>
      <c r="S2" s="47">
        <f>K2-AVERAGE($K$2:$K$242)</f>
        <v/>
      </c>
      <c r="T2" s="47">
        <f>K2/F2</f>
        <v/>
      </c>
      <c r="U2" s="50">
        <f>IF(H2&gt;=Subsurface_Inputs!$C$42,"Lens visible","Weak/no lens")</f>
        <v/>
      </c>
      <c r="V2" s="50">
        <f>IF(R2&gt;=W2,"Likely visible","Weak")</f>
        <v/>
      </c>
      <c r="W2" s="47">
        <f>Subsurface_Inputs!$C$43</f>
        <v/>
      </c>
      <c r="X2" s="47">
        <f>Q2-W2</f>
        <v/>
      </c>
      <c r="Y2" s="47">
        <f>R2-W2</f>
        <v/>
      </c>
      <c r="Z2" s="47">
        <f>MAX(Q2,R2)-W2</f>
        <v/>
      </c>
      <c r="AA2" s="47" t="n">
        <v>0</v>
      </c>
    </row>
    <row r="3">
      <c r="A3" s="47">
        <f>Model_Data!A3</f>
        <v/>
      </c>
      <c r="B3" s="47">
        <f>Model_Data!Y3</f>
        <v/>
      </c>
      <c r="C3" s="47">
        <f>Model_Data!X3</f>
        <v/>
      </c>
      <c r="D3" s="47">
        <f>Model_Data!B3</f>
        <v/>
      </c>
      <c r="E3" s="47">
        <f>Inputs!$C$6</f>
        <v/>
      </c>
      <c r="F3" s="47">
        <f>Subsurface_Inputs!$C$5+Subsurface_Inputs!$C$6*SIN(2*PI()*(A3+Subsurface_Inputs!$C$7)/Subsurface_Inputs!$C$8)+Subsurface_Inputs!$C$9*COS(2*PI()*A3/Subsurface_Inputs!$C$10)+Subsurface_Inputs!$C$11*(B3-AVERAGE($B$2:$B$242))</f>
        <v/>
      </c>
      <c r="G3" s="47">
        <f>B3-F3</f>
        <v/>
      </c>
      <c r="H3" s="47">
        <f>MIN(1,MAX(0,Subsurface_Inputs!$C$13*EXP(-0.5*((A3-Subsurface_Inputs!$C$14)/Subsurface_Inputs!$C$15)^2)+Subsurface_Inputs!$C$16*EXP(-0.5*((A3-Subsurface_Inputs!$C$17)/Subsurface_Inputs!$C$18)^2)))</f>
        <v/>
      </c>
      <c r="I3" s="47">
        <f>Subsurface_Inputs!$C$19+Subsurface_Inputs!$C$20*SIN(2*PI()*(A3-Subsurface_Inputs!$C$21)/Subsurface_Inputs!$C$22)-Subsurface_Inputs!$C$23*H3</f>
        <v/>
      </c>
      <c r="J3" s="47">
        <f>B3-I3</f>
        <v/>
      </c>
      <c r="K3" s="47">
        <f>Subsurface_Inputs!$C$25+Subsurface_Inputs!$C$26*SIN(2*PI()*(A3+Subsurface_Inputs!$C$27)/Subsurface_Inputs!$C$28)+Subsurface_Inputs!$C$29*COS(2*PI()*(A3-Subsurface_Inputs!$C$30)/Subsurface_Inputs!$C$31)-Subsurface_Inputs!$C$32*(B3-AVERAGE($B$2:$B$242))</f>
        <v/>
      </c>
      <c r="L3" s="47">
        <f>B3-K3</f>
        <v/>
      </c>
      <c r="M3" s="47">
        <f>2*Subsurface_Inputs!$C$34*F3/Subsurface_Inputs!$C$35*1000000</f>
        <v/>
      </c>
      <c r="N3" s="47">
        <f>2*Subsurface_Inputs!$C$34*I3/Subsurface_Inputs!$C$35*1000000</f>
        <v/>
      </c>
      <c r="O3" s="47">
        <f>2*Subsurface_Inputs!$C$34*K3/Subsurface_Inputs!$C$35*1000000</f>
        <v/>
      </c>
      <c r="P3" s="47">
        <f>Subsurface_Inputs!$C$37-2*Subsurface_Inputs!$C$36*(F3/1000)</f>
        <v/>
      </c>
      <c r="Q3" s="47">
        <f>Subsurface_Inputs!$C$38+Subsurface_Inputs!$C$39*H3-2*Subsurface_Inputs!$C$36*(I3/1000)</f>
        <v/>
      </c>
      <c r="R3" s="47">
        <f>Subsurface_Inputs!$C$40-2*Subsurface_Inputs!$C$36*(K3/1000)-Subsurface_Inputs!$C$41*ABS(L3-AVERAGE($L$2:$L$242))</f>
        <v/>
      </c>
      <c r="S3" s="47">
        <f>K3-AVERAGE($K$2:$K$242)</f>
        <v/>
      </c>
      <c r="T3" s="47">
        <f>K3/F3</f>
        <v/>
      </c>
      <c r="U3" s="50">
        <f>IF(H3&gt;=Subsurface_Inputs!$C$42,"Lens visible","Weak/no lens")</f>
        <v/>
      </c>
      <c r="V3" s="50">
        <f>IF(R3&gt;=W3,"Likely visible","Weak")</f>
        <v/>
      </c>
      <c r="W3" s="47">
        <f>Subsurface_Inputs!$C$43</f>
        <v/>
      </c>
      <c r="X3" s="47">
        <f>Q3-W3</f>
        <v/>
      </c>
      <c r="Y3" s="47">
        <f>R3-W3</f>
        <v/>
      </c>
      <c r="Z3" s="47">
        <f>MAX(Q3,R3)-W3</f>
        <v/>
      </c>
      <c r="AA3" s="47" t="n">
        <v>0</v>
      </c>
    </row>
    <row r="4">
      <c r="A4" s="47">
        <f>Model_Data!A4</f>
        <v/>
      </c>
      <c r="B4" s="47">
        <f>Model_Data!Y4</f>
        <v/>
      </c>
      <c r="C4" s="47">
        <f>Model_Data!X4</f>
        <v/>
      </c>
      <c r="D4" s="47">
        <f>Model_Data!B4</f>
        <v/>
      </c>
      <c r="E4" s="47">
        <f>Inputs!$C$6</f>
        <v/>
      </c>
      <c r="F4" s="47">
        <f>Subsurface_Inputs!$C$5+Subsurface_Inputs!$C$6*SIN(2*PI()*(A4+Subsurface_Inputs!$C$7)/Subsurface_Inputs!$C$8)+Subsurface_Inputs!$C$9*COS(2*PI()*A4/Subsurface_Inputs!$C$10)+Subsurface_Inputs!$C$11*(B4-AVERAGE($B$2:$B$242))</f>
        <v/>
      </c>
      <c r="G4" s="47">
        <f>B4-F4</f>
        <v/>
      </c>
      <c r="H4" s="47">
        <f>MIN(1,MAX(0,Subsurface_Inputs!$C$13*EXP(-0.5*((A4-Subsurface_Inputs!$C$14)/Subsurface_Inputs!$C$15)^2)+Subsurface_Inputs!$C$16*EXP(-0.5*((A4-Subsurface_Inputs!$C$17)/Subsurface_Inputs!$C$18)^2)))</f>
        <v/>
      </c>
      <c r="I4" s="47">
        <f>Subsurface_Inputs!$C$19+Subsurface_Inputs!$C$20*SIN(2*PI()*(A4-Subsurface_Inputs!$C$21)/Subsurface_Inputs!$C$22)-Subsurface_Inputs!$C$23*H4</f>
        <v/>
      </c>
      <c r="J4" s="47">
        <f>B4-I4</f>
        <v/>
      </c>
      <c r="K4" s="47">
        <f>Subsurface_Inputs!$C$25+Subsurface_Inputs!$C$26*SIN(2*PI()*(A4+Subsurface_Inputs!$C$27)/Subsurface_Inputs!$C$28)+Subsurface_Inputs!$C$29*COS(2*PI()*(A4-Subsurface_Inputs!$C$30)/Subsurface_Inputs!$C$31)-Subsurface_Inputs!$C$32*(B4-AVERAGE($B$2:$B$242))</f>
        <v/>
      </c>
      <c r="L4" s="47">
        <f>B4-K4</f>
        <v/>
      </c>
      <c r="M4" s="47">
        <f>2*Subsurface_Inputs!$C$34*F4/Subsurface_Inputs!$C$35*1000000</f>
        <v/>
      </c>
      <c r="N4" s="47">
        <f>2*Subsurface_Inputs!$C$34*I4/Subsurface_Inputs!$C$35*1000000</f>
        <v/>
      </c>
      <c r="O4" s="47">
        <f>2*Subsurface_Inputs!$C$34*K4/Subsurface_Inputs!$C$35*1000000</f>
        <v/>
      </c>
      <c r="P4" s="47">
        <f>Subsurface_Inputs!$C$37-2*Subsurface_Inputs!$C$36*(F4/1000)</f>
        <v/>
      </c>
      <c r="Q4" s="47">
        <f>Subsurface_Inputs!$C$38+Subsurface_Inputs!$C$39*H4-2*Subsurface_Inputs!$C$36*(I4/1000)</f>
        <v/>
      </c>
      <c r="R4" s="47">
        <f>Subsurface_Inputs!$C$40-2*Subsurface_Inputs!$C$36*(K4/1000)-Subsurface_Inputs!$C$41*ABS(L4-AVERAGE($L$2:$L$242))</f>
        <v/>
      </c>
      <c r="S4" s="47">
        <f>K4-AVERAGE($K$2:$K$242)</f>
        <v/>
      </c>
      <c r="T4" s="47">
        <f>K4/F4</f>
        <v/>
      </c>
      <c r="U4" s="50">
        <f>IF(H4&gt;=Subsurface_Inputs!$C$42,"Lens visible","Weak/no lens")</f>
        <v/>
      </c>
      <c r="V4" s="50">
        <f>IF(R4&gt;=W4,"Likely visible","Weak")</f>
        <v/>
      </c>
      <c r="W4" s="47">
        <f>Subsurface_Inputs!$C$43</f>
        <v/>
      </c>
      <c r="X4" s="47">
        <f>Q4-W4</f>
        <v/>
      </c>
      <c r="Y4" s="47">
        <f>R4-W4</f>
        <v/>
      </c>
      <c r="Z4" s="47">
        <f>MAX(Q4,R4)-W4</f>
        <v/>
      </c>
      <c r="AA4" s="47" t="n">
        <v>0</v>
      </c>
    </row>
    <row r="5">
      <c r="A5" s="47">
        <f>Model_Data!A5</f>
        <v/>
      </c>
      <c r="B5" s="47">
        <f>Model_Data!Y5</f>
        <v/>
      </c>
      <c r="C5" s="47">
        <f>Model_Data!X5</f>
        <v/>
      </c>
      <c r="D5" s="47">
        <f>Model_Data!B5</f>
        <v/>
      </c>
      <c r="E5" s="47">
        <f>Inputs!$C$6</f>
        <v/>
      </c>
      <c r="F5" s="47">
        <f>Subsurface_Inputs!$C$5+Subsurface_Inputs!$C$6*SIN(2*PI()*(A5+Subsurface_Inputs!$C$7)/Subsurface_Inputs!$C$8)+Subsurface_Inputs!$C$9*COS(2*PI()*A5/Subsurface_Inputs!$C$10)+Subsurface_Inputs!$C$11*(B5-AVERAGE($B$2:$B$242))</f>
        <v/>
      </c>
      <c r="G5" s="47">
        <f>B5-F5</f>
        <v/>
      </c>
      <c r="H5" s="47">
        <f>MIN(1,MAX(0,Subsurface_Inputs!$C$13*EXP(-0.5*((A5-Subsurface_Inputs!$C$14)/Subsurface_Inputs!$C$15)^2)+Subsurface_Inputs!$C$16*EXP(-0.5*((A5-Subsurface_Inputs!$C$17)/Subsurface_Inputs!$C$18)^2)))</f>
        <v/>
      </c>
      <c r="I5" s="47">
        <f>Subsurface_Inputs!$C$19+Subsurface_Inputs!$C$20*SIN(2*PI()*(A5-Subsurface_Inputs!$C$21)/Subsurface_Inputs!$C$22)-Subsurface_Inputs!$C$23*H5</f>
        <v/>
      </c>
      <c r="J5" s="47">
        <f>B5-I5</f>
        <v/>
      </c>
      <c r="K5" s="47">
        <f>Subsurface_Inputs!$C$25+Subsurface_Inputs!$C$26*SIN(2*PI()*(A5+Subsurface_Inputs!$C$27)/Subsurface_Inputs!$C$28)+Subsurface_Inputs!$C$29*COS(2*PI()*(A5-Subsurface_Inputs!$C$30)/Subsurface_Inputs!$C$31)-Subsurface_Inputs!$C$32*(B5-AVERAGE($B$2:$B$242))</f>
        <v/>
      </c>
      <c r="L5" s="47">
        <f>B5-K5</f>
        <v/>
      </c>
      <c r="M5" s="47">
        <f>2*Subsurface_Inputs!$C$34*F5/Subsurface_Inputs!$C$35*1000000</f>
        <v/>
      </c>
      <c r="N5" s="47">
        <f>2*Subsurface_Inputs!$C$34*I5/Subsurface_Inputs!$C$35*1000000</f>
        <v/>
      </c>
      <c r="O5" s="47">
        <f>2*Subsurface_Inputs!$C$34*K5/Subsurface_Inputs!$C$35*1000000</f>
        <v/>
      </c>
      <c r="P5" s="47">
        <f>Subsurface_Inputs!$C$37-2*Subsurface_Inputs!$C$36*(F5/1000)</f>
        <v/>
      </c>
      <c r="Q5" s="47">
        <f>Subsurface_Inputs!$C$38+Subsurface_Inputs!$C$39*H5-2*Subsurface_Inputs!$C$36*(I5/1000)</f>
        <v/>
      </c>
      <c r="R5" s="47">
        <f>Subsurface_Inputs!$C$40-2*Subsurface_Inputs!$C$36*(K5/1000)-Subsurface_Inputs!$C$41*ABS(L5-AVERAGE($L$2:$L$242))</f>
        <v/>
      </c>
      <c r="S5" s="47">
        <f>K5-AVERAGE($K$2:$K$242)</f>
        <v/>
      </c>
      <c r="T5" s="47">
        <f>K5/F5</f>
        <v/>
      </c>
      <c r="U5" s="50">
        <f>IF(H5&gt;=Subsurface_Inputs!$C$42,"Lens visible","Weak/no lens")</f>
        <v/>
      </c>
      <c r="V5" s="50">
        <f>IF(R5&gt;=W5,"Likely visible","Weak")</f>
        <v/>
      </c>
      <c r="W5" s="47">
        <f>Subsurface_Inputs!$C$43</f>
        <v/>
      </c>
      <c r="X5" s="47">
        <f>Q5-W5</f>
        <v/>
      </c>
      <c r="Y5" s="47">
        <f>R5-W5</f>
        <v/>
      </c>
      <c r="Z5" s="47">
        <f>MAX(Q5,R5)-W5</f>
        <v/>
      </c>
      <c r="AA5" s="47" t="n">
        <v>0</v>
      </c>
    </row>
    <row r="6">
      <c r="A6" s="47">
        <f>Model_Data!A6</f>
        <v/>
      </c>
      <c r="B6" s="47">
        <f>Model_Data!Y6</f>
        <v/>
      </c>
      <c r="C6" s="47">
        <f>Model_Data!X6</f>
        <v/>
      </c>
      <c r="D6" s="47">
        <f>Model_Data!B6</f>
        <v/>
      </c>
      <c r="E6" s="47">
        <f>Inputs!$C$6</f>
        <v/>
      </c>
      <c r="F6" s="47">
        <f>Subsurface_Inputs!$C$5+Subsurface_Inputs!$C$6*SIN(2*PI()*(A6+Subsurface_Inputs!$C$7)/Subsurface_Inputs!$C$8)+Subsurface_Inputs!$C$9*COS(2*PI()*A6/Subsurface_Inputs!$C$10)+Subsurface_Inputs!$C$11*(B6-AVERAGE($B$2:$B$242))</f>
        <v/>
      </c>
      <c r="G6" s="47">
        <f>B6-F6</f>
        <v/>
      </c>
      <c r="H6" s="47">
        <f>MIN(1,MAX(0,Subsurface_Inputs!$C$13*EXP(-0.5*((A6-Subsurface_Inputs!$C$14)/Subsurface_Inputs!$C$15)^2)+Subsurface_Inputs!$C$16*EXP(-0.5*((A6-Subsurface_Inputs!$C$17)/Subsurface_Inputs!$C$18)^2)))</f>
        <v/>
      </c>
      <c r="I6" s="47">
        <f>Subsurface_Inputs!$C$19+Subsurface_Inputs!$C$20*SIN(2*PI()*(A6-Subsurface_Inputs!$C$21)/Subsurface_Inputs!$C$22)-Subsurface_Inputs!$C$23*H6</f>
        <v/>
      </c>
      <c r="J6" s="47">
        <f>B6-I6</f>
        <v/>
      </c>
      <c r="K6" s="47">
        <f>Subsurface_Inputs!$C$25+Subsurface_Inputs!$C$26*SIN(2*PI()*(A6+Subsurface_Inputs!$C$27)/Subsurface_Inputs!$C$28)+Subsurface_Inputs!$C$29*COS(2*PI()*(A6-Subsurface_Inputs!$C$30)/Subsurface_Inputs!$C$31)-Subsurface_Inputs!$C$32*(B6-AVERAGE($B$2:$B$242))</f>
        <v/>
      </c>
      <c r="L6" s="47">
        <f>B6-K6</f>
        <v/>
      </c>
      <c r="M6" s="47">
        <f>2*Subsurface_Inputs!$C$34*F6/Subsurface_Inputs!$C$35*1000000</f>
        <v/>
      </c>
      <c r="N6" s="47">
        <f>2*Subsurface_Inputs!$C$34*I6/Subsurface_Inputs!$C$35*1000000</f>
        <v/>
      </c>
      <c r="O6" s="47">
        <f>2*Subsurface_Inputs!$C$34*K6/Subsurface_Inputs!$C$35*1000000</f>
        <v/>
      </c>
      <c r="P6" s="47">
        <f>Subsurface_Inputs!$C$37-2*Subsurface_Inputs!$C$36*(F6/1000)</f>
        <v/>
      </c>
      <c r="Q6" s="47">
        <f>Subsurface_Inputs!$C$38+Subsurface_Inputs!$C$39*H6-2*Subsurface_Inputs!$C$36*(I6/1000)</f>
        <v/>
      </c>
      <c r="R6" s="47">
        <f>Subsurface_Inputs!$C$40-2*Subsurface_Inputs!$C$36*(K6/1000)-Subsurface_Inputs!$C$41*ABS(L6-AVERAGE($L$2:$L$242))</f>
        <v/>
      </c>
      <c r="S6" s="47">
        <f>K6-AVERAGE($K$2:$K$242)</f>
        <v/>
      </c>
      <c r="T6" s="47">
        <f>K6/F6</f>
        <v/>
      </c>
      <c r="U6" s="50">
        <f>IF(H6&gt;=Subsurface_Inputs!$C$42,"Lens visible","Weak/no lens")</f>
        <v/>
      </c>
      <c r="V6" s="50">
        <f>IF(R6&gt;=W6,"Likely visible","Weak")</f>
        <v/>
      </c>
      <c r="W6" s="47">
        <f>Subsurface_Inputs!$C$43</f>
        <v/>
      </c>
      <c r="X6" s="47">
        <f>Q6-W6</f>
        <v/>
      </c>
      <c r="Y6" s="47">
        <f>R6-W6</f>
        <v/>
      </c>
      <c r="Z6" s="47">
        <f>MAX(Q6,R6)-W6</f>
        <v/>
      </c>
      <c r="AA6" s="47" t="n">
        <v>0</v>
      </c>
    </row>
    <row r="7">
      <c r="A7" s="47">
        <f>Model_Data!A7</f>
        <v/>
      </c>
      <c r="B7" s="47">
        <f>Model_Data!Y7</f>
        <v/>
      </c>
      <c r="C7" s="47">
        <f>Model_Data!X7</f>
        <v/>
      </c>
      <c r="D7" s="47">
        <f>Model_Data!B7</f>
        <v/>
      </c>
      <c r="E7" s="47">
        <f>Inputs!$C$6</f>
        <v/>
      </c>
      <c r="F7" s="47">
        <f>Subsurface_Inputs!$C$5+Subsurface_Inputs!$C$6*SIN(2*PI()*(A7+Subsurface_Inputs!$C$7)/Subsurface_Inputs!$C$8)+Subsurface_Inputs!$C$9*COS(2*PI()*A7/Subsurface_Inputs!$C$10)+Subsurface_Inputs!$C$11*(B7-AVERAGE($B$2:$B$242))</f>
        <v/>
      </c>
      <c r="G7" s="47">
        <f>B7-F7</f>
        <v/>
      </c>
      <c r="H7" s="47">
        <f>MIN(1,MAX(0,Subsurface_Inputs!$C$13*EXP(-0.5*((A7-Subsurface_Inputs!$C$14)/Subsurface_Inputs!$C$15)^2)+Subsurface_Inputs!$C$16*EXP(-0.5*((A7-Subsurface_Inputs!$C$17)/Subsurface_Inputs!$C$18)^2)))</f>
        <v/>
      </c>
      <c r="I7" s="47">
        <f>Subsurface_Inputs!$C$19+Subsurface_Inputs!$C$20*SIN(2*PI()*(A7-Subsurface_Inputs!$C$21)/Subsurface_Inputs!$C$22)-Subsurface_Inputs!$C$23*H7</f>
        <v/>
      </c>
      <c r="J7" s="47">
        <f>B7-I7</f>
        <v/>
      </c>
      <c r="K7" s="47">
        <f>Subsurface_Inputs!$C$25+Subsurface_Inputs!$C$26*SIN(2*PI()*(A7+Subsurface_Inputs!$C$27)/Subsurface_Inputs!$C$28)+Subsurface_Inputs!$C$29*COS(2*PI()*(A7-Subsurface_Inputs!$C$30)/Subsurface_Inputs!$C$31)-Subsurface_Inputs!$C$32*(B7-AVERAGE($B$2:$B$242))</f>
        <v/>
      </c>
      <c r="L7" s="47">
        <f>B7-K7</f>
        <v/>
      </c>
      <c r="M7" s="47">
        <f>2*Subsurface_Inputs!$C$34*F7/Subsurface_Inputs!$C$35*1000000</f>
        <v/>
      </c>
      <c r="N7" s="47">
        <f>2*Subsurface_Inputs!$C$34*I7/Subsurface_Inputs!$C$35*1000000</f>
        <v/>
      </c>
      <c r="O7" s="47">
        <f>2*Subsurface_Inputs!$C$34*K7/Subsurface_Inputs!$C$35*1000000</f>
        <v/>
      </c>
      <c r="P7" s="47">
        <f>Subsurface_Inputs!$C$37-2*Subsurface_Inputs!$C$36*(F7/1000)</f>
        <v/>
      </c>
      <c r="Q7" s="47">
        <f>Subsurface_Inputs!$C$38+Subsurface_Inputs!$C$39*H7-2*Subsurface_Inputs!$C$36*(I7/1000)</f>
        <v/>
      </c>
      <c r="R7" s="47">
        <f>Subsurface_Inputs!$C$40-2*Subsurface_Inputs!$C$36*(K7/1000)-Subsurface_Inputs!$C$41*ABS(L7-AVERAGE($L$2:$L$242))</f>
        <v/>
      </c>
      <c r="S7" s="47">
        <f>K7-AVERAGE($K$2:$K$242)</f>
        <v/>
      </c>
      <c r="T7" s="47">
        <f>K7/F7</f>
        <v/>
      </c>
      <c r="U7" s="50">
        <f>IF(H7&gt;=Subsurface_Inputs!$C$42,"Lens visible","Weak/no lens")</f>
        <v/>
      </c>
      <c r="V7" s="50">
        <f>IF(R7&gt;=W7,"Likely visible","Weak")</f>
        <v/>
      </c>
      <c r="W7" s="47">
        <f>Subsurface_Inputs!$C$43</f>
        <v/>
      </c>
      <c r="X7" s="47">
        <f>Q7-W7</f>
        <v/>
      </c>
      <c r="Y7" s="47">
        <f>R7-W7</f>
        <v/>
      </c>
      <c r="Z7" s="47">
        <f>MAX(Q7,R7)-W7</f>
        <v/>
      </c>
      <c r="AA7" s="47" t="n">
        <v>0</v>
      </c>
    </row>
    <row r="8">
      <c r="A8" s="47">
        <f>Model_Data!A8</f>
        <v/>
      </c>
      <c r="B8" s="47">
        <f>Model_Data!Y8</f>
        <v/>
      </c>
      <c r="C8" s="47">
        <f>Model_Data!X8</f>
        <v/>
      </c>
      <c r="D8" s="47">
        <f>Model_Data!B8</f>
        <v/>
      </c>
      <c r="E8" s="47">
        <f>Inputs!$C$6</f>
        <v/>
      </c>
      <c r="F8" s="47">
        <f>Subsurface_Inputs!$C$5+Subsurface_Inputs!$C$6*SIN(2*PI()*(A8+Subsurface_Inputs!$C$7)/Subsurface_Inputs!$C$8)+Subsurface_Inputs!$C$9*COS(2*PI()*A8/Subsurface_Inputs!$C$10)+Subsurface_Inputs!$C$11*(B8-AVERAGE($B$2:$B$242))</f>
        <v/>
      </c>
      <c r="G8" s="47">
        <f>B8-F8</f>
        <v/>
      </c>
      <c r="H8" s="47">
        <f>MIN(1,MAX(0,Subsurface_Inputs!$C$13*EXP(-0.5*((A8-Subsurface_Inputs!$C$14)/Subsurface_Inputs!$C$15)^2)+Subsurface_Inputs!$C$16*EXP(-0.5*((A8-Subsurface_Inputs!$C$17)/Subsurface_Inputs!$C$18)^2)))</f>
        <v/>
      </c>
      <c r="I8" s="47">
        <f>Subsurface_Inputs!$C$19+Subsurface_Inputs!$C$20*SIN(2*PI()*(A8-Subsurface_Inputs!$C$21)/Subsurface_Inputs!$C$22)-Subsurface_Inputs!$C$23*H8</f>
        <v/>
      </c>
      <c r="J8" s="47">
        <f>B8-I8</f>
        <v/>
      </c>
      <c r="K8" s="47">
        <f>Subsurface_Inputs!$C$25+Subsurface_Inputs!$C$26*SIN(2*PI()*(A8+Subsurface_Inputs!$C$27)/Subsurface_Inputs!$C$28)+Subsurface_Inputs!$C$29*COS(2*PI()*(A8-Subsurface_Inputs!$C$30)/Subsurface_Inputs!$C$31)-Subsurface_Inputs!$C$32*(B8-AVERAGE($B$2:$B$242))</f>
        <v/>
      </c>
      <c r="L8" s="47">
        <f>B8-K8</f>
        <v/>
      </c>
      <c r="M8" s="47">
        <f>2*Subsurface_Inputs!$C$34*F8/Subsurface_Inputs!$C$35*1000000</f>
        <v/>
      </c>
      <c r="N8" s="47">
        <f>2*Subsurface_Inputs!$C$34*I8/Subsurface_Inputs!$C$35*1000000</f>
        <v/>
      </c>
      <c r="O8" s="47">
        <f>2*Subsurface_Inputs!$C$34*K8/Subsurface_Inputs!$C$35*1000000</f>
        <v/>
      </c>
      <c r="P8" s="47">
        <f>Subsurface_Inputs!$C$37-2*Subsurface_Inputs!$C$36*(F8/1000)</f>
        <v/>
      </c>
      <c r="Q8" s="47">
        <f>Subsurface_Inputs!$C$38+Subsurface_Inputs!$C$39*H8-2*Subsurface_Inputs!$C$36*(I8/1000)</f>
        <v/>
      </c>
      <c r="R8" s="47">
        <f>Subsurface_Inputs!$C$40-2*Subsurface_Inputs!$C$36*(K8/1000)-Subsurface_Inputs!$C$41*ABS(L8-AVERAGE($L$2:$L$242))</f>
        <v/>
      </c>
      <c r="S8" s="47">
        <f>K8-AVERAGE($K$2:$K$242)</f>
        <v/>
      </c>
      <c r="T8" s="47">
        <f>K8/F8</f>
        <v/>
      </c>
      <c r="U8" s="50">
        <f>IF(H8&gt;=Subsurface_Inputs!$C$42,"Lens visible","Weak/no lens")</f>
        <v/>
      </c>
      <c r="V8" s="50">
        <f>IF(R8&gt;=W8,"Likely visible","Weak")</f>
        <v/>
      </c>
      <c r="W8" s="47">
        <f>Subsurface_Inputs!$C$43</f>
        <v/>
      </c>
      <c r="X8" s="47">
        <f>Q8-W8</f>
        <v/>
      </c>
      <c r="Y8" s="47">
        <f>R8-W8</f>
        <v/>
      </c>
      <c r="Z8" s="47">
        <f>MAX(Q8,R8)-W8</f>
        <v/>
      </c>
      <c r="AA8" s="47" t="n">
        <v>0</v>
      </c>
    </row>
    <row r="9">
      <c r="A9" s="47">
        <f>Model_Data!A9</f>
        <v/>
      </c>
      <c r="B9" s="47">
        <f>Model_Data!Y9</f>
        <v/>
      </c>
      <c r="C9" s="47">
        <f>Model_Data!X9</f>
        <v/>
      </c>
      <c r="D9" s="47">
        <f>Model_Data!B9</f>
        <v/>
      </c>
      <c r="E9" s="47">
        <f>Inputs!$C$6</f>
        <v/>
      </c>
      <c r="F9" s="47">
        <f>Subsurface_Inputs!$C$5+Subsurface_Inputs!$C$6*SIN(2*PI()*(A9+Subsurface_Inputs!$C$7)/Subsurface_Inputs!$C$8)+Subsurface_Inputs!$C$9*COS(2*PI()*A9/Subsurface_Inputs!$C$10)+Subsurface_Inputs!$C$11*(B9-AVERAGE($B$2:$B$242))</f>
        <v/>
      </c>
      <c r="G9" s="47">
        <f>B9-F9</f>
        <v/>
      </c>
      <c r="H9" s="47">
        <f>MIN(1,MAX(0,Subsurface_Inputs!$C$13*EXP(-0.5*((A9-Subsurface_Inputs!$C$14)/Subsurface_Inputs!$C$15)^2)+Subsurface_Inputs!$C$16*EXP(-0.5*((A9-Subsurface_Inputs!$C$17)/Subsurface_Inputs!$C$18)^2)))</f>
        <v/>
      </c>
      <c r="I9" s="47">
        <f>Subsurface_Inputs!$C$19+Subsurface_Inputs!$C$20*SIN(2*PI()*(A9-Subsurface_Inputs!$C$21)/Subsurface_Inputs!$C$22)-Subsurface_Inputs!$C$23*H9</f>
        <v/>
      </c>
      <c r="J9" s="47">
        <f>B9-I9</f>
        <v/>
      </c>
      <c r="K9" s="47">
        <f>Subsurface_Inputs!$C$25+Subsurface_Inputs!$C$26*SIN(2*PI()*(A9+Subsurface_Inputs!$C$27)/Subsurface_Inputs!$C$28)+Subsurface_Inputs!$C$29*COS(2*PI()*(A9-Subsurface_Inputs!$C$30)/Subsurface_Inputs!$C$31)-Subsurface_Inputs!$C$32*(B9-AVERAGE($B$2:$B$242))</f>
        <v/>
      </c>
      <c r="L9" s="47">
        <f>B9-K9</f>
        <v/>
      </c>
      <c r="M9" s="47">
        <f>2*Subsurface_Inputs!$C$34*F9/Subsurface_Inputs!$C$35*1000000</f>
        <v/>
      </c>
      <c r="N9" s="47">
        <f>2*Subsurface_Inputs!$C$34*I9/Subsurface_Inputs!$C$35*1000000</f>
        <v/>
      </c>
      <c r="O9" s="47">
        <f>2*Subsurface_Inputs!$C$34*K9/Subsurface_Inputs!$C$35*1000000</f>
        <v/>
      </c>
      <c r="P9" s="47">
        <f>Subsurface_Inputs!$C$37-2*Subsurface_Inputs!$C$36*(F9/1000)</f>
        <v/>
      </c>
      <c r="Q9" s="47">
        <f>Subsurface_Inputs!$C$38+Subsurface_Inputs!$C$39*H9-2*Subsurface_Inputs!$C$36*(I9/1000)</f>
        <v/>
      </c>
      <c r="R9" s="47">
        <f>Subsurface_Inputs!$C$40-2*Subsurface_Inputs!$C$36*(K9/1000)-Subsurface_Inputs!$C$41*ABS(L9-AVERAGE($L$2:$L$242))</f>
        <v/>
      </c>
      <c r="S9" s="47">
        <f>K9-AVERAGE($K$2:$K$242)</f>
        <v/>
      </c>
      <c r="T9" s="47">
        <f>K9/F9</f>
        <v/>
      </c>
      <c r="U9" s="50">
        <f>IF(H9&gt;=Subsurface_Inputs!$C$42,"Lens visible","Weak/no lens")</f>
        <v/>
      </c>
      <c r="V9" s="50">
        <f>IF(R9&gt;=W9,"Likely visible","Weak")</f>
        <v/>
      </c>
      <c r="W9" s="47">
        <f>Subsurface_Inputs!$C$43</f>
        <v/>
      </c>
      <c r="X9" s="47">
        <f>Q9-W9</f>
        <v/>
      </c>
      <c r="Y9" s="47">
        <f>R9-W9</f>
        <v/>
      </c>
      <c r="Z9" s="47">
        <f>MAX(Q9,R9)-W9</f>
        <v/>
      </c>
      <c r="AA9" s="47" t="n">
        <v>0</v>
      </c>
    </row>
    <row r="10">
      <c r="A10" s="47">
        <f>Model_Data!A10</f>
        <v/>
      </c>
      <c r="B10" s="47">
        <f>Model_Data!Y10</f>
        <v/>
      </c>
      <c r="C10" s="47">
        <f>Model_Data!X10</f>
        <v/>
      </c>
      <c r="D10" s="47">
        <f>Model_Data!B10</f>
        <v/>
      </c>
      <c r="E10" s="47">
        <f>Inputs!$C$6</f>
        <v/>
      </c>
      <c r="F10" s="47">
        <f>Subsurface_Inputs!$C$5+Subsurface_Inputs!$C$6*SIN(2*PI()*(A10+Subsurface_Inputs!$C$7)/Subsurface_Inputs!$C$8)+Subsurface_Inputs!$C$9*COS(2*PI()*A10/Subsurface_Inputs!$C$10)+Subsurface_Inputs!$C$11*(B10-AVERAGE($B$2:$B$242))</f>
        <v/>
      </c>
      <c r="G10" s="47">
        <f>B10-F10</f>
        <v/>
      </c>
      <c r="H10" s="47">
        <f>MIN(1,MAX(0,Subsurface_Inputs!$C$13*EXP(-0.5*((A10-Subsurface_Inputs!$C$14)/Subsurface_Inputs!$C$15)^2)+Subsurface_Inputs!$C$16*EXP(-0.5*((A10-Subsurface_Inputs!$C$17)/Subsurface_Inputs!$C$18)^2)))</f>
        <v/>
      </c>
      <c r="I10" s="47">
        <f>Subsurface_Inputs!$C$19+Subsurface_Inputs!$C$20*SIN(2*PI()*(A10-Subsurface_Inputs!$C$21)/Subsurface_Inputs!$C$22)-Subsurface_Inputs!$C$23*H10</f>
        <v/>
      </c>
      <c r="J10" s="47">
        <f>B10-I10</f>
        <v/>
      </c>
      <c r="K10" s="47">
        <f>Subsurface_Inputs!$C$25+Subsurface_Inputs!$C$26*SIN(2*PI()*(A10+Subsurface_Inputs!$C$27)/Subsurface_Inputs!$C$28)+Subsurface_Inputs!$C$29*COS(2*PI()*(A10-Subsurface_Inputs!$C$30)/Subsurface_Inputs!$C$31)-Subsurface_Inputs!$C$32*(B10-AVERAGE($B$2:$B$242))</f>
        <v/>
      </c>
      <c r="L10" s="47">
        <f>B10-K10</f>
        <v/>
      </c>
      <c r="M10" s="47">
        <f>2*Subsurface_Inputs!$C$34*F10/Subsurface_Inputs!$C$35*1000000</f>
        <v/>
      </c>
      <c r="N10" s="47">
        <f>2*Subsurface_Inputs!$C$34*I10/Subsurface_Inputs!$C$35*1000000</f>
        <v/>
      </c>
      <c r="O10" s="47">
        <f>2*Subsurface_Inputs!$C$34*K10/Subsurface_Inputs!$C$35*1000000</f>
        <v/>
      </c>
      <c r="P10" s="47">
        <f>Subsurface_Inputs!$C$37-2*Subsurface_Inputs!$C$36*(F10/1000)</f>
        <v/>
      </c>
      <c r="Q10" s="47">
        <f>Subsurface_Inputs!$C$38+Subsurface_Inputs!$C$39*H10-2*Subsurface_Inputs!$C$36*(I10/1000)</f>
        <v/>
      </c>
      <c r="R10" s="47">
        <f>Subsurface_Inputs!$C$40-2*Subsurface_Inputs!$C$36*(K10/1000)-Subsurface_Inputs!$C$41*ABS(L10-AVERAGE($L$2:$L$242))</f>
        <v/>
      </c>
      <c r="S10" s="47">
        <f>K10-AVERAGE($K$2:$K$242)</f>
        <v/>
      </c>
      <c r="T10" s="47">
        <f>K10/F10</f>
        <v/>
      </c>
      <c r="U10" s="50">
        <f>IF(H10&gt;=Subsurface_Inputs!$C$42,"Lens visible","Weak/no lens")</f>
        <v/>
      </c>
      <c r="V10" s="50">
        <f>IF(R10&gt;=W10,"Likely visible","Weak")</f>
        <v/>
      </c>
      <c r="W10" s="47">
        <f>Subsurface_Inputs!$C$43</f>
        <v/>
      </c>
      <c r="X10" s="47">
        <f>Q10-W10</f>
        <v/>
      </c>
      <c r="Y10" s="47">
        <f>R10-W10</f>
        <v/>
      </c>
      <c r="Z10" s="47">
        <f>MAX(Q10,R10)-W10</f>
        <v/>
      </c>
      <c r="AA10" s="47" t="n">
        <v>0</v>
      </c>
    </row>
    <row r="11">
      <c r="A11" s="47">
        <f>Model_Data!A11</f>
        <v/>
      </c>
      <c r="B11" s="47">
        <f>Model_Data!Y11</f>
        <v/>
      </c>
      <c r="C11" s="47">
        <f>Model_Data!X11</f>
        <v/>
      </c>
      <c r="D11" s="47">
        <f>Model_Data!B11</f>
        <v/>
      </c>
      <c r="E11" s="47">
        <f>Inputs!$C$6</f>
        <v/>
      </c>
      <c r="F11" s="47">
        <f>Subsurface_Inputs!$C$5+Subsurface_Inputs!$C$6*SIN(2*PI()*(A11+Subsurface_Inputs!$C$7)/Subsurface_Inputs!$C$8)+Subsurface_Inputs!$C$9*COS(2*PI()*A11/Subsurface_Inputs!$C$10)+Subsurface_Inputs!$C$11*(B11-AVERAGE($B$2:$B$242))</f>
        <v/>
      </c>
      <c r="G11" s="47">
        <f>B11-F11</f>
        <v/>
      </c>
      <c r="H11" s="47">
        <f>MIN(1,MAX(0,Subsurface_Inputs!$C$13*EXP(-0.5*((A11-Subsurface_Inputs!$C$14)/Subsurface_Inputs!$C$15)^2)+Subsurface_Inputs!$C$16*EXP(-0.5*((A11-Subsurface_Inputs!$C$17)/Subsurface_Inputs!$C$18)^2)))</f>
        <v/>
      </c>
      <c r="I11" s="47">
        <f>Subsurface_Inputs!$C$19+Subsurface_Inputs!$C$20*SIN(2*PI()*(A11-Subsurface_Inputs!$C$21)/Subsurface_Inputs!$C$22)-Subsurface_Inputs!$C$23*H11</f>
        <v/>
      </c>
      <c r="J11" s="47">
        <f>B11-I11</f>
        <v/>
      </c>
      <c r="K11" s="47">
        <f>Subsurface_Inputs!$C$25+Subsurface_Inputs!$C$26*SIN(2*PI()*(A11+Subsurface_Inputs!$C$27)/Subsurface_Inputs!$C$28)+Subsurface_Inputs!$C$29*COS(2*PI()*(A11-Subsurface_Inputs!$C$30)/Subsurface_Inputs!$C$31)-Subsurface_Inputs!$C$32*(B11-AVERAGE($B$2:$B$242))</f>
        <v/>
      </c>
      <c r="L11" s="47">
        <f>B11-K11</f>
        <v/>
      </c>
      <c r="M11" s="47">
        <f>2*Subsurface_Inputs!$C$34*F11/Subsurface_Inputs!$C$35*1000000</f>
        <v/>
      </c>
      <c r="N11" s="47">
        <f>2*Subsurface_Inputs!$C$34*I11/Subsurface_Inputs!$C$35*1000000</f>
        <v/>
      </c>
      <c r="O11" s="47">
        <f>2*Subsurface_Inputs!$C$34*K11/Subsurface_Inputs!$C$35*1000000</f>
        <v/>
      </c>
      <c r="P11" s="47">
        <f>Subsurface_Inputs!$C$37-2*Subsurface_Inputs!$C$36*(F11/1000)</f>
        <v/>
      </c>
      <c r="Q11" s="47">
        <f>Subsurface_Inputs!$C$38+Subsurface_Inputs!$C$39*H11-2*Subsurface_Inputs!$C$36*(I11/1000)</f>
        <v/>
      </c>
      <c r="R11" s="47">
        <f>Subsurface_Inputs!$C$40-2*Subsurface_Inputs!$C$36*(K11/1000)-Subsurface_Inputs!$C$41*ABS(L11-AVERAGE($L$2:$L$242))</f>
        <v/>
      </c>
      <c r="S11" s="47">
        <f>K11-AVERAGE($K$2:$K$242)</f>
        <v/>
      </c>
      <c r="T11" s="47">
        <f>K11/F11</f>
        <v/>
      </c>
      <c r="U11" s="50">
        <f>IF(H11&gt;=Subsurface_Inputs!$C$42,"Lens visible","Weak/no lens")</f>
        <v/>
      </c>
      <c r="V11" s="50">
        <f>IF(R11&gt;=W11,"Likely visible","Weak")</f>
        <v/>
      </c>
      <c r="W11" s="47">
        <f>Subsurface_Inputs!$C$43</f>
        <v/>
      </c>
      <c r="X11" s="47">
        <f>Q11-W11</f>
        <v/>
      </c>
      <c r="Y11" s="47">
        <f>R11-W11</f>
        <v/>
      </c>
      <c r="Z11" s="47">
        <f>MAX(Q11,R11)-W11</f>
        <v/>
      </c>
      <c r="AA11" s="47" t="n">
        <v>0</v>
      </c>
    </row>
    <row r="12">
      <c r="A12" s="47">
        <f>Model_Data!A12</f>
        <v/>
      </c>
      <c r="B12" s="47">
        <f>Model_Data!Y12</f>
        <v/>
      </c>
      <c r="C12" s="47">
        <f>Model_Data!X12</f>
        <v/>
      </c>
      <c r="D12" s="47">
        <f>Model_Data!B12</f>
        <v/>
      </c>
      <c r="E12" s="47">
        <f>Inputs!$C$6</f>
        <v/>
      </c>
      <c r="F12" s="47">
        <f>Subsurface_Inputs!$C$5+Subsurface_Inputs!$C$6*SIN(2*PI()*(A12+Subsurface_Inputs!$C$7)/Subsurface_Inputs!$C$8)+Subsurface_Inputs!$C$9*COS(2*PI()*A12/Subsurface_Inputs!$C$10)+Subsurface_Inputs!$C$11*(B12-AVERAGE($B$2:$B$242))</f>
        <v/>
      </c>
      <c r="G12" s="47">
        <f>B12-F12</f>
        <v/>
      </c>
      <c r="H12" s="47">
        <f>MIN(1,MAX(0,Subsurface_Inputs!$C$13*EXP(-0.5*((A12-Subsurface_Inputs!$C$14)/Subsurface_Inputs!$C$15)^2)+Subsurface_Inputs!$C$16*EXP(-0.5*((A12-Subsurface_Inputs!$C$17)/Subsurface_Inputs!$C$18)^2)))</f>
        <v/>
      </c>
      <c r="I12" s="47">
        <f>Subsurface_Inputs!$C$19+Subsurface_Inputs!$C$20*SIN(2*PI()*(A12-Subsurface_Inputs!$C$21)/Subsurface_Inputs!$C$22)-Subsurface_Inputs!$C$23*H12</f>
        <v/>
      </c>
      <c r="J12" s="47">
        <f>B12-I12</f>
        <v/>
      </c>
      <c r="K12" s="47">
        <f>Subsurface_Inputs!$C$25+Subsurface_Inputs!$C$26*SIN(2*PI()*(A12+Subsurface_Inputs!$C$27)/Subsurface_Inputs!$C$28)+Subsurface_Inputs!$C$29*COS(2*PI()*(A12-Subsurface_Inputs!$C$30)/Subsurface_Inputs!$C$31)-Subsurface_Inputs!$C$32*(B12-AVERAGE($B$2:$B$242))</f>
        <v/>
      </c>
      <c r="L12" s="47">
        <f>B12-K12</f>
        <v/>
      </c>
      <c r="M12" s="47">
        <f>2*Subsurface_Inputs!$C$34*F12/Subsurface_Inputs!$C$35*1000000</f>
        <v/>
      </c>
      <c r="N12" s="47">
        <f>2*Subsurface_Inputs!$C$34*I12/Subsurface_Inputs!$C$35*1000000</f>
        <v/>
      </c>
      <c r="O12" s="47">
        <f>2*Subsurface_Inputs!$C$34*K12/Subsurface_Inputs!$C$35*1000000</f>
        <v/>
      </c>
      <c r="P12" s="47">
        <f>Subsurface_Inputs!$C$37-2*Subsurface_Inputs!$C$36*(F12/1000)</f>
        <v/>
      </c>
      <c r="Q12" s="47">
        <f>Subsurface_Inputs!$C$38+Subsurface_Inputs!$C$39*H12-2*Subsurface_Inputs!$C$36*(I12/1000)</f>
        <v/>
      </c>
      <c r="R12" s="47">
        <f>Subsurface_Inputs!$C$40-2*Subsurface_Inputs!$C$36*(K12/1000)-Subsurface_Inputs!$C$41*ABS(L12-AVERAGE($L$2:$L$242))</f>
        <v/>
      </c>
      <c r="S12" s="47">
        <f>K12-AVERAGE($K$2:$K$242)</f>
        <v/>
      </c>
      <c r="T12" s="47">
        <f>K12/F12</f>
        <v/>
      </c>
      <c r="U12" s="50">
        <f>IF(H12&gt;=Subsurface_Inputs!$C$42,"Lens visible","Weak/no lens")</f>
        <v/>
      </c>
      <c r="V12" s="50">
        <f>IF(R12&gt;=W12,"Likely visible","Weak")</f>
        <v/>
      </c>
      <c r="W12" s="47">
        <f>Subsurface_Inputs!$C$43</f>
        <v/>
      </c>
      <c r="X12" s="47">
        <f>Q12-W12</f>
        <v/>
      </c>
      <c r="Y12" s="47">
        <f>R12-W12</f>
        <v/>
      </c>
      <c r="Z12" s="47">
        <f>MAX(Q12,R12)-W12</f>
        <v/>
      </c>
      <c r="AA12" s="47" t="n">
        <v>0</v>
      </c>
    </row>
    <row r="13">
      <c r="A13" s="47">
        <f>Model_Data!A13</f>
        <v/>
      </c>
      <c r="B13" s="47">
        <f>Model_Data!Y13</f>
        <v/>
      </c>
      <c r="C13" s="47">
        <f>Model_Data!X13</f>
        <v/>
      </c>
      <c r="D13" s="47">
        <f>Model_Data!B13</f>
        <v/>
      </c>
      <c r="E13" s="47">
        <f>Inputs!$C$6</f>
        <v/>
      </c>
      <c r="F13" s="47">
        <f>Subsurface_Inputs!$C$5+Subsurface_Inputs!$C$6*SIN(2*PI()*(A13+Subsurface_Inputs!$C$7)/Subsurface_Inputs!$C$8)+Subsurface_Inputs!$C$9*COS(2*PI()*A13/Subsurface_Inputs!$C$10)+Subsurface_Inputs!$C$11*(B13-AVERAGE($B$2:$B$242))</f>
        <v/>
      </c>
      <c r="G13" s="47">
        <f>B13-F13</f>
        <v/>
      </c>
      <c r="H13" s="47">
        <f>MIN(1,MAX(0,Subsurface_Inputs!$C$13*EXP(-0.5*((A13-Subsurface_Inputs!$C$14)/Subsurface_Inputs!$C$15)^2)+Subsurface_Inputs!$C$16*EXP(-0.5*((A13-Subsurface_Inputs!$C$17)/Subsurface_Inputs!$C$18)^2)))</f>
        <v/>
      </c>
      <c r="I13" s="47">
        <f>Subsurface_Inputs!$C$19+Subsurface_Inputs!$C$20*SIN(2*PI()*(A13-Subsurface_Inputs!$C$21)/Subsurface_Inputs!$C$22)-Subsurface_Inputs!$C$23*H13</f>
        <v/>
      </c>
      <c r="J13" s="47">
        <f>B13-I13</f>
        <v/>
      </c>
      <c r="K13" s="47">
        <f>Subsurface_Inputs!$C$25+Subsurface_Inputs!$C$26*SIN(2*PI()*(A13+Subsurface_Inputs!$C$27)/Subsurface_Inputs!$C$28)+Subsurface_Inputs!$C$29*COS(2*PI()*(A13-Subsurface_Inputs!$C$30)/Subsurface_Inputs!$C$31)-Subsurface_Inputs!$C$32*(B13-AVERAGE($B$2:$B$242))</f>
        <v/>
      </c>
      <c r="L13" s="47">
        <f>B13-K13</f>
        <v/>
      </c>
      <c r="M13" s="47">
        <f>2*Subsurface_Inputs!$C$34*F13/Subsurface_Inputs!$C$35*1000000</f>
        <v/>
      </c>
      <c r="N13" s="47">
        <f>2*Subsurface_Inputs!$C$34*I13/Subsurface_Inputs!$C$35*1000000</f>
        <v/>
      </c>
      <c r="O13" s="47">
        <f>2*Subsurface_Inputs!$C$34*K13/Subsurface_Inputs!$C$35*1000000</f>
        <v/>
      </c>
      <c r="P13" s="47">
        <f>Subsurface_Inputs!$C$37-2*Subsurface_Inputs!$C$36*(F13/1000)</f>
        <v/>
      </c>
      <c r="Q13" s="47">
        <f>Subsurface_Inputs!$C$38+Subsurface_Inputs!$C$39*H13-2*Subsurface_Inputs!$C$36*(I13/1000)</f>
        <v/>
      </c>
      <c r="R13" s="47">
        <f>Subsurface_Inputs!$C$40-2*Subsurface_Inputs!$C$36*(K13/1000)-Subsurface_Inputs!$C$41*ABS(L13-AVERAGE($L$2:$L$242))</f>
        <v/>
      </c>
      <c r="S13" s="47">
        <f>K13-AVERAGE($K$2:$K$242)</f>
        <v/>
      </c>
      <c r="T13" s="47">
        <f>K13/F13</f>
        <v/>
      </c>
      <c r="U13" s="50">
        <f>IF(H13&gt;=Subsurface_Inputs!$C$42,"Lens visible","Weak/no lens")</f>
        <v/>
      </c>
      <c r="V13" s="50">
        <f>IF(R13&gt;=W13,"Likely visible","Weak")</f>
        <v/>
      </c>
      <c r="W13" s="47">
        <f>Subsurface_Inputs!$C$43</f>
        <v/>
      </c>
      <c r="X13" s="47">
        <f>Q13-W13</f>
        <v/>
      </c>
      <c r="Y13" s="47">
        <f>R13-W13</f>
        <v/>
      </c>
      <c r="Z13" s="47">
        <f>MAX(Q13,R13)-W13</f>
        <v/>
      </c>
      <c r="AA13" s="47" t="n">
        <v>0</v>
      </c>
    </row>
    <row r="14">
      <c r="A14" s="47">
        <f>Model_Data!A14</f>
        <v/>
      </c>
      <c r="B14" s="47">
        <f>Model_Data!Y14</f>
        <v/>
      </c>
      <c r="C14" s="47">
        <f>Model_Data!X14</f>
        <v/>
      </c>
      <c r="D14" s="47">
        <f>Model_Data!B14</f>
        <v/>
      </c>
      <c r="E14" s="47">
        <f>Inputs!$C$6</f>
        <v/>
      </c>
      <c r="F14" s="47">
        <f>Subsurface_Inputs!$C$5+Subsurface_Inputs!$C$6*SIN(2*PI()*(A14+Subsurface_Inputs!$C$7)/Subsurface_Inputs!$C$8)+Subsurface_Inputs!$C$9*COS(2*PI()*A14/Subsurface_Inputs!$C$10)+Subsurface_Inputs!$C$11*(B14-AVERAGE($B$2:$B$242))</f>
        <v/>
      </c>
      <c r="G14" s="47">
        <f>B14-F14</f>
        <v/>
      </c>
      <c r="H14" s="47">
        <f>MIN(1,MAX(0,Subsurface_Inputs!$C$13*EXP(-0.5*((A14-Subsurface_Inputs!$C$14)/Subsurface_Inputs!$C$15)^2)+Subsurface_Inputs!$C$16*EXP(-0.5*((A14-Subsurface_Inputs!$C$17)/Subsurface_Inputs!$C$18)^2)))</f>
        <v/>
      </c>
      <c r="I14" s="47">
        <f>Subsurface_Inputs!$C$19+Subsurface_Inputs!$C$20*SIN(2*PI()*(A14-Subsurface_Inputs!$C$21)/Subsurface_Inputs!$C$22)-Subsurface_Inputs!$C$23*H14</f>
        <v/>
      </c>
      <c r="J14" s="47">
        <f>B14-I14</f>
        <v/>
      </c>
      <c r="K14" s="47">
        <f>Subsurface_Inputs!$C$25+Subsurface_Inputs!$C$26*SIN(2*PI()*(A14+Subsurface_Inputs!$C$27)/Subsurface_Inputs!$C$28)+Subsurface_Inputs!$C$29*COS(2*PI()*(A14-Subsurface_Inputs!$C$30)/Subsurface_Inputs!$C$31)-Subsurface_Inputs!$C$32*(B14-AVERAGE($B$2:$B$242))</f>
        <v/>
      </c>
      <c r="L14" s="47">
        <f>B14-K14</f>
        <v/>
      </c>
      <c r="M14" s="47">
        <f>2*Subsurface_Inputs!$C$34*F14/Subsurface_Inputs!$C$35*1000000</f>
        <v/>
      </c>
      <c r="N14" s="47">
        <f>2*Subsurface_Inputs!$C$34*I14/Subsurface_Inputs!$C$35*1000000</f>
        <v/>
      </c>
      <c r="O14" s="47">
        <f>2*Subsurface_Inputs!$C$34*K14/Subsurface_Inputs!$C$35*1000000</f>
        <v/>
      </c>
      <c r="P14" s="47">
        <f>Subsurface_Inputs!$C$37-2*Subsurface_Inputs!$C$36*(F14/1000)</f>
        <v/>
      </c>
      <c r="Q14" s="47">
        <f>Subsurface_Inputs!$C$38+Subsurface_Inputs!$C$39*H14-2*Subsurface_Inputs!$C$36*(I14/1000)</f>
        <v/>
      </c>
      <c r="R14" s="47">
        <f>Subsurface_Inputs!$C$40-2*Subsurface_Inputs!$C$36*(K14/1000)-Subsurface_Inputs!$C$41*ABS(L14-AVERAGE($L$2:$L$242))</f>
        <v/>
      </c>
      <c r="S14" s="47">
        <f>K14-AVERAGE($K$2:$K$242)</f>
        <v/>
      </c>
      <c r="T14" s="47">
        <f>K14/F14</f>
        <v/>
      </c>
      <c r="U14" s="50">
        <f>IF(H14&gt;=Subsurface_Inputs!$C$42,"Lens visible","Weak/no lens")</f>
        <v/>
      </c>
      <c r="V14" s="50">
        <f>IF(R14&gt;=W14,"Likely visible","Weak")</f>
        <v/>
      </c>
      <c r="W14" s="47">
        <f>Subsurface_Inputs!$C$43</f>
        <v/>
      </c>
      <c r="X14" s="47">
        <f>Q14-W14</f>
        <v/>
      </c>
      <c r="Y14" s="47">
        <f>R14-W14</f>
        <v/>
      </c>
      <c r="Z14" s="47">
        <f>MAX(Q14,R14)-W14</f>
        <v/>
      </c>
      <c r="AA14" s="47" t="n">
        <v>0</v>
      </c>
    </row>
    <row r="15">
      <c r="A15" s="47">
        <f>Model_Data!A15</f>
        <v/>
      </c>
      <c r="B15" s="47">
        <f>Model_Data!Y15</f>
        <v/>
      </c>
      <c r="C15" s="47">
        <f>Model_Data!X15</f>
        <v/>
      </c>
      <c r="D15" s="47">
        <f>Model_Data!B15</f>
        <v/>
      </c>
      <c r="E15" s="47">
        <f>Inputs!$C$6</f>
        <v/>
      </c>
      <c r="F15" s="47">
        <f>Subsurface_Inputs!$C$5+Subsurface_Inputs!$C$6*SIN(2*PI()*(A15+Subsurface_Inputs!$C$7)/Subsurface_Inputs!$C$8)+Subsurface_Inputs!$C$9*COS(2*PI()*A15/Subsurface_Inputs!$C$10)+Subsurface_Inputs!$C$11*(B15-AVERAGE($B$2:$B$242))</f>
        <v/>
      </c>
      <c r="G15" s="47">
        <f>B15-F15</f>
        <v/>
      </c>
      <c r="H15" s="47">
        <f>MIN(1,MAX(0,Subsurface_Inputs!$C$13*EXP(-0.5*((A15-Subsurface_Inputs!$C$14)/Subsurface_Inputs!$C$15)^2)+Subsurface_Inputs!$C$16*EXP(-0.5*((A15-Subsurface_Inputs!$C$17)/Subsurface_Inputs!$C$18)^2)))</f>
        <v/>
      </c>
      <c r="I15" s="47">
        <f>Subsurface_Inputs!$C$19+Subsurface_Inputs!$C$20*SIN(2*PI()*(A15-Subsurface_Inputs!$C$21)/Subsurface_Inputs!$C$22)-Subsurface_Inputs!$C$23*H15</f>
        <v/>
      </c>
      <c r="J15" s="47">
        <f>B15-I15</f>
        <v/>
      </c>
      <c r="K15" s="47">
        <f>Subsurface_Inputs!$C$25+Subsurface_Inputs!$C$26*SIN(2*PI()*(A15+Subsurface_Inputs!$C$27)/Subsurface_Inputs!$C$28)+Subsurface_Inputs!$C$29*COS(2*PI()*(A15-Subsurface_Inputs!$C$30)/Subsurface_Inputs!$C$31)-Subsurface_Inputs!$C$32*(B15-AVERAGE($B$2:$B$242))</f>
        <v/>
      </c>
      <c r="L15" s="47">
        <f>B15-K15</f>
        <v/>
      </c>
      <c r="M15" s="47">
        <f>2*Subsurface_Inputs!$C$34*F15/Subsurface_Inputs!$C$35*1000000</f>
        <v/>
      </c>
      <c r="N15" s="47">
        <f>2*Subsurface_Inputs!$C$34*I15/Subsurface_Inputs!$C$35*1000000</f>
        <v/>
      </c>
      <c r="O15" s="47">
        <f>2*Subsurface_Inputs!$C$34*K15/Subsurface_Inputs!$C$35*1000000</f>
        <v/>
      </c>
      <c r="P15" s="47">
        <f>Subsurface_Inputs!$C$37-2*Subsurface_Inputs!$C$36*(F15/1000)</f>
        <v/>
      </c>
      <c r="Q15" s="47">
        <f>Subsurface_Inputs!$C$38+Subsurface_Inputs!$C$39*H15-2*Subsurface_Inputs!$C$36*(I15/1000)</f>
        <v/>
      </c>
      <c r="R15" s="47">
        <f>Subsurface_Inputs!$C$40-2*Subsurface_Inputs!$C$36*(K15/1000)-Subsurface_Inputs!$C$41*ABS(L15-AVERAGE($L$2:$L$242))</f>
        <v/>
      </c>
      <c r="S15" s="47">
        <f>K15-AVERAGE($K$2:$K$242)</f>
        <v/>
      </c>
      <c r="T15" s="47">
        <f>K15/F15</f>
        <v/>
      </c>
      <c r="U15" s="50">
        <f>IF(H15&gt;=Subsurface_Inputs!$C$42,"Lens visible","Weak/no lens")</f>
        <v/>
      </c>
      <c r="V15" s="50">
        <f>IF(R15&gt;=W15,"Likely visible","Weak")</f>
        <v/>
      </c>
      <c r="W15" s="47">
        <f>Subsurface_Inputs!$C$43</f>
        <v/>
      </c>
      <c r="X15" s="47">
        <f>Q15-W15</f>
        <v/>
      </c>
      <c r="Y15" s="47">
        <f>R15-W15</f>
        <v/>
      </c>
      <c r="Z15" s="47">
        <f>MAX(Q15,R15)-W15</f>
        <v/>
      </c>
      <c r="AA15" s="47" t="n">
        <v>0</v>
      </c>
    </row>
    <row r="16">
      <c r="A16" s="47">
        <f>Model_Data!A16</f>
        <v/>
      </c>
      <c r="B16" s="47">
        <f>Model_Data!Y16</f>
        <v/>
      </c>
      <c r="C16" s="47">
        <f>Model_Data!X16</f>
        <v/>
      </c>
      <c r="D16" s="47">
        <f>Model_Data!B16</f>
        <v/>
      </c>
      <c r="E16" s="47">
        <f>Inputs!$C$6</f>
        <v/>
      </c>
      <c r="F16" s="47">
        <f>Subsurface_Inputs!$C$5+Subsurface_Inputs!$C$6*SIN(2*PI()*(A16+Subsurface_Inputs!$C$7)/Subsurface_Inputs!$C$8)+Subsurface_Inputs!$C$9*COS(2*PI()*A16/Subsurface_Inputs!$C$10)+Subsurface_Inputs!$C$11*(B16-AVERAGE($B$2:$B$242))</f>
        <v/>
      </c>
      <c r="G16" s="47">
        <f>B16-F16</f>
        <v/>
      </c>
      <c r="H16" s="47">
        <f>MIN(1,MAX(0,Subsurface_Inputs!$C$13*EXP(-0.5*((A16-Subsurface_Inputs!$C$14)/Subsurface_Inputs!$C$15)^2)+Subsurface_Inputs!$C$16*EXP(-0.5*((A16-Subsurface_Inputs!$C$17)/Subsurface_Inputs!$C$18)^2)))</f>
        <v/>
      </c>
      <c r="I16" s="47">
        <f>Subsurface_Inputs!$C$19+Subsurface_Inputs!$C$20*SIN(2*PI()*(A16-Subsurface_Inputs!$C$21)/Subsurface_Inputs!$C$22)-Subsurface_Inputs!$C$23*H16</f>
        <v/>
      </c>
      <c r="J16" s="47">
        <f>B16-I16</f>
        <v/>
      </c>
      <c r="K16" s="47">
        <f>Subsurface_Inputs!$C$25+Subsurface_Inputs!$C$26*SIN(2*PI()*(A16+Subsurface_Inputs!$C$27)/Subsurface_Inputs!$C$28)+Subsurface_Inputs!$C$29*COS(2*PI()*(A16-Subsurface_Inputs!$C$30)/Subsurface_Inputs!$C$31)-Subsurface_Inputs!$C$32*(B16-AVERAGE($B$2:$B$242))</f>
        <v/>
      </c>
      <c r="L16" s="47">
        <f>B16-K16</f>
        <v/>
      </c>
      <c r="M16" s="47">
        <f>2*Subsurface_Inputs!$C$34*F16/Subsurface_Inputs!$C$35*1000000</f>
        <v/>
      </c>
      <c r="N16" s="47">
        <f>2*Subsurface_Inputs!$C$34*I16/Subsurface_Inputs!$C$35*1000000</f>
        <v/>
      </c>
      <c r="O16" s="47">
        <f>2*Subsurface_Inputs!$C$34*K16/Subsurface_Inputs!$C$35*1000000</f>
        <v/>
      </c>
      <c r="P16" s="47">
        <f>Subsurface_Inputs!$C$37-2*Subsurface_Inputs!$C$36*(F16/1000)</f>
        <v/>
      </c>
      <c r="Q16" s="47">
        <f>Subsurface_Inputs!$C$38+Subsurface_Inputs!$C$39*H16-2*Subsurface_Inputs!$C$36*(I16/1000)</f>
        <v/>
      </c>
      <c r="R16" s="47">
        <f>Subsurface_Inputs!$C$40-2*Subsurface_Inputs!$C$36*(K16/1000)-Subsurface_Inputs!$C$41*ABS(L16-AVERAGE($L$2:$L$242))</f>
        <v/>
      </c>
      <c r="S16" s="47">
        <f>K16-AVERAGE($K$2:$K$242)</f>
        <v/>
      </c>
      <c r="T16" s="47">
        <f>K16/F16</f>
        <v/>
      </c>
      <c r="U16" s="50">
        <f>IF(H16&gt;=Subsurface_Inputs!$C$42,"Lens visible","Weak/no lens")</f>
        <v/>
      </c>
      <c r="V16" s="50">
        <f>IF(R16&gt;=W16,"Likely visible","Weak")</f>
        <v/>
      </c>
      <c r="W16" s="47">
        <f>Subsurface_Inputs!$C$43</f>
        <v/>
      </c>
      <c r="X16" s="47">
        <f>Q16-W16</f>
        <v/>
      </c>
      <c r="Y16" s="47">
        <f>R16-W16</f>
        <v/>
      </c>
      <c r="Z16" s="47">
        <f>MAX(Q16,R16)-W16</f>
        <v/>
      </c>
      <c r="AA16" s="47" t="n">
        <v>0</v>
      </c>
    </row>
    <row r="17">
      <c r="A17" s="47">
        <f>Model_Data!A17</f>
        <v/>
      </c>
      <c r="B17" s="47">
        <f>Model_Data!Y17</f>
        <v/>
      </c>
      <c r="C17" s="47">
        <f>Model_Data!X17</f>
        <v/>
      </c>
      <c r="D17" s="47">
        <f>Model_Data!B17</f>
        <v/>
      </c>
      <c r="E17" s="47">
        <f>Inputs!$C$6</f>
        <v/>
      </c>
      <c r="F17" s="47">
        <f>Subsurface_Inputs!$C$5+Subsurface_Inputs!$C$6*SIN(2*PI()*(A17+Subsurface_Inputs!$C$7)/Subsurface_Inputs!$C$8)+Subsurface_Inputs!$C$9*COS(2*PI()*A17/Subsurface_Inputs!$C$10)+Subsurface_Inputs!$C$11*(B17-AVERAGE($B$2:$B$242))</f>
        <v/>
      </c>
      <c r="G17" s="47">
        <f>B17-F17</f>
        <v/>
      </c>
      <c r="H17" s="47">
        <f>MIN(1,MAX(0,Subsurface_Inputs!$C$13*EXP(-0.5*((A17-Subsurface_Inputs!$C$14)/Subsurface_Inputs!$C$15)^2)+Subsurface_Inputs!$C$16*EXP(-0.5*((A17-Subsurface_Inputs!$C$17)/Subsurface_Inputs!$C$18)^2)))</f>
        <v/>
      </c>
      <c r="I17" s="47">
        <f>Subsurface_Inputs!$C$19+Subsurface_Inputs!$C$20*SIN(2*PI()*(A17-Subsurface_Inputs!$C$21)/Subsurface_Inputs!$C$22)-Subsurface_Inputs!$C$23*H17</f>
        <v/>
      </c>
      <c r="J17" s="47">
        <f>B17-I17</f>
        <v/>
      </c>
      <c r="K17" s="47">
        <f>Subsurface_Inputs!$C$25+Subsurface_Inputs!$C$26*SIN(2*PI()*(A17+Subsurface_Inputs!$C$27)/Subsurface_Inputs!$C$28)+Subsurface_Inputs!$C$29*COS(2*PI()*(A17-Subsurface_Inputs!$C$30)/Subsurface_Inputs!$C$31)-Subsurface_Inputs!$C$32*(B17-AVERAGE($B$2:$B$242))</f>
        <v/>
      </c>
      <c r="L17" s="47">
        <f>B17-K17</f>
        <v/>
      </c>
      <c r="M17" s="47">
        <f>2*Subsurface_Inputs!$C$34*F17/Subsurface_Inputs!$C$35*1000000</f>
        <v/>
      </c>
      <c r="N17" s="47">
        <f>2*Subsurface_Inputs!$C$34*I17/Subsurface_Inputs!$C$35*1000000</f>
        <v/>
      </c>
      <c r="O17" s="47">
        <f>2*Subsurface_Inputs!$C$34*K17/Subsurface_Inputs!$C$35*1000000</f>
        <v/>
      </c>
      <c r="P17" s="47">
        <f>Subsurface_Inputs!$C$37-2*Subsurface_Inputs!$C$36*(F17/1000)</f>
        <v/>
      </c>
      <c r="Q17" s="47">
        <f>Subsurface_Inputs!$C$38+Subsurface_Inputs!$C$39*H17-2*Subsurface_Inputs!$C$36*(I17/1000)</f>
        <v/>
      </c>
      <c r="R17" s="47">
        <f>Subsurface_Inputs!$C$40-2*Subsurface_Inputs!$C$36*(K17/1000)-Subsurface_Inputs!$C$41*ABS(L17-AVERAGE($L$2:$L$242))</f>
        <v/>
      </c>
      <c r="S17" s="47">
        <f>K17-AVERAGE($K$2:$K$242)</f>
        <v/>
      </c>
      <c r="T17" s="47">
        <f>K17/F17</f>
        <v/>
      </c>
      <c r="U17" s="50">
        <f>IF(H17&gt;=Subsurface_Inputs!$C$42,"Lens visible","Weak/no lens")</f>
        <v/>
      </c>
      <c r="V17" s="50">
        <f>IF(R17&gt;=W17,"Likely visible","Weak")</f>
        <v/>
      </c>
      <c r="W17" s="47">
        <f>Subsurface_Inputs!$C$43</f>
        <v/>
      </c>
      <c r="X17" s="47">
        <f>Q17-W17</f>
        <v/>
      </c>
      <c r="Y17" s="47">
        <f>R17-W17</f>
        <v/>
      </c>
      <c r="Z17" s="47">
        <f>MAX(Q17,R17)-W17</f>
        <v/>
      </c>
      <c r="AA17" s="47" t="n">
        <v>0</v>
      </c>
    </row>
    <row r="18">
      <c r="A18" s="47">
        <f>Model_Data!A18</f>
        <v/>
      </c>
      <c r="B18" s="47">
        <f>Model_Data!Y18</f>
        <v/>
      </c>
      <c r="C18" s="47">
        <f>Model_Data!X18</f>
        <v/>
      </c>
      <c r="D18" s="47">
        <f>Model_Data!B18</f>
        <v/>
      </c>
      <c r="E18" s="47">
        <f>Inputs!$C$6</f>
        <v/>
      </c>
      <c r="F18" s="47">
        <f>Subsurface_Inputs!$C$5+Subsurface_Inputs!$C$6*SIN(2*PI()*(A18+Subsurface_Inputs!$C$7)/Subsurface_Inputs!$C$8)+Subsurface_Inputs!$C$9*COS(2*PI()*A18/Subsurface_Inputs!$C$10)+Subsurface_Inputs!$C$11*(B18-AVERAGE($B$2:$B$242))</f>
        <v/>
      </c>
      <c r="G18" s="47">
        <f>B18-F18</f>
        <v/>
      </c>
      <c r="H18" s="47">
        <f>MIN(1,MAX(0,Subsurface_Inputs!$C$13*EXP(-0.5*((A18-Subsurface_Inputs!$C$14)/Subsurface_Inputs!$C$15)^2)+Subsurface_Inputs!$C$16*EXP(-0.5*((A18-Subsurface_Inputs!$C$17)/Subsurface_Inputs!$C$18)^2)))</f>
        <v/>
      </c>
      <c r="I18" s="47">
        <f>Subsurface_Inputs!$C$19+Subsurface_Inputs!$C$20*SIN(2*PI()*(A18-Subsurface_Inputs!$C$21)/Subsurface_Inputs!$C$22)-Subsurface_Inputs!$C$23*H18</f>
        <v/>
      </c>
      <c r="J18" s="47">
        <f>B18-I18</f>
        <v/>
      </c>
      <c r="K18" s="47">
        <f>Subsurface_Inputs!$C$25+Subsurface_Inputs!$C$26*SIN(2*PI()*(A18+Subsurface_Inputs!$C$27)/Subsurface_Inputs!$C$28)+Subsurface_Inputs!$C$29*COS(2*PI()*(A18-Subsurface_Inputs!$C$30)/Subsurface_Inputs!$C$31)-Subsurface_Inputs!$C$32*(B18-AVERAGE($B$2:$B$242))</f>
        <v/>
      </c>
      <c r="L18" s="47">
        <f>B18-K18</f>
        <v/>
      </c>
      <c r="M18" s="47">
        <f>2*Subsurface_Inputs!$C$34*F18/Subsurface_Inputs!$C$35*1000000</f>
        <v/>
      </c>
      <c r="N18" s="47">
        <f>2*Subsurface_Inputs!$C$34*I18/Subsurface_Inputs!$C$35*1000000</f>
        <v/>
      </c>
      <c r="O18" s="47">
        <f>2*Subsurface_Inputs!$C$34*K18/Subsurface_Inputs!$C$35*1000000</f>
        <v/>
      </c>
      <c r="P18" s="47">
        <f>Subsurface_Inputs!$C$37-2*Subsurface_Inputs!$C$36*(F18/1000)</f>
        <v/>
      </c>
      <c r="Q18" s="47">
        <f>Subsurface_Inputs!$C$38+Subsurface_Inputs!$C$39*H18-2*Subsurface_Inputs!$C$36*(I18/1000)</f>
        <v/>
      </c>
      <c r="R18" s="47">
        <f>Subsurface_Inputs!$C$40-2*Subsurface_Inputs!$C$36*(K18/1000)-Subsurface_Inputs!$C$41*ABS(L18-AVERAGE($L$2:$L$242))</f>
        <v/>
      </c>
      <c r="S18" s="47">
        <f>K18-AVERAGE($K$2:$K$242)</f>
        <v/>
      </c>
      <c r="T18" s="47">
        <f>K18/F18</f>
        <v/>
      </c>
      <c r="U18" s="50">
        <f>IF(H18&gt;=Subsurface_Inputs!$C$42,"Lens visible","Weak/no lens")</f>
        <v/>
      </c>
      <c r="V18" s="50">
        <f>IF(R18&gt;=W18,"Likely visible","Weak")</f>
        <v/>
      </c>
      <c r="W18" s="47">
        <f>Subsurface_Inputs!$C$43</f>
        <v/>
      </c>
      <c r="X18" s="47">
        <f>Q18-W18</f>
        <v/>
      </c>
      <c r="Y18" s="47">
        <f>R18-W18</f>
        <v/>
      </c>
      <c r="Z18" s="47">
        <f>MAX(Q18,R18)-W18</f>
        <v/>
      </c>
      <c r="AA18" s="47" t="n">
        <v>0</v>
      </c>
    </row>
    <row r="19">
      <c r="A19" s="47">
        <f>Model_Data!A19</f>
        <v/>
      </c>
      <c r="B19" s="47">
        <f>Model_Data!Y19</f>
        <v/>
      </c>
      <c r="C19" s="47">
        <f>Model_Data!X19</f>
        <v/>
      </c>
      <c r="D19" s="47">
        <f>Model_Data!B19</f>
        <v/>
      </c>
      <c r="E19" s="47">
        <f>Inputs!$C$6</f>
        <v/>
      </c>
      <c r="F19" s="47">
        <f>Subsurface_Inputs!$C$5+Subsurface_Inputs!$C$6*SIN(2*PI()*(A19+Subsurface_Inputs!$C$7)/Subsurface_Inputs!$C$8)+Subsurface_Inputs!$C$9*COS(2*PI()*A19/Subsurface_Inputs!$C$10)+Subsurface_Inputs!$C$11*(B19-AVERAGE($B$2:$B$242))</f>
        <v/>
      </c>
      <c r="G19" s="47">
        <f>B19-F19</f>
        <v/>
      </c>
      <c r="H19" s="47">
        <f>MIN(1,MAX(0,Subsurface_Inputs!$C$13*EXP(-0.5*((A19-Subsurface_Inputs!$C$14)/Subsurface_Inputs!$C$15)^2)+Subsurface_Inputs!$C$16*EXP(-0.5*((A19-Subsurface_Inputs!$C$17)/Subsurface_Inputs!$C$18)^2)))</f>
        <v/>
      </c>
      <c r="I19" s="47">
        <f>Subsurface_Inputs!$C$19+Subsurface_Inputs!$C$20*SIN(2*PI()*(A19-Subsurface_Inputs!$C$21)/Subsurface_Inputs!$C$22)-Subsurface_Inputs!$C$23*H19</f>
        <v/>
      </c>
      <c r="J19" s="47">
        <f>B19-I19</f>
        <v/>
      </c>
      <c r="K19" s="47">
        <f>Subsurface_Inputs!$C$25+Subsurface_Inputs!$C$26*SIN(2*PI()*(A19+Subsurface_Inputs!$C$27)/Subsurface_Inputs!$C$28)+Subsurface_Inputs!$C$29*COS(2*PI()*(A19-Subsurface_Inputs!$C$30)/Subsurface_Inputs!$C$31)-Subsurface_Inputs!$C$32*(B19-AVERAGE($B$2:$B$242))</f>
        <v/>
      </c>
      <c r="L19" s="47">
        <f>B19-K19</f>
        <v/>
      </c>
      <c r="M19" s="47">
        <f>2*Subsurface_Inputs!$C$34*F19/Subsurface_Inputs!$C$35*1000000</f>
        <v/>
      </c>
      <c r="N19" s="47">
        <f>2*Subsurface_Inputs!$C$34*I19/Subsurface_Inputs!$C$35*1000000</f>
        <v/>
      </c>
      <c r="O19" s="47">
        <f>2*Subsurface_Inputs!$C$34*K19/Subsurface_Inputs!$C$35*1000000</f>
        <v/>
      </c>
      <c r="P19" s="47">
        <f>Subsurface_Inputs!$C$37-2*Subsurface_Inputs!$C$36*(F19/1000)</f>
        <v/>
      </c>
      <c r="Q19" s="47">
        <f>Subsurface_Inputs!$C$38+Subsurface_Inputs!$C$39*H19-2*Subsurface_Inputs!$C$36*(I19/1000)</f>
        <v/>
      </c>
      <c r="R19" s="47">
        <f>Subsurface_Inputs!$C$40-2*Subsurface_Inputs!$C$36*(K19/1000)-Subsurface_Inputs!$C$41*ABS(L19-AVERAGE($L$2:$L$242))</f>
        <v/>
      </c>
      <c r="S19" s="47">
        <f>K19-AVERAGE($K$2:$K$242)</f>
        <v/>
      </c>
      <c r="T19" s="47">
        <f>K19/F19</f>
        <v/>
      </c>
      <c r="U19" s="50">
        <f>IF(H19&gt;=Subsurface_Inputs!$C$42,"Lens visible","Weak/no lens")</f>
        <v/>
      </c>
      <c r="V19" s="50">
        <f>IF(R19&gt;=W19,"Likely visible","Weak")</f>
        <v/>
      </c>
      <c r="W19" s="47">
        <f>Subsurface_Inputs!$C$43</f>
        <v/>
      </c>
      <c r="X19" s="47">
        <f>Q19-W19</f>
        <v/>
      </c>
      <c r="Y19" s="47">
        <f>R19-W19</f>
        <v/>
      </c>
      <c r="Z19" s="47">
        <f>MAX(Q19,R19)-W19</f>
        <v/>
      </c>
      <c r="AA19" s="47" t="n">
        <v>0</v>
      </c>
    </row>
    <row r="20">
      <c r="A20" s="47">
        <f>Model_Data!A20</f>
        <v/>
      </c>
      <c r="B20" s="47">
        <f>Model_Data!Y20</f>
        <v/>
      </c>
      <c r="C20" s="47">
        <f>Model_Data!X20</f>
        <v/>
      </c>
      <c r="D20" s="47">
        <f>Model_Data!B20</f>
        <v/>
      </c>
      <c r="E20" s="47">
        <f>Inputs!$C$6</f>
        <v/>
      </c>
      <c r="F20" s="47">
        <f>Subsurface_Inputs!$C$5+Subsurface_Inputs!$C$6*SIN(2*PI()*(A20+Subsurface_Inputs!$C$7)/Subsurface_Inputs!$C$8)+Subsurface_Inputs!$C$9*COS(2*PI()*A20/Subsurface_Inputs!$C$10)+Subsurface_Inputs!$C$11*(B20-AVERAGE($B$2:$B$242))</f>
        <v/>
      </c>
      <c r="G20" s="47">
        <f>B20-F20</f>
        <v/>
      </c>
      <c r="H20" s="47">
        <f>MIN(1,MAX(0,Subsurface_Inputs!$C$13*EXP(-0.5*((A20-Subsurface_Inputs!$C$14)/Subsurface_Inputs!$C$15)^2)+Subsurface_Inputs!$C$16*EXP(-0.5*((A20-Subsurface_Inputs!$C$17)/Subsurface_Inputs!$C$18)^2)))</f>
        <v/>
      </c>
      <c r="I20" s="47">
        <f>Subsurface_Inputs!$C$19+Subsurface_Inputs!$C$20*SIN(2*PI()*(A20-Subsurface_Inputs!$C$21)/Subsurface_Inputs!$C$22)-Subsurface_Inputs!$C$23*H20</f>
        <v/>
      </c>
      <c r="J20" s="47">
        <f>B20-I20</f>
        <v/>
      </c>
      <c r="K20" s="47">
        <f>Subsurface_Inputs!$C$25+Subsurface_Inputs!$C$26*SIN(2*PI()*(A20+Subsurface_Inputs!$C$27)/Subsurface_Inputs!$C$28)+Subsurface_Inputs!$C$29*COS(2*PI()*(A20-Subsurface_Inputs!$C$30)/Subsurface_Inputs!$C$31)-Subsurface_Inputs!$C$32*(B20-AVERAGE($B$2:$B$242))</f>
        <v/>
      </c>
      <c r="L20" s="47">
        <f>B20-K20</f>
        <v/>
      </c>
      <c r="M20" s="47">
        <f>2*Subsurface_Inputs!$C$34*F20/Subsurface_Inputs!$C$35*1000000</f>
        <v/>
      </c>
      <c r="N20" s="47">
        <f>2*Subsurface_Inputs!$C$34*I20/Subsurface_Inputs!$C$35*1000000</f>
        <v/>
      </c>
      <c r="O20" s="47">
        <f>2*Subsurface_Inputs!$C$34*K20/Subsurface_Inputs!$C$35*1000000</f>
        <v/>
      </c>
      <c r="P20" s="47">
        <f>Subsurface_Inputs!$C$37-2*Subsurface_Inputs!$C$36*(F20/1000)</f>
        <v/>
      </c>
      <c r="Q20" s="47">
        <f>Subsurface_Inputs!$C$38+Subsurface_Inputs!$C$39*H20-2*Subsurface_Inputs!$C$36*(I20/1000)</f>
        <v/>
      </c>
      <c r="R20" s="47">
        <f>Subsurface_Inputs!$C$40-2*Subsurface_Inputs!$C$36*(K20/1000)-Subsurface_Inputs!$C$41*ABS(L20-AVERAGE($L$2:$L$242))</f>
        <v/>
      </c>
      <c r="S20" s="47">
        <f>K20-AVERAGE($K$2:$K$242)</f>
        <v/>
      </c>
      <c r="T20" s="47">
        <f>K20/F20</f>
        <v/>
      </c>
      <c r="U20" s="50">
        <f>IF(H20&gt;=Subsurface_Inputs!$C$42,"Lens visible","Weak/no lens")</f>
        <v/>
      </c>
      <c r="V20" s="50">
        <f>IF(R20&gt;=W20,"Likely visible","Weak")</f>
        <v/>
      </c>
      <c r="W20" s="47">
        <f>Subsurface_Inputs!$C$43</f>
        <v/>
      </c>
      <c r="X20" s="47">
        <f>Q20-W20</f>
        <v/>
      </c>
      <c r="Y20" s="47">
        <f>R20-W20</f>
        <v/>
      </c>
      <c r="Z20" s="47">
        <f>MAX(Q20,R20)-W20</f>
        <v/>
      </c>
      <c r="AA20" s="47" t="n">
        <v>0</v>
      </c>
    </row>
    <row r="21">
      <c r="A21" s="47">
        <f>Model_Data!A21</f>
        <v/>
      </c>
      <c r="B21" s="47">
        <f>Model_Data!Y21</f>
        <v/>
      </c>
      <c r="C21" s="47">
        <f>Model_Data!X21</f>
        <v/>
      </c>
      <c r="D21" s="47">
        <f>Model_Data!B21</f>
        <v/>
      </c>
      <c r="E21" s="47">
        <f>Inputs!$C$6</f>
        <v/>
      </c>
      <c r="F21" s="47">
        <f>Subsurface_Inputs!$C$5+Subsurface_Inputs!$C$6*SIN(2*PI()*(A21+Subsurface_Inputs!$C$7)/Subsurface_Inputs!$C$8)+Subsurface_Inputs!$C$9*COS(2*PI()*A21/Subsurface_Inputs!$C$10)+Subsurface_Inputs!$C$11*(B21-AVERAGE($B$2:$B$242))</f>
        <v/>
      </c>
      <c r="G21" s="47">
        <f>B21-F21</f>
        <v/>
      </c>
      <c r="H21" s="47">
        <f>MIN(1,MAX(0,Subsurface_Inputs!$C$13*EXP(-0.5*((A21-Subsurface_Inputs!$C$14)/Subsurface_Inputs!$C$15)^2)+Subsurface_Inputs!$C$16*EXP(-0.5*((A21-Subsurface_Inputs!$C$17)/Subsurface_Inputs!$C$18)^2)))</f>
        <v/>
      </c>
      <c r="I21" s="47">
        <f>Subsurface_Inputs!$C$19+Subsurface_Inputs!$C$20*SIN(2*PI()*(A21-Subsurface_Inputs!$C$21)/Subsurface_Inputs!$C$22)-Subsurface_Inputs!$C$23*H21</f>
        <v/>
      </c>
      <c r="J21" s="47">
        <f>B21-I21</f>
        <v/>
      </c>
      <c r="K21" s="47">
        <f>Subsurface_Inputs!$C$25+Subsurface_Inputs!$C$26*SIN(2*PI()*(A21+Subsurface_Inputs!$C$27)/Subsurface_Inputs!$C$28)+Subsurface_Inputs!$C$29*COS(2*PI()*(A21-Subsurface_Inputs!$C$30)/Subsurface_Inputs!$C$31)-Subsurface_Inputs!$C$32*(B21-AVERAGE($B$2:$B$242))</f>
        <v/>
      </c>
      <c r="L21" s="47">
        <f>B21-K21</f>
        <v/>
      </c>
      <c r="M21" s="47">
        <f>2*Subsurface_Inputs!$C$34*F21/Subsurface_Inputs!$C$35*1000000</f>
        <v/>
      </c>
      <c r="N21" s="47">
        <f>2*Subsurface_Inputs!$C$34*I21/Subsurface_Inputs!$C$35*1000000</f>
        <v/>
      </c>
      <c r="O21" s="47">
        <f>2*Subsurface_Inputs!$C$34*K21/Subsurface_Inputs!$C$35*1000000</f>
        <v/>
      </c>
      <c r="P21" s="47">
        <f>Subsurface_Inputs!$C$37-2*Subsurface_Inputs!$C$36*(F21/1000)</f>
        <v/>
      </c>
      <c r="Q21" s="47">
        <f>Subsurface_Inputs!$C$38+Subsurface_Inputs!$C$39*H21-2*Subsurface_Inputs!$C$36*(I21/1000)</f>
        <v/>
      </c>
      <c r="R21" s="47">
        <f>Subsurface_Inputs!$C$40-2*Subsurface_Inputs!$C$36*(K21/1000)-Subsurface_Inputs!$C$41*ABS(L21-AVERAGE($L$2:$L$242))</f>
        <v/>
      </c>
      <c r="S21" s="47">
        <f>K21-AVERAGE($K$2:$K$242)</f>
        <v/>
      </c>
      <c r="T21" s="47">
        <f>K21/F21</f>
        <v/>
      </c>
      <c r="U21" s="50">
        <f>IF(H21&gt;=Subsurface_Inputs!$C$42,"Lens visible","Weak/no lens")</f>
        <v/>
      </c>
      <c r="V21" s="50">
        <f>IF(R21&gt;=W21,"Likely visible","Weak")</f>
        <v/>
      </c>
      <c r="W21" s="47">
        <f>Subsurface_Inputs!$C$43</f>
        <v/>
      </c>
      <c r="X21" s="47">
        <f>Q21-W21</f>
        <v/>
      </c>
      <c r="Y21" s="47">
        <f>R21-W21</f>
        <v/>
      </c>
      <c r="Z21" s="47">
        <f>MAX(Q21,R21)-W21</f>
        <v/>
      </c>
      <c r="AA21" s="47" t="n">
        <v>0</v>
      </c>
    </row>
    <row r="22">
      <c r="A22" s="47">
        <f>Model_Data!A22</f>
        <v/>
      </c>
      <c r="B22" s="47">
        <f>Model_Data!Y22</f>
        <v/>
      </c>
      <c r="C22" s="47">
        <f>Model_Data!X22</f>
        <v/>
      </c>
      <c r="D22" s="47">
        <f>Model_Data!B22</f>
        <v/>
      </c>
      <c r="E22" s="47">
        <f>Inputs!$C$6</f>
        <v/>
      </c>
      <c r="F22" s="47">
        <f>Subsurface_Inputs!$C$5+Subsurface_Inputs!$C$6*SIN(2*PI()*(A22+Subsurface_Inputs!$C$7)/Subsurface_Inputs!$C$8)+Subsurface_Inputs!$C$9*COS(2*PI()*A22/Subsurface_Inputs!$C$10)+Subsurface_Inputs!$C$11*(B22-AVERAGE($B$2:$B$242))</f>
        <v/>
      </c>
      <c r="G22" s="47">
        <f>B22-F22</f>
        <v/>
      </c>
      <c r="H22" s="47">
        <f>MIN(1,MAX(0,Subsurface_Inputs!$C$13*EXP(-0.5*((A22-Subsurface_Inputs!$C$14)/Subsurface_Inputs!$C$15)^2)+Subsurface_Inputs!$C$16*EXP(-0.5*((A22-Subsurface_Inputs!$C$17)/Subsurface_Inputs!$C$18)^2)))</f>
        <v/>
      </c>
      <c r="I22" s="47">
        <f>Subsurface_Inputs!$C$19+Subsurface_Inputs!$C$20*SIN(2*PI()*(A22-Subsurface_Inputs!$C$21)/Subsurface_Inputs!$C$22)-Subsurface_Inputs!$C$23*H22</f>
        <v/>
      </c>
      <c r="J22" s="47">
        <f>B22-I22</f>
        <v/>
      </c>
      <c r="K22" s="47">
        <f>Subsurface_Inputs!$C$25+Subsurface_Inputs!$C$26*SIN(2*PI()*(A22+Subsurface_Inputs!$C$27)/Subsurface_Inputs!$C$28)+Subsurface_Inputs!$C$29*COS(2*PI()*(A22-Subsurface_Inputs!$C$30)/Subsurface_Inputs!$C$31)-Subsurface_Inputs!$C$32*(B22-AVERAGE($B$2:$B$242))</f>
        <v/>
      </c>
      <c r="L22" s="47">
        <f>B22-K22</f>
        <v/>
      </c>
      <c r="M22" s="47">
        <f>2*Subsurface_Inputs!$C$34*F22/Subsurface_Inputs!$C$35*1000000</f>
        <v/>
      </c>
      <c r="N22" s="47">
        <f>2*Subsurface_Inputs!$C$34*I22/Subsurface_Inputs!$C$35*1000000</f>
        <v/>
      </c>
      <c r="O22" s="47">
        <f>2*Subsurface_Inputs!$C$34*K22/Subsurface_Inputs!$C$35*1000000</f>
        <v/>
      </c>
      <c r="P22" s="47">
        <f>Subsurface_Inputs!$C$37-2*Subsurface_Inputs!$C$36*(F22/1000)</f>
        <v/>
      </c>
      <c r="Q22" s="47">
        <f>Subsurface_Inputs!$C$38+Subsurface_Inputs!$C$39*H22-2*Subsurface_Inputs!$C$36*(I22/1000)</f>
        <v/>
      </c>
      <c r="R22" s="47">
        <f>Subsurface_Inputs!$C$40-2*Subsurface_Inputs!$C$36*(K22/1000)-Subsurface_Inputs!$C$41*ABS(L22-AVERAGE($L$2:$L$242))</f>
        <v/>
      </c>
      <c r="S22" s="47">
        <f>K22-AVERAGE($K$2:$K$242)</f>
        <v/>
      </c>
      <c r="T22" s="47">
        <f>K22/F22</f>
        <v/>
      </c>
      <c r="U22" s="50">
        <f>IF(H22&gt;=Subsurface_Inputs!$C$42,"Lens visible","Weak/no lens")</f>
        <v/>
      </c>
      <c r="V22" s="50">
        <f>IF(R22&gt;=W22,"Likely visible","Weak")</f>
        <v/>
      </c>
      <c r="W22" s="47">
        <f>Subsurface_Inputs!$C$43</f>
        <v/>
      </c>
      <c r="X22" s="47">
        <f>Q22-W22</f>
        <v/>
      </c>
      <c r="Y22" s="47">
        <f>R22-W22</f>
        <v/>
      </c>
      <c r="Z22" s="47">
        <f>MAX(Q22,R22)-W22</f>
        <v/>
      </c>
      <c r="AA22" s="47" t="n">
        <v>0</v>
      </c>
    </row>
    <row r="23">
      <c r="A23" s="47">
        <f>Model_Data!A23</f>
        <v/>
      </c>
      <c r="B23" s="47">
        <f>Model_Data!Y23</f>
        <v/>
      </c>
      <c r="C23" s="47">
        <f>Model_Data!X23</f>
        <v/>
      </c>
      <c r="D23" s="47">
        <f>Model_Data!B23</f>
        <v/>
      </c>
      <c r="E23" s="47">
        <f>Inputs!$C$6</f>
        <v/>
      </c>
      <c r="F23" s="47">
        <f>Subsurface_Inputs!$C$5+Subsurface_Inputs!$C$6*SIN(2*PI()*(A23+Subsurface_Inputs!$C$7)/Subsurface_Inputs!$C$8)+Subsurface_Inputs!$C$9*COS(2*PI()*A23/Subsurface_Inputs!$C$10)+Subsurface_Inputs!$C$11*(B23-AVERAGE($B$2:$B$242))</f>
        <v/>
      </c>
      <c r="G23" s="47">
        <f>B23-F23</f>
        <v/>
      </c>
      <c r="H23" s="47">
        <f>MIN(1,MAX(0,Subsurface_Inputs!$C$13*EXP(-0.5*((A23-Subsurface_Inputs!$C$14)/Subsurface_Inputs!$C$15)^2)+Subsurface_Inputs!$C$16*EXP(-0.5*((A23-Subsurface_Inputs!$C$17)/Subsurface_Inputs!$C$18)^2)))</f>
        <v/>
      </c>
      <c r="I23" s="47">
        <f>Subsurface_Inputs!$C$19+Subsurface_Inputs!$C$20*SIN(2*PI()*(A23-Subsurface_Inputs!$C$21)/Subsurface_Inputs!$C$22)-Subsurface_Inputs!$C$23*H23</f>
        <v/>
      </c>
      <c r="J23" s="47">
        <f>B23-I23</f>
        <v/>
      </c>
      <c r="K23" s="47">
        <f>Subsurface_Inputs!$C$25+Subsurface_Inputs!$C$26*SIN(2*PI()*(A23+Subsurface_Inputs!$C$27)/Subsurface_Inputs!$C$28)+Subsurface_Inputs!$C$29*COS(2*PI()*(A23-Subsurface_Inputs!$C$30)/Subsurface_Inputs!$C$31)-Subsurface_Inputs!$C$32*(B23-AVERAGE($B$2:$B$242))</f>
        <v/>
      </c>
      <c r="L23" s="47">
        <f>B23-K23</f>
        <v/>
      </c>
      <c r="M23" s="47">
        <f>2*Subsurface_Inputs!$C$34*F23/Subsurface_Inputs!$C$35*1000000</f>
        <v/>
      </c>
      <c r="N23" s="47">
        <f>2*Subsurface_Inputs!$C$34*I23/Subsurface_Inputs!$C$35*1000000</f>
        <v/>
      </c>
      <c r="O23" s="47">
        <f>2*Subsurface_Inputs!$C$34*K23/Subsurface_Inputs!$C$35*1000000</f>
        <v/>
      </c>
      <c r="P23" s="47">
        <f>Subsurface_Inputs!$C$37-2*Subsurface_Inputs!$C$36*(F23/1000)</f>
        <v/>
      </c>
      <c r="Q23" s="47">
        <f>Subsurface_Inputs!$C$38+Subsurface_Inputs!$C$39*H23-2*Subsurface_Inputs!$C$36*(I23/1000)</f>
        <v/>
      </c>
      <c r="R23" s="47">
        <f>Subsurface_Inputs!$C$40-2*Subsurface_Inputs!$C$36*(K23/1000)-Subsurface_Inputs!$C$41*ABS(L23-AVERAGE($L$2:$L$242))</f>
        <v/>
      </c>
      <c r="S23" s="47">
        <f>K23-AVERAGE($K$2:$K$242)</f>
        <v/>
      </c>
      <c r="T23" s="47">
        <f>K23/F23</f>
        <v/>
      </c>
      <c r="U23" s="50">
        <f>IF(H23&gt;=Subsurface_Inputs!$C$42,"Lens visible","Weak/no lens")</f>
        <v/>
      </c>
      <c r="V23" s="50">
        <f>IF(R23&gt;=W23,"Likely visible","Weak")</f>
        <v/>
      </c>
      <c r="W23" s="47">
        <f>Subsurface_Inputs!$C$43</f>
        <v/>
      </c>
      <c r="X23" s="47">
        <f>Q23-W23</f>
        <v/>
      </c>
      <c r="Y23" s="47">
        <f>R23-W23</f>
        <v/>
      </c>
      <c r="Z23" s="47">
        <f>MAX(Q23,R23)-W23</f>
        <v/>
      </c>
      <c r="AA23" s="47" t="n">
        <v>0</v>
      </c>
    </row>
    <row r="24">
      <c r="A24" s="47">
        <f>Model_Data!A24</f>
        <v/>
      </c>
      <c r="B24" s="47">
        <f>Model_Data!Y24</f>
        <v/>
      </c>
      <c r="C24" s="47">
        <f>Model_Data!X24</f>
        <v/>
      </c>
      <c r="D24" s="47">
        <f>Model_Data!B24</f>
        <v/>
      </c>
      <c r="E24" s="47">
        <f>Inputs!$C$6</f>
        <v/>
      </c>
      <c r="F24" s="47">
        <f>Subsurface_Inputs!$C$5+Subsurface_Inputs!$C$6*SIN(2*PI()*(A24+Subsurface_Inputs!$C$7)/Subsurface_Inputs!$C$8)+Subsurface_Inputs!$C$9*COS(2*PI()*A24/Subsurface_Inputs!$C$10)+Subsurface_Inputs!$C$11*(B24-AVERAGE($B$2:$B$242))</f>
        <v/>
      </c>
      <c r="G24" s="47">
        <f>B24-F24</f>
        <v/>
      </c>
      <c r="H24" s="47">
        <f>MIN(1,MAX(0,Subsurface_Inputs!$C$13*EXP(-0.5*((A24-Subsurface_Inputs!$C$14)/Subsurface_Inputs!$C$15)^2)+Subsurface_Inputs!$C$16*EXP(-0.5*((A24-Subsurface_Inputs!$C$17)/Subsurface_Inputs!$C$18)^2)))</f>
        <v/>
      </c>
      <c r="I24" s="47">
        <f>Subsurface_Inputs!$C$19+Subsurface_Inputs!$C$20*SIN(2*PI()*(A24-Subsurface_Inputs!$C$21)/Subsurface_Inputs!$C$22)-Subsurface_Inputs!$C$23*H24</f>
        <v/>
      </c>
      <c r="J24" s="47">
        <f>B24-I24</f>
        <v/>
      </c>
      <c r="K24" s="47">
        <f>Subsurface_Inputs!$C$25+Subsurface_Inputs!$C$26*SIN(2*PI()*(A24+Subsurface_Inputs!$C$27)/Subsurface_Inputs!$C$28)+Subsurface_Inputs!$C$29*COS(2*PI()*(A24-Subsurface_Inputs!$C$30)/Subsurface_Inputs!$C$31)-Subsurface_Inputs!$C$32*(B24-AVERAGE($B$2:$B$242))</f>
        <v/>
      </c>
      <c r="L24" s="47">
        <f>B24-K24</f>
        <v/>
      </c>
      <c r="M24" s="47">
        <f>2*Subsurface_Inputs!$C$34*F24/Subsurface_Inputs!$C$35*1000000</f>
        <v/>
      </c>
      <c r="N24" s="47">
        <f>2*Subsurface_Inputs!$C$34*I24/Subsurface_Inputs!$C$35*1000000</f>
        <v/>
      </c>
      <c r="O24" s="47">
        <f>2*Subsurface_Inputs!$C$34*K24/Subsurface_Inputs!$C$35*1000000</f>
        <v/>
      </c>
      <c r="P24" s="47">
        <f>Subsurface_Inputs!$C$37-2*Subsurface_Inputs!$C$36*(F24/1000)</f>
        <v/>
      </c>
      <c r="Q24" s="47">
        <f>Subsurface_Inputs!$C$38+Subsurface_Inputs!$C$39*H24-2*Subsurface_Inputs!$C$36*(I24/1000)</f>
        <v/>
      </c>
      <c r="R24" s="47">
        <f>Subsurface_Inputs!$C$40-2*Subsurface_Inputs!$C$36*(K24/1000)-Subsurface_Inputs!$C$41*ABS(L24-AVERAGE($L$2:$L$242))</f>
        <v/>
      </c>
      <c r="S24" s="47">
        <f>K24-AVERAGE($K$2:$K$242)</f>
        <v/>
      </c>
      <c r="T24" s="47">
        <f>K24/F24</f>
        <v/>
      </c>
      <c r="U24" s="50">
        <f>IF(H24&gt;=Subsurface_Inputs!$C$42,"Lens visible","Weak/no lens")</f>
        <v/>
      </c>
      <c r="V24" s="50">
        <f>IF(R24&gt;=W24,"Likely visible","Weak")</f>
        <v/>
      </c>
      <c r="W24" s="47">
        <f>Subsurface_Inputs!$C$43</f>
        <v/>
      </c>
      <c r="X24" s="47">
        <f>Q24-W24</f>
        <v/>
      </c>
      <c r="Y24" s="47">
        <f>R24-W24</f>
        <v/>
      </c>
      <c r="Z24" s="47">
        <f>MAX(Q24,R24)-W24</f>
        <v/>
      </c>
      <c r="AA24" s="47" t="n">
        <v>0</v>
      </c>
    </row>
    <row r="25">
      <c r="A25" s="47">
        <f>Model_Data!A25</f>
        <v/>
      </c>
      <c r="B25" s="47">
        <f>Model_Data!Y25</f>
        <v/>
      </c>
      <c r="C25" s="47">
        <f>Model_Data!X25</f>
        <v/>
      </c>
      <c r="D25" s="47">
        <f>Model_Data!B25</f>
        <v/>
      </c>
      <c r="E25" s="47">
        <f>Inputs!$C$6</f>
        <v/>
      </c>
      <c r="F25" s="47">
        <f>Subsurface_Inputs!$C$5+Subsurface_Inputs!$C$6*SIN(2*PI()*(A25+Subsurface_Inputs!$C$7)/Subsurface_Inputs!$C$8)+Subsurface_Inputs!$C$9*COS(2*PI()*A25/Subsurface_Inputs!$C$10)+Subsurface_Inputs!$C$11*(B25-AVERAGE($B$2:$B$242))</f>
        <v/>
      </c>
      <c r="G25" s="47">
        <f>B25-F25</f>
        <v/>
      </c>
      <c r="H25" s="47">
        <f>MIN(1,MAX(0,Subsurface_Inputs!$C$13*EXP(-0.5*((A25-Subsurface_Inputs!$C$14)/Subsurface_Inputs!$C$15)^2)+Subsurface_Inputs!$C$16*EXP(-0.5*((A25-Subsurface_Inputs!$C$17)/Subsurface_Inputs!$C$18)^2)))</f>
        <v/>
      </c>
      <c r="I25" s="47">
        <f>Subsurface_Inputs!$C$19+Subsurface_Inputs!$C$20*SIN(2*PI()*(A25-Subsurface_Inputs!$C$21)/Subsurface_Inputs!$C$22)-Subsurface_Inputs!$C$23*H25</f>
        <v/>
      </c>
      <c r="J25" s="47">
        <f>B25-I25</f>
        <v/>
      </c>
      <c r="K25" s="47">
        <f>Subsurface_Inputs!$C$25+Subsurface_Inputs!$C$26*SIN(2*PI()*(A25+Subsurface_Inputs!$C$27)/Subsurface_Inputs!$C$28)+Subsurface_Inputs!$C$29*COS(2*PI()*(A25-Subsurface_Inputs!$C$30)/Subsurface_Inputs!$C$31)-Subsurface_Inputs!$C$32*(B25-AVERAGE($B$2:$B$242))</f>
        <v/>
      </c>
      <c r="L25" s="47">
        <f>B25-K25</f>
        <v/>
      </c>
      <c r="M25" s="47">
        <f>2*Subsurface_Inputs!$C$34*F25/Subsurface_Inputs!$C$35*1000000</f>
        <v/>
      </c>
      <c r="N25" s="47">
        <f>2*Subsurface_Inputs!$C$34*I25/Subsurface_Inputs!$C$35*1000000</f>
        <v/>
      </c>
      <c r="O25" s="47">
        <f>2*Subsurface_Inputs!$C$34*K25/Subsurface_Inputs!$C$35*1000000</f>
        <v/>
      </c>
      <c r="P25" s="47">
        <f>Subsurface_Inputs!$C$37-2*Subsurface_Inputs!$C$36*(F25/1000)</f>
        <v/>
      </c>
      <c r="Q25" s="47">
        <f>Subsurface_Inputs!$C$38+Subsurface_Inputs!$C$39*H25-2*Subsurface_Inputs!$C$36*(I25/1000)</f>
        <v/>
      </c>
      <c r="R25" s="47">
        <f>Subsurface_Inputs!$C$40-2*Subsurface_Inputs!$C$36*(K25/1000)-Subsurface_Inputs!$C$41*ABS(L25-AVERAGE($L$2:$L$242))</f>
        <v/>
      </c>
      <c r="S25" s="47">
        <f>K25-AVERAGE($K$2:$K$242)</f>
        <v/>
      </c>
      <c r="T25" s="47">
        <f>K25/F25</f>
        <v/>
      </c>
      <c r="U25" s="50">
        <f>IF(H25&gt;=Subsurface_Inputs!$C$42,"Lens visible","Weak/no lens")</f>
        <v/>
      </c>
      <c r="V25" s="50">
        <f>IF(R25&gt;=W25,"Likely visible","Weak")</f>
        <v/>
      </c>
      <c r="W25" s="47">
        <f>Subsurface_Inputs!$C$43</f>
        <v/>
      </c>
      <c r="X25" s="47">
        <f>Q25-W25</f>
        <v/>
      </c>
      <c r="Y25" s="47">
        <f>R25-W25</f>
        <v/>
      </c>
      <c r="Z25" s="47">
        <f>MAX(Q25,R25)-W25</f>
        <v/>
      </c>
      <c r="AA25" s="47" t="n">
        <v>0</v>
      </c>
    </row>
    <row r="26">
      <c r="A26" s="47">
        <f>Model_Data!A26</f>
        <v/>
      </c>
      <c r="B26" s="47">
        <f>Model_Data!Y26</f>
        <v/>
      </c>
      <c r="C26" s="47">
        <f>Model_Data!X26</f>
        <v/>
      </c>
      <c r="D26" s="47">
        <f>Model_Data!B26</f>
        <v/>
      </c>
      <c r="E26" s="47">
        <f>Inputs!$C$6</f>
        <v/>
      </c>
      <c r="F26" s="47">
        <f>Subsurface_Inputs!$C$5+Subsurface_Inputs!$C$6*SIN(2*PI()*(A26+Subsurface_Inputs!$C$7)/Subsurface_Inputs!$C$8)+Subsurface_Inputs!$C$9*COS(2*PI()*A26/Subsurface_Inputs!$C$10)+Subsurface_Inputs!$C$11*(B26-AVERAGE($B$2:$B$242))</f>
        <v/>
      </c>
      <c r="G26" s="47">
        <f>B26-F26</f>
        <v/>
      </c>
      <c r="H26" s="47">
        <f>MIN(1,MAX(0,Subsurface_Inputs!$C$13*EXP(-0.5*((A26-Subsurface_Inputs!$C$14)/Subsurface_Inputs!$C$15)^2)+Subsurface_Inputs!$C$16*EXP(-0.5*((A26-Subsurface_Inputs!$C$17)/Subsurface_Inputs!$C$18)^2)))</f>
        <v/>
      </c>
      <c r="I26" s="47">
        <f>Subsurface_Inputs!$C$19+Subsurface_Inputs!$C$20*SIN(2*PI()*(A26-Subsurface_Inputs!$C$21)/Subsurface_Inputs!$C$22)-Subsurface_Inputs!$C$23*H26</f>
        <v/>
      </c>
      <c r="J26" s="47">
        <f>B26-I26</f>
        <v/>
      </c>
      <c r="K26" s="47">
        <f>Subsurface_Inputs!$C$25+Subsurface_Inputs!$C$26*SIN(2*PI()*(A26+Subsurface_Inputs!$C$27)/Subsurface_Inputs!$C$28)+Subsurface_Inputs!$C$29*COS(2*PI()*(A26-Subsurface_Inputs!$C$30)/Subsurface_Inputs!$C$31)-Subsurface_Inputs!$C$32*(B26-AVERAGE($B$2:$B$242))</f>
        <v/>
      </c>
      <c r="L26" s="47">
        <f>B26-K26</f>
        <v/>
      </c>
      <c r="M26" s="47">
        <f>2*Subsurface_Inputs!$C$34*F26/Subsurface_Inputs!$C$35*1000000</f>
        <v/>
      </c>
      <c r="N26" s="47">
        <f>2*Subsurface_Inputs!$C$34*I26/Subsurface_Inputs!$C$35*1000000</f>
        <v/>
      </c>
      <c r="O26" s="47">
        <f>2*Subsurface_Inputs!$C$34*K26/Subsurface_Inputs!$C$35*1000000</f>
        <v/>
      </c>
      <c r="P26" s="47">
        <f>Subsurface_Inputs!$C$37-2*Subsurface_Inputs!$C$36*(F26/1000)</f>
        <v/>
      </c>
      <c r="Q26" s="47">
        <f>Subsurface_Inputs!$C$38+Subsurface_Inputs!$C$39*H26-2*Subsurface_Inputs!$C$36*(I26/1000)</f>
        <v/>
      </c>
      <c r="R26" s="47">
        <f>Subsurface_Inputs!$C$40-2*Subsurface_Inputs!$C$36*(K26/1000)-Subsurface_Inputs!$C$41*ABS(L26-AVERAGE($L$2:$L$242))</f>
        <v/>
      </c>
      <c r="S26" s="47">
        <f>K26-AVERAGE($K$2:$K$242)</f>
        <v/>
      </c>
      <c r="T26" s="47">
        <f>K26/F26</f>
        <v/>
      </c>
      <c r="U26" s="50">
        <f>IF(H26&gt;=Subsurface_Inputs!$C$42,"Lens visible","Weak/no lens")</f>
        <v/>
      </c>
      <c r="V26" s="50">
        <f>IF(R26&gt;=W26,"Likely visible","Weak")</f>
        <v/>
      </c>
      <c r="W26" s="47">
        <f>Subsurface_Inputs!$C$43</f>
        <v/>
      </c>
      <c r="X26" s="47">
        <f>Q26-W26</f>
        <v/>
      </c>
      <c r="Y26" s="47">
        <f>R26-W26</f>
        <v/>
      </c>
      <c r="Z26" s="47">
        <f>MAX(Q26,R26)-W26</f>
        <v/>
      </c>
      <c r="AA26" s="47" t="n">
        <v>0</v>
      </c>
    </row>
    <row r="27">
      <c r="A27" s="47">
        <f>Model_Data!A27</f>
        <v/>
      </c>
      <c r="B27" s="47">
        <f>Model_Data!Y27</f>
        <v/>
      </c>
      <c r="C27" s="47">
        <f>Model_Data!X27</f>
        <v/>
      </c>
      <c r="D27" s="47">
        <f>Model_Data!B27</f>
        <v/>
      </c>
      <c r="E27" s="47">
        <f>Inputs!$C$6</f>
        <v/>
      </c>
      <c r="F27" s="47">
        <f>Subsurface_Inputs!$C$5+Subsurface_Inputs!$C$6*SIN(2*PI()*(A27+Subsurface_Inputs!$C$7)/Subsurface_Inputs!$C$8)+Subsurface_Inputs!$C$9*COS(2*PI()*A27/Subsurface_Inputs!$C$10)+Subsurface_Inputs!$C$11*(B27-AVERAGE($B$2:$B$242))</f>
        <v/>
      </c>
      <c r="G27" s="47">
        <f>B27-F27</f>
        <v/>
      </c>
      <c r="H27" s="47">
        <f>MIN(1,MAX(0,Subsurface_Inputs!$C$13*EXP(-0.5*((A27-Subsurface_Inputs!$C$14)/Subsurface_Inputs!$C$15)^2)+Subsurface_Inputs!$C$16*EXP(-0.5*((A27-Subsurface_Inputs!$C$17)/Subsurface_Inputs!$C$18)^2)))</f>
        <v/>
      </c>
      <c r="I27" s="47">
        <f>Subsurface_Inputs!$C$19+Subsurface_Inputs!$C$20*SIN(2*PI()*(A27-Subsurface_Inputs!$C$21)/Subsurface_Inputs!$C$22)-Subsurface_Inputs!$C$23*H27</f>
        <v/>
      </c>
      <c r="J27" s="47">
        <f>B27-I27</f>
        <v/>
      </c>
      <c r="K27" s="47">
        <f>Subsurface_Inputs!$C$25+Subsurface_Inputs!$C$26*SIN(2*PI()*(A27+Subsurface_Inputs!$C$27)/Subsurface_Inputs!$C$28)+Subsurface_Inputs!$C$29*COS(2*PI()*(A27-Subsurface_Inputs!$C$30)/Subsurface_Inputs!$C$31)-Subsurface_Inputs!$C$32*(B27-AVERAGE($B$2:$B$242))</f>
        <v/>
      </c>
      <c r="L27" s="47">
        <f>B27-K27</f>
        <v/>
      </c>
      <c r="M27" s="47">
        <f>2*Subsurface_Inputs!$C$34*F27/Subsurface_Inputs!$C$35*1000000</f>
        <v/>
      </c>
      <c r="N27" s="47">
        <f>2*Subsurface_Inputs!$C$34*I27/Subsurface_Inputs!$C$35*1000000</f>
        <v/>
      </c>
      <c r="O27" s="47">
        <f>2*Subsurface_Inputs!$C$34*K27/Subsurface_Inputs!$C$35*1000000</f>
        <v/>
      </c>
      <c r="P27" s="47">
        <f>Subsurface_Inputs!$C$37-2*Subsurface_Inputs!$C$36*(F27/1000)</f>
        <v/>
      </c>
      <c r="Q27" s="47">
        <f>Subsurface_Inputs!$C$38+Subsurface_Inputs!$C$39*H27-2*Subsurface_Inputs!$C$36*(I27/1000)</f>
        <v/>
      </c>
      <c r="R27" s="47">
        <f>Subsurface_Inputs!$C$40-2*Subsurface_Inputs!$C$36*(K27/1000)-Subsurface_Inputs!$C$41*ABS(L27-AVERAGE($L$2:$L$242))</f>
        <v/>
      </c>
      <c r="S27" s="47">
        <f>K27-AVERAGE($K$2:$K$242)</f>
        <v/>
      </c>
      <c r="T27" s="47">
        <f>K27/F27</f>
        <v/>
      </c>
      <c r="U27" s="50">
        <f>IF(H27&gt;=Subsurface_Inputs!$C$42,"Lens visible","Weak/no lens")</f>
        <v/>
      </c>
      <c r="V27" s="50">
        <f>IF(R27&gt;=W27,"Likely visible","Weak")</f>
        <v/>
      </c>
      <c r="W27" s="47">
        <f>Subsurface_Inputs!$C$43</f>
        <v/>
      </c>
      <c r="X27" s="47">
        <f>Q27-W27</f>
        <v/>
      </c>
      <c r="Y27" s="47">
        <f>R27-W27</f>
        <v/>
      </c>
      <c r="Z27" s="47">
        <f>MAX(Q27,R27)-W27</f>
        <v/>
      </c>
      <c r="AA27" s="47" t="n">
        <v>0</v>
      </c>
    </row>
    <row r="28">
      <c r="A28" s="47">
        <f>Model_Data!A28</f>
        <v/>
      </c>
      <c r="B28" s="47">
        <f>Model_Data!Y28</f>
        <v/>
      </c>
      <c r="C28" s="47">
        <f>Model_Data!X28</f>
        <v/>
      </c>
      <c r="D28" s="47">
        <f>Model_Data!B28</f>
        <v/>
      </c>
      <c r="E28" s="47">
        <f>Inputs!$C$6</f>
        <v/>
      </c>
      <c r="F28" s="47">
        <f>Subsurface_Inputs!$C$5+Subsurface_Inputs!$C$6*SIN(2*PI()*(A28+Subsurface_Inputs!$C$7)/Subsurface_Inputs!$C$8)+Subsurface_Inputs!$C$9*COS(2*PI()*A28/Subsurface_Inputs!$C$10)+Subsurface_Inputs!$C$11*(B28-AVERAGE($B$2:$B$242))</f>
        <v/>
      </c>
      <c r="G28" s="47">
        <f>B28-F28</f>
        <v/>
      </c>
      <c r="H28" s="47">
        <f>MIN(1,MAX(0,Subsurface_Inputs!$C$13*EXP(-0.5*((A28-Subsurface_Inputs!$C$14)/Subsurface_Inputs!$C$15)^2)+Subsurface_Inputs!$C$16*EXP(-0.5*((A28-Subsurface_Inputs!$C$17)/Subsurface_Inputs!$C$18)^2)))</f>
        <v/>
      </c>
      <c r="I28" s="47">
        <f>Subsurface_Inputs!$C$19+Subsurface_Inputs!$C$20*SIN(2*PI()*(A28-Subsurface_Inputs!$C$21)/Subsurface_Inputs!$C$22)-Subsurface_Inputs!$C$23*H28</f>
        <v/>
      </c>
      <c r="J28" s="47">
        <f>B28-I28</f>
        <v/>
      </c>
      <c r="K28" s="47">
        <f>Subsurface_Inputs!$C$25+Subsurface_Inputs!$C$26*SIN(2*PI()*(A28+Subsurface_Inputs!$C$27)/Subsurface_Inputs!$C$28)+Subsurface_Inputs!$C$29*COS(2*PI()*(A28-Subsurface_Inputs!$C$30)/Subsurface_Inputs!$C$31)-Subsurface_Inputs!$C$32*(B28-AVERAGE($B$2:$B$242))</f>
        <v/>
      </c>
      <c r="L28" s="47">
        <f>B28-K28</f>
        <v/>
      </c>
      <c r="M28" s="47">
        <f>2*Subsurface_Inputs!$C$34*F28/Subsurface_Inputs!$C$35*1000000</f>
        <v/>
      </c>
      <c r="N28" s="47">
        <f>2*Subsurface_Inputs!$C$34*I28/Subsurface_Inputs!$C$35*1000000</f>
        <v/>
      </c>
      <c r="O28" s="47">
        <f>2*Subsurface_Inputs!$C$34*K28/Subsurface_Inputs!$C$35*1000000</f>
        <v/>
      </c>
      <c r="P28" s="47">
        <f>Subsurface_Inputs!$C$37-2*Subsurface_Inputs!$C$36*(F28/1000)</f>
        <v/>
      </c>
      <c r="Q28" s="47">
        <f>Subsurface_Inputs!$C$38+Subsurface_Inputs!$C$39*H28-2*Subsurface_Inputs!$C$36*(I28/1000)</f>
        <v/>
      </c>
      <c r="R28" s="47">
        <f>Subsurface_Inputs!$C$40-2*Subsurface_Inputs!$C$36*(K28/1000)-Subsurface_Inputs!$C$41*ABS(L28-AVERAGE($L$2:$L$242))</f>
        <v/>
      </c>
      <c r="S28" s="47">
        <f>K28-AVERAGE($K$2:$K$242)</f>
        <v/>
      </c>
      <c r="T28" s="47">
        <f>K28/F28</f>
        <v/>
      </c>
      <c r="U28" s="50">
        <f>IF(H28&gt;=Subsurface_Inputs!$C$42,"Lens visible","Weak/no lens")</f>
        <v/>
      </c>
      <c r="V28" s="50">
        <f>IF(R28&gt;=W28,"Likely visible","Weak")</f>
        <v/>
      </c>
      <c r="W28" s="47">
        <f>Subsurface_Inputs!$C$43</f>
        <v/>
      </c>
      <c r="X28" s="47">
        <f>Q28-W28</f>
        <v/>
      </c>
      <c r="Y28" s="47">
        <f>R28-W28</f>
        <v/>
      </c>
      <c r="Z28" s="47">
        <f>MAX(Q28,R28)-W28</f>
        <v/>
      </c>
      <c r="AA28" s="47" t="n">
        <v>0</v>
      </c>
    </row>
    <row r="29">
      <c r="A29" s="47">
        <f>Model_Data!A29</f>
        <v/>
      </c>
      <c r="B29" s="47">
        <f>Model_Data!Y29</f>
        <v/>
      </c>
      <c r="C29" s="47">
        <f>Model_Data!X29</f>
        <v/>
      </c>
      <c r="D29" s="47">
        <f>Model_Data!B29</f>
        <v/>
      </c>
      <c r="E29" s="47">
        <f>Inputs!$C$6</f>
        <v/>
      </c>
      <c r="F29" s="47">
        <f>Subsurface_Inputs!$C$5+Subsurface_Inputs!$C$6*SIN(2*PI()*(A29+Subsurface_Inputs!$C$7)/Subsurface_Inputs!$C$8)+Subsurface_Inputs!$C$9*COS(2*PI()*A29/Subsurface_Inputs!$C$10)+Subsurface_Inputs!$C$11*(B29-AVERAGE($B$2:$B$242))</f>
        <v/>
      </c>
      <c r="G29" s="47">
        <f>B29-F29</f>
        <v/>
      </c>
      <c r="H29" s="47">
        <f>MIN(1,MAX(0,Subsurface_Inputs!$C$13*EXP(-0.5*((A29-Subsurface_Inputs!$C$14)/Subsurface_Inputs!$C$15)^2)+Subsurface_Inputs!$C$16*EXP(-0.5*((A29-Subsurface_Inputs!$C$17)/Subsurface_Inputs!$C$18)^2)))</f>
        <v/>
      </c>
      <c r="I29" s="47">
        <f>Subsurface_Inputs!$C$19+Subsurface_Inputs!$C$20*SIN(2*PI()*(A29-Subsurface_Inputs!$C$21)/Subsurface_Inputs!$C$22)-Subsurface_Inputs!$C$23*H29</f>
        <v/>
      </c>
      <c r="J29" s="47">
        <f>B29-I29</f>
        <v/>
      </c>
      <c r="K29" s="47">
        <f>Subsurface_Inputs!$C$25+Subsurface_Inputs!$C$26*SIN(2*PI()*(A29+Subsurface_Inputs!$C$27)/Subsurface_Inputs!$C$28)+Subsurface_Inputs!$C$29*COS(2*PI()*(A29-Subsurface_Inputs!$C$30)/Subsurface_Inputs!$C$31)-Subsurface_Inputs!$C$32*(B29-AVERAGE($B$2:$B$242))</f>
        <v/>
      </c>
      <c r="L29" s="47">
        <f>B29-K29</f>
        <v/>
      </c>
      <c r="M29" s="47">
        <f>2*Subsurface_Inputs!$C$34*F29/Subsurface_Inputs!$C$35*1000000</f>
        <v/>
      </c>
      <c r="N29" s="47">
        <f>2*Subsurface_Inputs!$C$34*I29/Subsurface_Inputs!$C$35*1000000</f>
        <v/>
      </c>
      <c r="O29" s="47">
        <f>2*Subsurface_Inputs!$C$34*K29/Subsurface_Inputs!$C$35*1000000</f>
        <v/>
      </c>
      <c r="P29" s="47">
        <f>Subsurface_Inputs!$C$37-2*Subsurface_Inputs!$C$36*(F29/1000)</f>
        <v/>
      </c>
      <c r="Q29" s="47">
        <f>Subsurface_Inputs!$C$38+Subsurface_Inputs!$C$39*H29-2*Subsurface_Inputs!$C$36*(I29/1000)</f>
        <v/>
      </c>
      <c r="R29" s="47">
        <f>Subsurface_Inputs!$C$40-2*Subsurface_Inputs!$C$36*(K29/1000)-Subsurface_Inputs!$C$41*ABS(L29-AVERAGE($L$2:$L$242))</f>
        <v/>
      </c>
      <c r="S29" s="47">
        <f>K29-AVERAGE($K$2:$K$242)</f>
        <v/>
      </c>
      <c r="T29" s="47">
        <f>K29/F29</f>
        <v/>
      </c>
      <c r="U29" s="50">
        <f>IF(H29&gt;=Subsurface_Inputs!$C$42,"Lens visible","Weak/no lens")</f>
        <v/>
      </c>
      <c r="V29" s="50">
        <f>IF(R29&gt;=W29,"Likely visible","Weak")</f>
        <v/>
      </c>
      <c r="W29" s="47">
        <f>Subsurface_Inputs!$C$43</f>
        <v/>
      </c>
      <c r="X29" s="47">
        <f>Q29-W29</f>
        <v/>
      </c>
      <c r="Y29" s="47">
        <f>R29-W29</f>
        <v/>
      </c>
      <c r="Z29" s="47">
        <f>MAX(Q29,R29)-W29</f>
        <v/>
      </c>
      <c r="AA29" s="47" t="n">
        <v>0</v>
      </c>
    </row>
    <row r="30">
      <c r="A30" s="47">
        <f>Model_Data!A30</f>
        <v/>
      </c>
      <c r="B30" s="47">
        <f>Model_Data!Y30</f>
        <v/>
      </c>
      <c r="C30" s="47">
        <f>Model_Data!X30</f>
        <v/>
      </c>
      <c r="D30" s="47">
        <f>Model_Data!B30</f>
        <v/>
      </c>
      <c r="E30" s="47">
        <f>Inputs!$C$6</f>
        <v/>
      </c>
      <c r="F30" s="47">
        <f>Subsurface_Inputs!$C$5+Subsurface_Inputs!$C$6*SIN(2*PI()*(A30+Subsurface_Inputs!$C$7)/Subsurface_Inputs!$C$8)+Subsurface_Inputs!$C$9*COS(2*PI()*A30/Subsurface_Inputs!$C$10)+Subsurface_Inputs!$C$11*(B30-AVERAGE($B$2:$B$242))</f>
        <v/>
      </c>
      <c r="G30" s="47">
        <f>B30-F30</f>
        <v/>
      </c>
      <c r="H30" s="47">
        <f>MIN(1,MAX(0,Subsurface_Inputs!$C$13*EXP(-0.5*((A30-Subsurface_Inputs!$C$14)/Subsurface_Inputs!$C$15)^2)+Subsurface_Inputs!$C$16*EXP(-0.5*((A30-Subsurface_Inputs!$C$17)/Subsurface_Inputs!$C$18)^2)))</f>
        <v/>
      </c>
      <c r="I30" s="47">
        <f>Subsurface_Inputs!$C$19+Subsurface_Inputs!$C$20*SIN(2*PI()*(A30-Subsurface_Inputs!$C$21)/Subsurface_Inputs!$C$22)-Subsurface_Inputs!$C$23*H30</f>
        <v/>
      </c>
      <c r="J30" s="47">
        <f>B30-I30</f>
        <v/>
      </c>
      <c r="K30" s="47">
        <f>Subsurface_Inputs!$C$25+Subsurface_Inputs!$C$26*SIN(2*PI()*(A30+Subsurface_Inputs!$C$27)/Subsurface_Inputs!$C$28)+Subsurface_Inputs!$C$29*COS(2*PI()*(A30-Subsurface_Inputs!$C$30)/Subsurface_Inputs!$C$31)-Subsurface_Inputs!$C$32*(B30-AVERAGE($B$2:$B$242))</f>
        <v/>
      </c>
      <c r="L30" s="47">
        <f>B30-K30</f>
        <v/>
      </c>
      <c r="M30" s="47">
        <f>2*Subsurface_Inputs!$C$34*F30/Subsurface_Inputs!$C$35*1000000</f>
        <v/>
      </c>
      <c r="N30" s="47">
        <f>2*Subsurface_Inputs!$C$34*I30/Subsurface_Inputs!$C$35*1000000</f>
        <v/>
      </c>
      <c r="O30" s="47">
        <f>2*Subsurface_Inputs!$C$34*K30/Subsurface_Inputs!$C$35*1000000</f>
        <v/>
      </c>
      <c r="P30" s="47">
        <f>Subsurface_Inputs!$C$37-2*Subsurface_Inputs!$C$36*(F30/1000)</f>
        <v/>
      </c>
      <c r="Q30" s="47">
        <f>Subsurface_Inputs!$C$38+Subsurface_Inputs!$C$39*H30-2*Subsurface_Inputs!$C$36*(I30/1000)</f>
        <v/>
      </c>
      <c r="R30" s="47">
        <f>Subsurface_Inputs!$C$40-2*Subsurface_Inputs!$C$36*(K30/1000)-Subsurface_Inputs!$C$41*ABS(L30-AVERAGE($L$2:$L$242))</f>
        <v/>
      </c>
      <c r="S30" s="47">
        <f>K30-AVERAGE($K$2:$K$242)</f>
        <v/>
      </c>
      <c r="T30" s="47">
        <f>K30/F30</f>
        <v/>
      </c>
      <c r="U30" s="50">
        <f>IF(H30&gt;=Subsurface_Inputs!$C$42,"Lens visible","Weak/no lens")</f>
        <v/>
      </c>
      <c r="V30" s="50">
        <f>IF(R30&gt;=W30,"Likely visible","Weak")</f>
        <v/>
      </c>
      <c r="W30" s="47">
        <f>Subsurface_Inputs!$C$43</f>
        <v/>
      </c>
      <c r="X30" s="47">
        <f>Q30-W30</f>
        <v/>
      </c>
      <c r="Y30" s="47">
        <f>R30-W30</f>
        <v/>
      </c>
      <c r="Z30" s="47">
        <f>MAX(Q30,R30)-W30</f>
        <v/>
      </c>
      <c r="AA30" s="47" t="n">
        <v>0</v>
      </c>
    </row>
    <row r="31">
      <c r="A31" s="47">
        <f>Model_Data!A31</f>
        <v/>
      </c>
      <c r="B31" s="47">
        <f>Model_Data!Y31</f>
        <v/>
      </c>
      <c r="C31" s="47">
        <f>Model_Data!X31</f>
        <v/>
      </c>
      <c r="D31" s="47">
        <f>Model_Data!B31</f>
        <v/>
      </c>
      <c r="E31" s="47">
        <f>Inputs!$C$6</f>
        <v/>
      </c>
      <c r="F31" s="47">
        <f>Subsurface_Inputs!$C$5+Subsurface_Inputs!$C$6*SIN(2*PI()*(A31+Subsurface_Inputs!$C$7)/Subsurface_Inputs!$C$8)+Subsurface_Inputs!$C$9*COS(2*PI()*A31/Subsurface_Inputs!$C$10)+Subsurface_Inputs!$C$11*(B31-AVERAGE($B$2:$B$242))</f>
        <v/>
      </c>
      <c r="G31" s="47">
        <f>B31-F31</f>
        <v/>
      </c>
      <c r="H31" s="47">
        <f>MIN(1,MAX(0,Subsurface_Inputs!$C$13*EXP(-0.5*((A31-Subsurface_Inputs!$C$14)/Subsurface_Inputs!$C$15)^2)+Subsurface_Inputs!$C$16*EXP(-0.5*((A31-Subsurface_Inputs!$C$17)/Subsurface_Inputs!$C$18)^2)))</f>
        <v/>
      </c>
      <c r="I31" s="47">
        <f>Subsurface_Inputs!$C$19+Subsurface_Inputs!$C$20*SIN(2*PI()*(A31-Subsurface_Inputs!$C$21)/Subsurface_Inputs!$C$22)-Subsurface_Inputs!$C$23*H31</f>
        <v/>
      </c>
      <c r="J31" s="47">
        <f>B31-I31</f>
        <v/>
      </c>
      <c r="K31" s="47">
        <f>Subsurface_Inputs!$C$25+Subsurface_Inputs!$C$26*SIN(2*PI()*(A31+Subsurface_Inputs!$C$27)/Subsurface_Inputs!$C$28)+Subsurface_Inputs!$C$29*COS(2*PI()*(A31-Subsurface_Inputs!$C$30)/Subsurface_Inputs!$C$31)-Subsurface_Inputs!$C$32*(B31-AVERAGE($B$2:$B$242))</f>
        <v/>
      </c>
      <c r="L31" s="47">
        <f>B31-K31</f>
        <v/>
      </c>
      <c r="M31" s="47">
        <f>2*Subsurface_Inputs!$C$34*F31/Subsurface_Inputs!$C$35*1000000</f>
        <v/>
      </c>
      <c r="N31" s="47">
        <f>2*Subsurface_Inputs!$C$34*I31/Subsurface_Inputs!$C$35*1000000</f>
        <v/>
      </c>
      <c r="O31" s="47">
        <f>2*Subsurface_Inputs!$C$34*K31/Subsurface_Inputs!$C$35*1000000</f>
        <v/>
      </c>
      <c r="P31" s="47">
        <f>Subsurface_Inputs!$C$37-2*Subsurface_Inputs!$C$36*(F31/1000)</f>
        <v/>
      </c>
      <c r="Q31" s="47">
        <f>Subsurface_Inputs!$C$38+Subsurface_Inputs!$C$39*H31-2*Subsurface_Inputs!$C$36*(I31/1000)</f>
        <v/>
      </c>
      <c r="R31" s="47">
        <f>Subsurface_Inputs!$C$40-2*Subsurface_Inputs!$C$36*(K31/1000)-Subsurface_Inputs!$C$41*ABS(L31-AVERAGE($L$2:$L$242))</f>
        <v/>
      </c>
      <c r="S31" s="47">
        <f>K31-AVERAGE($K$2:$K$242)</f>
        <v/>
      </c>
      <c r="T31" s="47">
        <f>K31/F31</f>
        <v/>
      </c>
      <c r="U31" s="50">
        <f>IF(H31&gt;=Subsurface_Inputs!$C$42,"Lens visible","Weak/no lens")</f>
        <v/>
      </c>
      <c r="V31" s="50">
        <f>IF(R31&gt;=W31,"Likely visible","Weak")</f>
        <v/>
      </c>
      <c r="W31" s="47">
        <f>Subsurface_Inputs!$C$43</f>
        <v/>
      </c>
      <c r="X31" s="47">
        <f>Q31-W31</f>
        <v/>
      </c>
      <c r="Y31" s="47">
        <f>R31-W31</f>
        <v/>
      </c>
      <c r="Z31" s="47">
        <f>MAX(Q31,R31)-W31</f>
        <v/>
      </c>
      <c r="AA31" s="47" t="n">
        <v>0</v>
      </c>
    </row>
    <row r="32">
      <c r="A32" s="47">
        <f>Model_Data!A32</f>
        <v/>
      </c>
      <c r="B32" s="47">
        <f>Model_Data!Y32</f>
        <v/>
      </c>
      <c r="C32" s="47">
        <f>Model_Data!X32</f>
        <v/>
      </c>
      <c r="D32" s="47">
        <f>Model_Data!B32</f>
        <v/>
      </c>
      <c r="E32" s="47">
        <f>Inputs!$C$6</f>
        <v/>
      </c>
      <c r="F32" s="47">
        <f>Subsurface_Inputs!$C$5+Subsurface_Inputs!$C$6*SIN(2*PI()*(A32+Subsurface_Inputs!$C$7)/Subsurface_Inputs!$C$8)+Subsurface_Inputs!$C$9*COS(2*PI()*A32/Subsurface_Inputs!$C$10)+Subsurface_Inputs!$C$11*(B32-AVERAGE($B$2:$B$242))</f>
        <v/>
      </c>
      <c r="G32" s="47">
        <f>B32-F32</f>
        <v/>
      </c>
      <c r="H32" s="47">
        <f>MIN(1,MAX(0,Subsurface_Inputs!$C$13*EXP(-0.5*((A32-Subsurface_Inputs!$C$14)/Subsurface_Inputs!$C$15)^2)+Subsurface_Inputs!$C$16*EXP(-0.5*((A32-Subsurface_Inputs!$C$17)/Subsurface_Inputs!$C$18)^2)))</f>
        <v/>
      </c>
      <c r="I32" s="47">
        <f>Subsurface_Inputs!$C$19+Subsurface_Inputs!$C$20*SIN(2*PI()*(A32-Subsurface_Inputs!$C$21)/Subsurface_Inputs!$C$22)-Subsurface_Inputs!$C$23*H32</f>
        <v/>
      </c>
      <c r="J32" s="47">
        <f>B32-I32</f>
        <v/>
      </c>
      <c r="K32" s="47">
        <f>Subsurface_Inputs!$C$25+Subsurface_Inputs!$C$26*SIN(2*PI()*(A32+Subsurface_Inputs!$C$27)/Subsurface_Inputs!$C$28)+Subsurface_Inputs!$C$29*COS(2*PI()*(A32-Subsurface_Inputs!$C$30)/Subsurface_Inputs!$C$31)-Subsurface_Inputs!$C$32*(B32-AVERAGE($B$2:$B$242))</f>
        <v/>
      </c>
      <c r="L32" s="47">
        <f>B32-K32</f>
        <v/>
      </c>
      <c r="M32" s="47">
        <f>2*Subsurface_Inputs!$C$34*F32/Subsurface_Inputs!$C$35*1000000</f>
        <v/>
      </c>
      <c r="N32" s="47">
        <f>2*Subsurface_Inputs!$C$34*I32/Subsurface_Inputs!$C$35*1000000</f>
        <v/>
      </c>
      <c r="O32" s="47">
        <f>2*Subsurface_Inputs!$C$34*K32/Subsurface_Inputs!$C$35*1000000</f>
        <v/>
      </c>
      <c r="P32" s="47">
        <f>Subsurface_Inputs!$C$37-2*Subsurface_Inputs!$C$36*(F32/1000)</f>
        <v/>
      </c>
      <c r="Q32" s="47">
        <f>Subsurface_Inputs!$C$38+Subsurface_Inputs!$C$39*H32-2*Subsurface_Inputs!$C$36*(I32/1000)</f>
        <v/>
      </c>
      <c r="R32" s="47">
        <f>Subsurface_Inputs!$C$40-2*Subsurface_Inputs!$C$36*(K32/1000)-Subsurface_Inputs!$C$41*ABS(L32-AVERAGE($L$2:$L$242))</f>
        <v/>
      </c>
      <c r="S32" s="47">
        <f>K32-AVERAGE($K$2:$K$242)</f>
        <v/>
      </c>
      <c r="T32" s="47">
        <f>K32/F32</f>
        <v/>
      </c>
      <c r="U32" s="50">
        <f>IF(H32&gt;=Subsurface_Inputs!$C$42,"Lens visible","Weak/no lens")</f>
        <v/>
      </c>
      <c r="V32" s="50">
        <f>IF(R32&gt;=W32,"Likely visible","Weak")</f>
        <v/>
      </c>
      <c r="W32" s="47">
        <f>Subsurface_Inputs!$C$43</f>
        <v/>
      </c>
      <c r="X32" s="47">
        <f>Q32-W32</f>
        <v/>
      </c>
      <c r="Y32" s="47">
        <f>R32-W32</f>
        <v/>
      </c>
      <c r="Z32" s="47">
        <f>MAX(Q32,R32)-W32</f>
        <v/>
      </c>
      <c r="AA32" s="47" t="n">
        <v>0</v>
      </c>
    </row>
    <row r="33">
      <c r="A33" s="47">
        <f>Model_Data!A33</f>
        <v/>
      </c>
      <c r="B33" s="47">
        <f>Model_Data!Y33</f>
        <v/>
      </c>
      <c r="C33" s="47">
        <f>Model_Data!X33</f>
        <v/>
      </c>
      <c r="D33" s="47">
        <f>Model_Data!B33</f>
        <v/>
      </c>
      <c r="E33" s="47">
        <f>Inputs!$C$6</f>
        <v/>
      </c>
      <c r="F33" s="47">
        <f>Subsurface_Inputs!$C$5+Subsurface_Inputs!$C$6*SIN(2*PI()*(A33+Subsurface_Inputs!$C$7)/Subsurface_Inputs!$C$8)+Subsurface_Inputs!$C$9*COS(2*PI()*A33/Subsurface_Inputs!$C$10)+Subsurface_Inputs!$C$11*(B33-AVERAGE($B$2:$B$242))</f>
        <v/>
      </c>
      <c r="G33" s="47">
        <f>B33-F33</f>
        <v/>
      </c>
      <c r="H33" s="47">
        <f>MIN(1,MAX(0,Subsurface_Inputs!$C$13*EXP(-0.5*((A33-Subsurface_Inputs!$C$14)/Subsurface_Inputs!$C$15)^2)+Subsurface_Inputs!$C$16*EXP(-0.5*((A33-Subsurface_Inputs!$C$17)/Subsurface_Inputs!$C$18)^2)))</f>
        <v/>
      </c>
      <c r="I33" s="47">
        <f>Subsurface_Inputs!$C$19+Subsurface_Inputs!$C$20*SIN(2*PI()*(A33-Subsurface_Inputs!$C$21)/Subsurface_Inputs!$C$22)-Subsurface_Inputs!$C$23*H33</f>
        <v/>
      </c>
      <c r="J33" s="47">
        <f>B33-I33</f>
        <v/>
      </c>
      <c r="K33" s="47">
        <f>Subsurface_Inputs!$C$25+Subsurface_Inputs!$C$26*SIN(2*PI()*(A33+Subsurface_Inputs!$C$27)/Subsurface_Inputs!$C$28)+Subsurface_Inputs!$C$29*COS(2*PI()*(A33-Subsurface_Inputs!$C$30)/Subsurface_Inputs!$C$31)-Subsurface_Inputs!$C$32*(B33-AVERAGE($B$2:$B$242))</f>
        <v/>
      </c>
      <c r="L33" s="47">
        <f>B33-K33</f>
        <v/>
      </c>
      <c r="M33" s="47">
        <f>2*Subsurface_Inputs!$C$34*F33/Subsurface_Inputs!$C$35*1000000</f>
        <v/>
      </c>
      <c r="N33" s="47">
        <f>2*Subsurface_Inputs!$C$34*I33/Subsurface_Inputs!$C$35*1000000</f>
        <v/>
      </c>
      <c r="O33" s="47">
        <f>2*Subsurface_Inputs!$C$34*K33/Subsurface_Inputs!$C$35*1000000</f>
        <v/>
      </c>
      <c r="P33" s="47">
        <f>Subsurface_Inputs!$C$37-2*Subsurface_Inputs!$C$36*(F33/1000)</f>
        <v/>
      </c>
      <c r="Q33" s="47">
        <f>Subsurface_Inputs!$C$38+Subsurface_Inputs!$C$39*H33-2*Subsurface_Inputs!$C$36*(I33/1000)</f>
        <v/>
      </c>
      <c r="R33" s="47">
        <f>Subsurface_Inputs!$C$40-2*Subsurface_Inputs!$C$36*(K33/1000)-Subsurface_Inputs!$C$41*ABS(L33-AVERAGE($L$2:$L$242))</f>
        <v/>
      </c>
      <c r="S33" s="47">
        <f>K33-AVERAGE($K$2:$K$242)</f>
        <v/>
      </c>
      <c r="T33" s="47">
        <f>K33/F33</f>
        <v/>
      </c>
      <c r="U33" s="50">
        <f>IF(H33&gt;=Subsurface_Inputs!$C$42,"Lens visible","Weak/no lens")</f>
        <v/>
      </c>
      <c r="V33" s="50">
        <f>IF(R33&gt;=W33,"Likely visible","Weak")</f>
        <v/>
      </c>
      <c r="W33" s="47">
        <f>Subsurface_Inputs!$C$43</f>
        <v/>
      </c>
      <c r="X33" s="47">
        <f>Q33-W33</f>
        <v/>
      </c>
      <c r="Y33" s="47">
        <f>R33-W33</f>
        <v/>
      </c>
      <c r="Z33" s="47">
        <f>MAX(Q33,R33)-W33</f>
        <v/>
      </c>
      <c r="AA33" s="47" t="n">
        <v>0</v>
      </c>
    </row>
    <row r="34">
      <c r="A34" s="47">
        <f>Model_Data!A34</f>
        <v/>
      </c>
      <c r="B34" s="47">
        <f>Model_Data!Y34</f>
        <v/>
      </c>
      <c r="C34" s="47">
        <f>Model_Data!X34</f>
        <v/>
      </c>
      <c r="D34" s="47">
        <f>Model_Data!B34</f>
        <v/>
      </c>
      <c r="E34" s="47">
        <f>Inputs!$C$6</f>
        <v/>
      </c>
      <c r="F34" s="47">
        <f>Subsurface_Inputs!$C$5+Subsurface_Inputs!$C$6*SIN(2*PI()*(A34+Subsurface_Inputs!$C$7)/Subsurface_Inputs!$C$8)+Subsurface_Inputs!$C$9*COS(2*PI()*A34/Subsurface_Inputs!$C$10)+Subsurface_Inputs!$C$11*(B34-AVERAGE($B$2:$B$242))</f>
        <v/>
      </c>
      <c r="G34" s="47">
        <f>B34-F34</f>
        <v/>
      </c>
      <c r="H34" s="47">
        <f>MIN(1,MAX(0,Subsurface_Inputs!$C$13*EXP(-0.5*((A34-Subsurface_Inputs!$C$14)/Subsurface_Inputs!$C$15)^2)+Subsurface_Inputs!$C$16*EXP(-0.5*((A34-Subsurface_Inputs!$C$17)/Subsurface_Inputs!$C$18)^2)))</f>
        <v/>
      </c>
      <c r="I34" s="47">
        <f>Subsurface_Inputs!$C$19+Subsurface_Inputs!$C$20*SIN(2*PI()*(A34-Subsurface_Inputs!$C$21)/Subsurface_Inputs!$C$22)-Subsurface_Inputs!$C$23*H34</f>
        <v/>
      </c>
      <c r="J34" s="47">
        <f>B34-I34</f>
        <v/>
      </c>
      <c r="K34" s="47">
        <f>Subsurface_Inputs!$C$25+Subsurface_Inputs!$C$26*SIN(2*PI()*(A34+Subsurface_Inputs!$C$27)/Subsurface_Inputs!$C$28)+Subsurface_Inputs!$C$29*COS(2*PI()*(A34-Subsurface_Inputs!$C$30)/Subsurface_Inputs!$C$31)-Subsurface_Inputs!$C$32*(B34-AVERAGE($B$2:$B$242))</f>
        <v/>
      </c>
      <c r="L34" s="47">
        <f>B34-K34</f>
        <v/>
      </c>
      <c r="M34" s="47">
        <f>2*Subsurface_Inputs!$C$34*F34/Subsurface_Inputs!$C$35*1000000</f>
        <v/>
      </c>
      <c r="N34" s="47">
        <f>2*Subsurface_Inputs!$C$34*I34/Subsurface_Inputs!$C$35*1000000</f>
        <v/>
      </c>
      <c r="O34" s="47">
        <f>2*Subsurface_Inputs!$C$34*K34/Subsurface_Inputs!$C$35*1000000</f>
        <v/>
      </c>
      <c r="P34" s="47">
        <f>Subsurface_Inputs!$C$37-2*Subsurface_Inputs!$C$36*(F34/1000)</f>
        <v/>
      </c>
      <c r="Q34" s="47">
        <f>Subsurface_Inputs!$C$38+Subsurface_Inputs!$C$39*H34-2*Subsurface_Inputs!$C$36*(I34/1000)</f>
        <v/>
      </c>
      <c r="R34" s="47">
        <f>Subsurface_Inputs!$C$40-2*Subsurface_Inputs!$C$36*(K34/1000)-Subsurface_Inputs!$C$41*ABS(L34-AVERAGE($L$2:$L$242))</f>
        <v/>
      </c>
      <c r="S34" s="47">
        <f>K34-AVERAGE($K$2:$K$242)</f>
        <v/>
      </c>
      <c r="T34" s="47">
        <f>K34/F34</f>
        <v/>
      </c>
      <c r="U34" s="50">
        <f>IF(H34&gt;=Subsurface_Inputs!$C$42,"Lens visible","Weak/no lens")</f>
        <v/>
      </c>
      <c r="V34" s="50">
        <f>IF(R34&gt;=W34,"Likely visible","Weak")</f>
        <v/>
      </c>
      <c r="W34" s="47">
        <f>Subsurface_Inputs!$C$43</f>
        <v/>
      </c>
      <c r="X34" s="47">
        <f>Q34-W34</f>
        <v/>
      </c>
      <c r="Y34" s="47">
        <f>R34-W34</f>
        <v/>
      </c>
      <c r="Z34" s="47">
        <f>MAX(Q34,R34)-W34</f>
        <v/>
      </c>
      <c r="AA34" s="47" t="n">
        <v>0</v>
      </c>
    </row>
    <row r="35">
      <c r="A35" s="47">
        <f>Model_Data!A35</f>
        <v/>
      </c>
      <c r="B35" s="47">
        <f>Model_Data!Y35</f>
        <v/>
      </c>
      <c r="C35" s="47">
        <f>Model_Data!X35</f>
        <v/>
      </c>
      <c r="D35" s="47">
        <f>Model_Data!B35</f>
        <v/>
      </c>
      <c r="E35" s="47">
        <f>Inputs!$C$6</f>
        <v/>
      </c>
      <c r="F35" s="47">
        <f>Subsurface_Inputs!$C$5+Subsurface_Inputs!$C$6*SIN(2*PI()*(A35+Subsurface_Inputs!$C$7)/Subsurface_Inputs!$C$8)+Subsurface_Inputs!$C$9*COS(2*PI()*A35/Subsurface_Inputs!$C$10)+Subsurface_Inputs!$C$11*(B35-AVERAGE($B$2:$B$242))</f>
        <v/>
      </c>
      <c r="G35" s="47">
        <f>B35-F35</f>
        <v/>
      </c>
      <c r="H35" s="47">
        <f>MIN(1,MAX(0,Subsurface_Inputs!$C$13*EXP(-0.5*((A35-Subsurface_Inputs!$C$14)/Subsurface_Inputs!$C$15)^2)+Subsurface_Inputs!$C$16*EXP(-0.5*((A35-Subsurface_Inputs!$C$17)/Subsurface_Inputs!$C$18)^2)))</f>
        <v/>
      </c>
      <c r="I35" s="47">
        <f>Subsurface_Inputs!$C$19+Subsurface_Inputs!$C$20*SIN(2*PI()*(A35-Subsurface_Inputs!$C$21)/Subsurface_Inputs!$C$22)-Subsurface_Inputs!$C$23*H35</f>
        <v/>
      </c>
      <c r="J35" s="47">
        <f>B35-I35</f>
        <v/>
      </c>
      <c r="K35" s="47">
        <f>Subsurface_Inputs!$C$25+Subsurface_Inputs!$C$26*SIN(2*PI()*(A35+Subsurface_Inputs!$C$27)/Subsurface_Inputs!$C$28)+Subsurface_Inputs!$C$29*COS(2*PI()*(A35-Subsurface_Inputs!$C$30)/Subsurface_Inputs!$C$31)-Subsurface_Inputs!$C$32*(B35-AVERAGE($B$2:$B$242))</f>
        <v/>
      </c>
      <c r="L35" s="47">
        <f>B35-K35</f>
        <v/>
      </c>
      <c r="M35" s="47">
        <f>2*Subsurface_Inputs!$C$34*F35/Subsurface_Inputs!$C$35*1000000</f>
        <v/>
      </c>
      <c r="N35" s="47">
        <f>2*Subsurface_Inputs!$C$34*I35/Subsurface_Inputs!$C$35*1000000</f>
        <v/>
      </c>
      <c r="O35" s="47">
        <f>2*Subsurface_Inputs!$C$34*K35/Subsurface_Inputs!$C$35*1000000</f>
        <v/>
      </c>
      <c r="P35" s="47">
        <f>Subsurface_Inputs!$C$37-2*Subsurface_Inputs!$C$36*(F35/1000)</f>
        <v/>
      </c>
      <c r="Q35" s="47">
        <f>Subsurface_Inputs!$C$38+Subsurface_Inputs!$C$39*H35-2*Subsurface_Inputs!$C$36*(I35/1000)</f>
        <v/>
      </c>
      <c r="R35" s="47">
        <f>Subsurface_Inputs!$C$40-2*Subsurface_Inputs!$C$36*(K35/1000)-Subsurface_Inputs!$C$41*ABS(L35-AVERAGE($L$2:$L$242))</f>
        <v/>
      </c>
      <c r="S35" s="47">
        <f>K35-AVERAGE($K$2:$K$242)</f>
        <v/>
      </c>
      <c r="T35" s="47">
        <f>K35/F35</f>
        <v/>
      </c>
      <c r="U35" s="50">
        <f>IF(H35&gt;=Subsurface_Inputs!$C$42,"Lens visible","Weak/no lens")</f>
        <v/>
      </c>
      <c r="V35" s="50">
        <f>IF(R35&gt;=W35,"Likely visible","Weak")</f>
        <v/>
      </c>
      <c r="W35" s="47">
        <f>Subsurface_Inputs!$C$43</f>
        <v/>
      </c>
      <c r="X35" s="47">
        <f>Q35-W35</f>
        <v/>
      </c>
      <c r="Y35" s="47">
        <f>R35-W35</f>
        <v/>
      </c>
      <c r="Z35" s="47">
        <f>MAX(Q35,R35)-W35</f>
        <v/>
      </c>
      <c r="AA35" s="47" t="n">
        <v>0</v>
      </c>
    </row>
    <row r="36">
      <c r="A36" s="47">
        <f>Model_Data!A36</f>
        <v/>
      </c>
      <c r="B36" s="47">
        <f>Model_Data!Y36</f>
        <v/>
      </c>
      <c r="C36" s="47">
        <f>Model_Data!X36</f>
        <v/>
      </c>
      <c r="D36" s="47">
        <f>Model_Data!B36</f>
        <v/>
      </c>
      <c r="E36" s="47">
        <f>Inputs!$C$6</f>
        <v/>
      </c>
      <c r="F36" s="47">
        <f>Subsurface_Inputs!$C$5+Subsurface_Inputs!$C$6*SIN(2*PI()*(A36+Subsurface_Inputs!$C$7)/Subsurface_Inputs!$C$8)+Subsurface_Inputs!$C$9*COS(2*PI()*A36/Subsurface_Inputs!$C$10)+Subsurface_Inputs!$C$11*(B36-AVERAGE($B$2:$B$242))</f>
        <v/>
      </c>
      <c r="G36" s="47">
        <f>B36-F36</f>
        <v/>
      </c>
      <c r="H36" s="47">
        <f>MIN(1,MAX(0,Subsurface_Inputs!$C$13*EXP(-0.5*((A36-Subsurface_Inputs!$C$14)/Subsurface_Inputs!$C$15)^2)+Subsurface_Inputs!$C$16*EXP(-0.5*((A36-Subsurface_Inputs!$C$17)/Subsurface_Inputs!$C$18)^2)))</f>
        <v/>
      </c>
      <c r="I36" s="47">
        <f>Subsurface_Inputs!$C$19+Subsurface_Inputs!$C$20*SIN(2*PI()*(A36-Subsurface_Inputs!$C$21)/Subsurface_Inputs!$C$22)-Subsurface_Inputs!$C$23*H36</f>
        <v/>
      </c>
      <c r="J36" s="47">
        <f>B36-I36</f>
        <v/>
      </c>
      <c r="K36" s="47">
        <f>Subsurface_Inputs!$C$25+Subsurface_Inputs!$C$26*SIN(2*PI()*(A36+Subsurface_Inputs!$C$27)/Subsurface_Inputs!$C$28)+Subsurface_Inputs!$C$29*COS(2*PI()*(A36-Subsurface_Inputs!$C$30)/Subsurface_Inputs!$C$31)-Subsurface_Inputs!$C$32*(B36-AVERAGE($B$2:$B$242))</f>
        <v/>
      </c>
      <c r="L36" s="47">
        <f>B36-K36</f>
        <v/>
      </c>
      <c r="M36" s="47">
        <f>2*Subsurface_Inputs!$C$34*F36/Subsurface_Inputs!$C$35*1000000</f>
        <v/>
      </c>
      <c r="N36" s="47">
        <f>2*Subsurface_Inputs!$C$34*I36/Subsurface_Inputs!$C$35*1000000</f>
        <v/>
      </c>
      <c r="O36" s="47">
        <f>2*Subsurface_Inputs!$C$34*K36/Subsurface_Inputs!$C$35*1000000</f>
        <v/>
      </c>
      <c r="P36" s="47">
        <f>Subsurface_Inputs!$C$37-2*Subsurface_Inputs!$C$36*(F36/1000)</f>
        <v/>
      </c>
      <c r="Q36" s="47">
        <f>Subsurface_Inputs!$C$38+Subsurface_Inputs!$C$39*H36-2*Subsurface_Inputs!$C$36*(I36/1000)</f>
        <v/>
      </c>
      <c r="R36" s="47">
        <f>Subsurface_Inputs!$C$40-2*Subsurface_Inputs!$C$36*(K36/1000)-Subsurface_Inputs!$C$41*ABS(L36-AVERAGE($L$2:$L$242))</f>
        <v/>
      </c>
      <c r="S36" s="47">
        <f>K36-AVERAGE($K$2:$K$242)</f>
        <v/>
      </c>
      <c r="T36" s="47">
        <f>K36/F36</f>
        <v/>
      </c>
      <c r="U36" s="50">
        <f>IF(H36&gt;=Subsurface_Inputs!$C$42,"Lens visible","Weak/no lens")</f>
        <v/>
      </c>
      <c r="V36" s="50">
        <f>IF(R36&gt;=W36,"Likely visible","Weak")</f>
        <v/>
      </c>
      <c r="W36" s="47">
        <f>Subsurface_Inputs!$C$43</f>
        <v/>
      </c>
      <c r="X36" s="47">
        <f>Q36-W36</f>
        <v/>
      </c>
      <c r="Y36" s="47">
        <f>R36-W36</f>
        <v/>
      </c>
      <c r="Z36" s="47">
        <f>MAX(Q36,R36)-W36</f>
        <v/>
      </c>
      <c r="AA36" s="47" t="n">
        <v>0</v>
      </c>
    </row>
    <row r="37">
      <c r="A37" s="47">
        <f>Model_Data!A37</f>
        <v/>
      </c>
      <c r="B37" s="47">
        <f>Model_Data!Y37</f>
        <v/>
      </c>
      <c r="C37" s="47">
        <f>Model_Data!X37</f>
        <v/>
      </c>
      <c r="D37" s="47">
        <f>Model_Data!B37</f>
        <v/>
      </c>
      <c r="E37" s="47">
        <f>Inputs!$C$6</f>
        <v/>
      </c>
      <c r="F37" s="47">
        <f>Subsurface_Inputs!$C$5+Subsurface_Inputs!$C$6*SIN(2*PI()*(A37+Subsurface_Inputs!$C$7)/Subsurface_Inputs!$C$8)+Subsurface_Inputs!$C$9*COS(2*PI()*A37/Subsurface_Inputs!$C$10)+Subsurface_Inputs!$C$11*(B37-AVERAGE($B$2:$B$242))</f>
        <v/>
      </c>
      <c r="G37" s="47">
        <f>B37-F37</f>
        <v/>
      </c>
      <c r="H37" s="47">
        <f>MIN(1,MAX(0,Subsurface_Inputs!$C$13*EXP(-0.5*((A37-Subsurface_Inputs!$C$14)/Subsurface_Inputs!$C$15)^2)+Subsurface_Inputs!$C$16*EXP(-0.5*((A37-Subsurface_Inputs!$C$17)/Subsurface_Inputs!$C$18)^2)))</f>
        <v/>
      </c>
      <c r="I37" s="47">
        <f>Subsurface_Inputs!$C$19+Subsurface_Inputs!$C$20*SIN(2*PI()*(A37-Subsurface_Inputs!$C$21)/Subsurface_Inputs!$C$22)-Subsurface_Inputs!$C$23*H37</f>
        <v/>
      </c>
      <c r="J37" s="47">
        <f>B37-I37</f>
        <v/>
      </c>
      <c r="K37" s="47">
        <f>Subsurface_Inputs!$C$25+Subsurface_Inputs!$C$26*SIN(2*PI()*(A37+Subsurface_Inputs!$C$27)/Subsurface_Inputs!$C$28)+Subsurface_Inputs!$C$29*COS(2*PI()*(A37-Subsurface_Inputs!$C$30)/Subsurface_Inputs!$C$31)-Subsurface_Inputs!$C$32*(B37-AVERAGE($B$2:$B$242))</f>
        <v/>
      </c>
      <c r="L37" s="47">
        <f>B37-K37</f>
        <v/>
      </c>
      <c r="M37" s="47">
        <f>2*Subsurface_Inputs!$C$34*F37/Subsurface_Inputs!$C$35*1000000</f>
        <v/>
      </c>
      <c r="N37" s="47">
        <f>2*Subsurface_Inputs!$C$34*I37/Subsurface_Inputs!$C$35*1000000</f>
        <v/>
      </c>
      <c r="O37" s="47">
        <f>2*Subsurface_Inputs!$C$34*K37/Subsurface_Inputs!$C$35*1000000</f>
        <v/>
      </c>
      <c r="P37" s="47">
        <f>Subsurface_Inputs!$C$37-2*Subsurface_Inputs!$C$36*(F37/1000)</f>
        <v/>
      </c>
      <c r="Q37" s="47">
        <f>Subsurface_Inputs!$C$38+Subsurface_Inputs!$C$39*H37-2*Subsurface_Inputs!$C$36*(I37/1000)</f>
        <v/>
      </c>
      <c r="R37" s="47">
        <f>Subsurface_Inputs!$C$40-2*Subsurface_Inputs!$C$36*(K37/1000)-Subsurface_Inputs!$C$41*ABS(L37-AVERAGE($L$2:$L$242))</f>
        <v/>
      </c>
      <c r="S37" s="47">
        <f>K37-AVERAGE($K$2:$K$242)</f>
        <v/>
      </c>
      <c r="T37" s="47">
        <f>K37/F37</f>
        <v/>
      </c>
      <c r="U37" s="50">
        <f>IF(H37&gt;=Subsurface_Inputs!$C$42,"Lens visible","Weak/no lens")</f>
        <v/>
      </c>
      <c r="V37" s="50">
        <f>IF(R37&gt;=W37,"Likely visible","Weak")</f>
        <v/>
      </c>
      <c r="W37" s="47">
        <f>Subsurface_Inputs!$C$43</f>
        <v/>
      </c>
      <c r="X37" s="47">
        <f>Q37-W37</f>
        <v/>
      </c>
      <c r="Y37" s="47">
        <f>R37-W37</f>
        <v/>
      </c>
      <c r="Z37" s="47">
        <f>MAX(Q37,R37)-W37</f>
        <v/>
      </c>
      <c r="AA37" s="47" t="n">
        <v>0</v>
      </c>
    </row>
    <row r="38">
      <c r="A38" s="47">
        <f>Model_Data!A38</f>
        <v/>
      </c>
      <c r="B38" s="47">
        <f>Model_Data!Y38</f>
        <v/>
      </c>
      <c r="C38" s="47">
        <f>Model_Data!X38</f>
        <v/>
      </c>
      <c r="D38" s="47">
        <f>Model_Data!B38</f>
        <v/>
      </c>
      <c r="E38" s="47">
        <f>Inputs!$C$6</f>
        <v/>
      </c>
      <c r="F38" s="47">
        <f>Subsurface_Inputs!$C$5+Subsurface_Inputs!$C$6*SIN(2*PI()*(A38+Subsurface_Inputs!$C$7)/Subsurface_Inputs!$C$8)+Subsurface_Inputs!$C$9*COS(2*PI()*A38/Subsurface_Inputs!$C$10)+Subsurface_Inputs!$C$11*(B38-AVERAGE($B$2:$B$242))</f>
        <v/>
      </c>
      <c r="G38" s="47">
        <f>B38-F38</f>
        <v/>
      </c>
      <c r="H38" s="47">
        <f>MIN(1,MAX(0,Subsurface_Inputs!$C$13*EXP(-0.5*((A38-Subsurface_Inputs!$C$14)/Subsurface_Inputs!$C$15)^2)+Subsurface_Inputs!$C$16*EXP(-0.5*((A38-Subsurface_Inputs!$C$17)/Subsurface_Inputs!$C$18)^2)))</f>
        <v/>
      </c>
      <c r="I38" s="47">
        <f>Subsurface_Inputs!$C$19+Subsurface_Inputs!$C$20*SIN(2*PI()*(A38-Subsurface_Inputs!$C$21)/Subsurface_Inputs!$C$22)-Subsurface_Inputs!$C$23*H38</f>
        <v/>
      </c>
      <c r="J38" s="47">
        <f>B38-I38</f>
        <v/>
      </c>
      <c r="K38" s="47">
        <f>Subsurface_Inputs!$C$25+Subsurface_Inputs!$C$26*SIN(2*PI()*(A38+Subsurface_Inputs!$C$27)/Subsurface_Inputs!$C$28)+Subsurface_Inputs!$C$29*COS(2*PI()*(A38-Subsurface_Inputs!$C$30)/Subsurface_Inputs!$C$31)-Subsurface_Inputs!$C$32*(B38-AVERAGE($B$2:$B$242))</f>
        <v/>
      </c>
      <c r="L38" s="47">
        <f>B38-K38</f>
        <v/>
      </c>
      <c r="M38" s="47">
        <f>2*Subsurface_Inputs!$C$34*F38/Subsurface_Inputs!$C$35*1000000</f>
        <v/>
      </c>
      <c r="N38" s="47">
        <f>2*Subsurface_Inputs!$C$34*I38/Subsurface_Inputs!$C$35*1000000</f>
        <v/>
      </c>
      <c r="O38" s="47">
        <f>2*Subsurface_Inputs!$C$34*K38/Subsurface_Inputs!$C$35*1000000</f>
        <v/>
      </c>
      <c r="P38" s="47">
        <f>Subsurface_Inputs!$C$37-2*Subsurface_Inputs!$C$36*(F38/1000)</f>
        <v/>
      </c>
      <c r="Q38" s="47">
        <f>Subsurface_Inputs!$C$38+Subsurface_Inputs!$C$39*H38-2*Subsurface_Inputs!$C$36*(I38/1000)</f>
        <v/>
      </c>
      <c r="R38" s="47">
        <f>Subsurface_Inputs!$C$40-2*Subsurface_Inputs!$C$36*(K38/1000)-Subsurface_Inputs!$C$41*ABS(L38-AVERAGE($L$2:$L$242))</f>
        <v/>
      </c>
      <c r="S38" s="47">
        <f>K38-AVERAGE($K$2:$K$242)</f>
        <v/>
      </c>
      <c r="T38" s="47">
        <f>K38/F38</f>
        <v/>
      </c>
      <c r="U38" s="50">
        <f>IF(H38&gt;=Subsurface_Inputs!$C$42,"Lens visible","Weak/no lens")</f>
        <v/>
      </c>
      <c r="V38" s="50">
        <f>IF(R38&gt;=W38,"Likely visible","Weak")</f>
        <v/>
      </c>
      <c r="W38" s="47">
        <f>Subsurface_Inputs!$C$43</f>
        <v/>
      </c>
      <c r="X38" s="47">
        <f>Q38-W38</f>
        <v/>
      </c>
      <c r="Y38" s="47">
        <f>R38-W38</f>
        <v/>
      </c>
      <c r="Z38" s="47">
        <f>MAX(Q38,R38)-W38</f>
        <v/>
      </c>
      <c r="AA38" s="47" t="n">
        <v>0</v>
      </c>
    </row>
    <row r="39">
      <c r="A39" s="47">
        <f>Model_Data!A39</f>
        <v/>
      </c>
      <c r="B39" s="47">
        <f>Model_Data!Y39</f>
        <v/>
      </c>
      <c r="C39" s="47">
        <f>Model_Data!X39</f>
        <v/>
      </c>
      <c r="D39" s="47">
        <f>Model_Data!B39</f>
        <v/>
      </c>
      <c r="E39" s="47">
        <f>Inputs!$C$6</f>
        <v/>
      </c>
      <c r="F39" s="47">
        <f>Subsurface_Inputs!$C$5+Subsurface_Inputs!$C$6*SIN(2*PI()*(A39+Subsurface_Inputs!$C$7)/Subsurface_Inputs!$C$8)+Subsurface_Inputs!$C$9*COS(2*PI()*A39/Subsurface_Inputs!$C$10)+Subsurface_Inputs!$C$11*(B39-AVERAGE($B$2:$B$242))</f>
        <v/>
      </c>
      <c r="G39" s="47">
        <f>B39-F39</f>
        <v/>
      </c>
      <c r="H39" s="47">
        <f>MIN(1,MAX(0,Subsurface_Inputs!$C$13*EXP(-0.5*((A39-Subsurface_Inputs!$C$14)/Subsurface_Inputs!$C$15)^2)+Subsurface_Inputs!$C$16*EXP(-0.5*((A39-Subsurface_Inputs!$C$17)/Subsurface_Inputs!$C$18)^2)))</f>
        <v/>
      </c>
      <c r="I39" s="47">
        <f>Subsurface_Inputs!$C$19+Subsurface_Inputs!$C$20*SIN(2*PI()*(A39-Subsurface_Inputs!$C$21)/Subsurface_Inputs!$C$22)-Subsurface_Inputs!$C$23*H39</f>
        <v/>
      </c>
      <c r="J39" s="47">
        <f>B39-I39</f>
        <v/>
      </c>
      <c r="K39" s="47">
        <f>Subsurface_Inputs!$C$25+Subsurface_Inputs!$C$26*SIN(2*PI()*(A39+Subsurface_Inputs!$C$27)/Subsurface_Inputs!$C$28)+Subsurface_Inputs!$C$29*COS(2*PI()*(A39-Subsurface_Inputs!$C$30)/Subsurface_Inputs!$C$31)-Subsurface_Inputs!$C$32*(B39-AVERAGE($B$2:$B$242))</f>
        <v/>
      </c>
      <c r="L39" s="47">
        <f>B39-K39</f>
        <v/>
      </c>
      <c r="M39" s="47">
        <f>2*Subsurface_Inputs!$C$34*F39/Subsurface_Inputs!$C$35*1000000</f>
        <v/>
      </c>
      <c r="N39" s="47">
        <f>2*Subsurface_Inputs!$C$34*I39/Subsurface_Inputs!$C$35*1000000</f>
        <v/>
      </c>
      <c r="O39" s="47">
        <f>2*Subsurface_Inputs!$C$34*K39/Subsurface_Inputs!$C$35*1000000</f>
        <v/>
      </c>
      <c r="P39" s="47">
        <f>Subsurface_Inputs!$C$37-2*Subsurface_Inputs!$C$36*(F39/1000)</f>
        <v/>
      </c>
      <c r="Q39" s="47">
        <f>Subsurface_Inputs!$C$38+Subsurface_Inputs!$C$39*H39-2*Subsurface_Inputs!$C$36*(I39/1000)</f>
        <v/>
      </c>
      <c r="R39" s="47">
        <f>Subsurface_Inputs!$C$40-2*Subsurface_Inputs!$C$36*(K39/1000)-Subsurface_Inputs!$C$41*ABS(L39-AVERAGE($L$2:$L$242))</f>
        <v/>
      </c>
      <c r="S39" s="47">
        <f>K39-AVERAGE($K$2:$K$242)</f>
        <v/>
      </c>
      <c r="T39" s="47">
        <f>K39/F39</f>
        <v/>
      </c>
      <c r="U39" s="50">
        <f>IF(H39&gt;=Subsurface_Inputs!$C$42,"Lens visible","Weak/no lens")</f>
        <v/>
      </c>
      <c r="V39" s="50">
        <f>IF(R39&gt;=W39,"Likely visible","Weak")</f>
        <v/>
      </c>
      <c r="W39" s="47">
        <f>Subsurface_Inputs!$C$43</f>
        <v/>
      </c>
      <c r="X39" s="47">
        <f>Q39-W39</f>
        <v/>
      </c>
      <c r="Y39" s="47">
        <f>R39-W39</f>
        <v/>
      </c>
      <c r="Z39" s="47">
        <f>MAX(Q39,R39)-W39</f>
        <v/>
      </c>
      <c r="AA39" s="47" t="n">
        <v>0</v>
      </c>
    </row>
    <row r="40">
      <c r="A40" s="47">
        <f>Model_Data!A40</f>
        <v/>
      </c>
      <c r="B40" s="47">
        <f>Model_Data!Y40</f>
        <v/>
      </c>
      <c r="C40" s="47">
        <f>Model_Data!X40</f>
        <v/>
      </c>
      <c r="D40" s="47">
        <f>Model_Data!B40</f>
        <v/>
      </c>
      <c r="E40" s="47">
        <f>Inputs!$C$6</f>
        <v/>
      </c>
      <c r="F40" s="47">
        <f>Subsurface_Inputs!$C$5+Subsurface_Inputs!$C$6*SIN(2*PI()*(A40+Subsurface_Inputs!$C$7)/Subsurface_Inputs!$C$8)+Subsurface_Inputs!$C$9*COS(2*PI()*A40/Subsurface_Inputs!$C$10)+Subsurface_Inputs!$C$11*(B40-AVERAGE($B$2:$B$242))</f>
        <v/>
      </c>
      <c r="G40" s="47">
        <f>B40-F40</f>
        <v/>
      </c>
      <c r="H40" s="47">
        <f>MIN(1,MAX(0,Subsurface_Inputs!$C$13*EXP(-0.5*((A40-Subsurface_Inputs!$C$14)/Subsurface_Inputs!$C$15)^2)+Subsurface_Inputs!$C$16*EXP(-0.5*((A40-Subsurface_Inputs!$C$17)/Subsurface_Inputs!$C$18)^2)))</f>
        <v/>
      </c>
      <c r="I40" s="47">
        <f>Subsurface_Inputs!$C$19+Subsurface_Inputs!$C$20*SIN(2*PI()*(A40-Subsurface_Inputs!$C$21)/Subsurface_Inputs!$C$22)-Subsurface_Inputs!$C$23*H40</f>
        <v/>
      </c>
      <c r="J40" s="47">
        <f>B40-I40</f>
        <v/>
      </c>
      <c r="K40" s="47">
        <f>Subsurface_Inputs!$C$25+Subsurface_Inputs!$C$26*SIN(2*PI()*(A40+Subsurface_Inputs!$C$27)/Subsurface_Inputs!$C$28)+Subsurface_Inputs!$C$29*COS(2*PI()*(A40-Subsurface_Inputs!$C$30)/Subsurface_Inputs!$C$31)-Subsurface_Inputs!$C$32*(B40-AVERAGE($B$2:$B$242))</f>
        <v/>
      </c>
      <c r="L40" s="47">
        <f>B40-K40</f>
        <v/>
      </c>
      <c r="M40" s="47">
        <f>2*Subsurface_Inputs!$C$34*F40/Subsurface_Inputs!$C$35*1000000</f>
        <v/>
      </c>
      <c r="N40" s="47">
        <f>2*Subsurface_Inputs!$C$34*I40/Subsurface_Inputs!$C$35*1000000</f>
        <v/>
      </c>
      <c r="O40" s="47">
        <f>2*Subsurface_Inputs!$C$34*K40/Subsurface_Inputs!$C$35*1000000</f>
        <v/>
      </c>
      <c r="P40" s="47">
        <f>Subsurface_Inputs!$C$37-2*Subsurface_Inputs!$C$36*(F40/1000)</f>
        <v/>
      </c>
      <c r="Q40" s="47">
        <f>Subsurface_Inputs!$C$38+Subsurface_Inputs!$C$39*H40-2*Subsurface_Inputs!$C$36*(I40/1000)</f>
        <v/>
      </c>
      <c r="R40" s="47">
        <f>Subsurface_Inputs!$C$40-2*Subsurface_Inputs!$C$36*(K40/1000)-Subsurface_Inputs!$C$41*ABS(L40-AVERAGE($L$2:$L$242))</f>
        <v/>
      </c>
      <c r="S40" s="47">
        <f>K40-AVERAGE($K$2:$K$242)</f>
        <v/>
      </c>
      <c r="T40" s="47">
        <f>K40/F40</f>
        <v/>
      </c>
      <c r="U40" s="50">
        <f>IF(H40&gt;=Subsurface_Inputs!$C$42,"Lens visible","Weak/no lens")</f>
        <v/>
      </c>
      <c r="V40" s="50">
        <f>IF(R40&gt;=W40,"Likely visible","Weak")</f>
        <v/>
      </c>
      <c r="W40" s="47">
        <f>Subsurface_Inputs!$C$43</f>
        <v/>
      </c>
      <c r="X40" s="47">
        <f>Q40-W40</f>
        <v/>
      </c>
      <c r="Y40" s="47">
        <f>R40-W40</f>
        <v/>
      </c>
      <c r="Z40" s="47">
        <f>MAX(Q40,R40)-W40</f>
        <v/>
      </c>
      <c r="AA40" s="47" t="n">
        <v>0</v>
      </c>
    </row>
    <row r="41">
      <c r="A41" s="47">
        <f>Model_Data!A41</f>
        <v/>
      </c>
      <c r="B41" s="47">
        <f>Model_Data!Y41</f>
        <v/>
      </c>
      <c r="C41" s="47">
        <f>Model_Data!X41</f>
        <v/>
      </c>
      <c r="D41" s="47">
        <f>Model_Data!B41</f>
        <v/>
      </c>
      <c r="E41" s="47">
        <f>Inputs!$C$6</f>
        <v/>
      </c>
      <c r="F41" s="47">
        <f>Subsurface_Inputs!$C$5+Subsurface_Inputs!$C$6*SIN(2*PI()*(A41+Subsurface_Inputs!$C$7)/Subsurface_Inputs!$C$8)+Subsurface_Inputs!$C$9*COS(2*PI()*A41/Subsurface_Inputs!$C$10)+Subsurface_Inputs!$C$11*(B41-AVERAGE($B$2:$B$242))</f>
        <v/>
      </c>
      <c r="G41" s="47">
        <f>B41-F41</f>
        <v/>
      </c>
      <c r="H41" s="47">
        <f>MIN(1,MAX(0,Subsurface_Inputs!$C$13*EXP(-0.5*((A41-Subsurface_Inputs!$C$14)/Subsurface_Inputs!$C$15)^2)+Subsurface_Inputs!$C$16*EXP(-0.5*((A41-Subsurface_Inputs!$C$17)/Subsurface_Inputs!$C$18)^2)))</f>
        <v/>
      </c>
      <c r="I41" s="47">
        <f>Subsurface_Inputs!$C$19+Subsurface_Inputs!$C$20*SIN(2*PI()*(A41-Subsurface_Inputs!$C$21)/Subsurface_Inputs!$C$22)-Subsurface_Inputs!$C$23*H41</f>
        <v/>
      </c>
      <c r="J41" s="47">
        <f>B41-I41</f>
        <v/>
      </c>
      <c r="K41" s="47">
        <f>Subsurface_Inputs!$C$25+Subsurface_Inputs!$C$26*SIN(2*PI()*(A41+Subsurface_Inputs!$C$27)/Subsurface_Inputs!$C$28)+Subsurface_Inputs!$C$29*COS(2*PI()*(A41-Subsurface_Inputs!$C$30)/Subsurface_Inputs!$C$31)-Subsurface_Inputs!$C$32*(B41-AVERAGE($B$2:$B$242))</f>
        <v/>
      </c>
      <c r="L41" s="47">
        <f>B41-K41</f>
        <v/>
      </c>
      <c r="M41" s="47">
        <f>2*Subsurface_Inputs!$C$34*F41/Subsurface_Inputs!$C$35*1000000</f>
        <v/>
      </c>
      <c r="N41" s="47">
        <f>2*Subsurface_Inputs!$C$34*I41/Subsurface_Inputs!$C$35*1000000</f>
        <v/>
      </c>
      <c r="O41" s="47">
        <f>2*Subsurface_Inputs!$C$34*K41/Subsurface_Inputs!$C$35*1000000</f>
        <v/>
      </c>
      <c r="P41" s="47">
        <f>Subsurface_Inputs!$C$37-2*Subsurface_Inputs!$C$36*(F41/1000)</f>
        <v/>
      </c>
      <c r="Q41" s="47">
        <f>Subsurface_Inputs!$C$38+Subsurface_Inputs!$C$39*H41-2*Subsurface_Inputs!$C$36*(I41/1000)</f>
        <v/>
      </c>
      <c r="R41" s="47">
        <f>Subsurface_Inputs!$C$40-2*Subsurface_Inputs!$C$36*(K41/1000)-Subsurface_Inputs!$C$41*ABS(L41-AVERAGE($L$2:$L$242))</f>
        <v/>
      </c>
      <c r="S41" s="47">
        <f>K41-AVERAGE($K$2:$K$242)</f>
        <v/>
      </c>
      <c r="T41" s="47">
        <f>K41/F41</f>
        <v/>
      </c>
      <c r="U41" s="50">
        <f>IF(H41&gt;=Subsurface_Inputs!$C$42,"Lens visible","Weak/no lens")</f>
        <v/>
      </c>
      <c r="V41" s="50">
        <f>IF(R41&gt;=W41,"Likely visible","Weak")</f>
        <v/>
      </c>
      <c r="W41" s="47">
        <f>Subsurface_Inputs!$C$43</f>
        <v/>
      </c>
      <c r="X41" s="47">
        <f>Q41-W41</f>
        <v/>
      </c>
      <c r="Y41" s="47">
        <f>R41-W41</f>
        <v/>
      </c>
      <c r="Z41" s="47">
        <f>MAX(Q41,R41)-W41</f>
        <v/>
      </c>
      <c r="AA41" s="47" t="n">
        <v>0</v>
      </c>
    </row>
    <row r="42">
      <c r="A42" s="47">
        <f>Model_Data!A42</f>
        <v/>
      </c>
      <c r="B42" s="47">
        <f>Model_Data!Y42</f>
        <v/>
      </c>
      <c r="C42" s="47">
        <f>Model_Data!X42</f>
        <v/>
      </c>
      <c r="D42" s="47">
        <f>Model_Data!B42</f>
        <v/>
      </c>
      <c r="E42" s="47">
        <f>Inputs!$C$6</f>
        <v/>
      </c>
      <c r="F42" s="47">
        <f>Subsurface_Inputs!$C$5+Subsurface_Inputs!$C$6*SIN(2*PI()*(A42+Subsurface_Inputs!$C$7)/Subsurface_Inputs!$C$8)+Subsurface_Inputs!$C$9*COS(2*PI()*A42/Subsurface_Inputs!$C$10)+Subsurface_Inputs!$C$11*(B42-AVERAGE($B$2:$B$242))</f>
        <v/>
      </c>
      <c r="G42" s="47">
        <f>B42-F42</f>
        <v/>
      </c>
      <c r="H42" s="47">
        <f>MIN(1,MAX(0,Subsurface_Inputs!$C$13*EXP(-0.5*((A42-Subsurface_Inputs!$C$14)/Subsurface_Inputs!$C$15)^2)+Subsurface_Inputs!$C$16*EXP(-0.5*((A42-Subsurface_Inputs!$C$17)/Subsurface_Inputs!$C$18)^2)))</f>
        <v/>
      </c>
      <c r="I42" s="47">
        <f>Subsurface_Inputs!$C$19+Subsurface_Inputs!$C$20*SIN(2*PI()*(A42-Subsurface_Inputs!$C$21)/Subsurface_Inputs!$C$22)-Subsurface_Inputs!$C$23*H42</f>
        <v/>
      </c>
      <c r="J42" s="47">
        <f>B42-I42</f>
        <v/>
      </c>
      <c r="K42" s="47">
        <f>Subsurface_Inputs!$C$25+Subsurface_Inputs!$C$26*SIN(2*PI()*(A42+Subsurface_Inputs!$C$27)/Subsurface_Inputs!$C$28)+Subsurface_Inputs!$C$29*COS(2*PI()*(A42-Subsurface_Inputs!$C$30)/Subsurface_Inputs!$C$31)-Subsurface_Inputs!$C$32*(B42-AVERAGE($B$2:$B$242))</f>
        <v/>
      </c>
      <c r="L42" s="47">
        <f>B42-K42</f>
        <v/>
      </c>
      <c r="M42" s="47">
        <f>2*Subsurface_Inputs!$C$34*F42/Subsurface_Inputs!$C$35*1000000</f>
        <v/>
      </c>
      <c r="N42" s="47">
        <f>2*Subsurface_Inputs!$C$34*I42/Subsurface_Inputs!$C$35*1000000</f>
        <v/>
      </c>
      <c r="O42" s="47">
        <f>2*Subsurface_Inputs!$C$34*K42/Subsurface_Inputs!$C$35*1000000</f>
        <v/>
      </c>
      <c r="P42" s="47">
        <f>Subsurface_Inputs!$C$37-2*Subsurface_Inputs!$C$36*(F42/1000)</f>
        <v/>
      </c>
      <c r="Q42" s="47">
        <f>Subsurface_Inputs!$C$38+Subsurface_Inputs!$C$39*H42-2*Subsurface_Inputs!$C$36*(I42/1000)</f>
        <v/>
      </c>
      <c r="R42" s="47">
        <f>Subsurface_Inputs!$C$40-2*Subsurface_Inputs!$C$36*(K42/1000)-Subsurface_Inputs!$C$41*ABS(L42-AVERAGE($L$2:$L$242))</f>
        <v/>
      </c>
      <c r="S42" s="47">
        <f>K42-AVERAGE($K$2:$K$242)</f>
        <v/>
      </c>
      <c r="T42" s="47">
        <f>K42/F42</f>
        <v/>
      </c>
      <c r="U42" s="50">
        <f>IF(H42&gt;=Subsurface_Inputs!$C$42,"Lens visible","Weak/no lens")</f>
        <v/>
      </c>
      <c r="V42" s="50">
        <f>IF(R42&gt;=W42,"Likely visible","Weak")</f>
        <v/>
      </c>
      <c r="W42" s="47">
        <f>Subsurface_Inputs!$C$43</f>
        <v/>
      </c>
      <c r="X42" s="47">
        <f>Q42-W42</f>
        <v/>
      </c>
      <c r="Y42" s="47">
        <f>R42-W42</f>
        <v/>
      </c>
      <c r="Z42" s="47">
        <f>MAX(Q42,R42)-W42</f>
        <v/>
      </c>
      <c r="AA42" s="47" t="n">
        <v>0</v>
      </c>
    </row>
    <row r="43">
      <c r="A43" s="47">
        <f>Model_Data!A43</f>
        <v/>
      </c>
      <c r="B43" s="47">
        <f>Model_Data!Y43</f>
        <v/>
      </c>
      <c r="C43" s="47">
        <f>Model_Data!X43</f>
        <v/>
      </c>
      <c r="D43" s="47">
        <f>Model_Data!B43</f>
        <v/>
      </c>
      <c r="E43" s="47">
        <f>Inputs!$C$6</f>
        <v/>
      </c>
      <c r="F43" s="47">
        <f>Subsurface_Inputs!$C$5+Subsurface_Inputs!$C$6*SIN(2*PI()*(A43+Subsurface_Inputs!$C$7)/Subsurface_Inputs!$C$8)+Subsurface_Inputs!$C$9*COS(2*PI()*A43/Subsurface_Inputs!$C$10)+Subsurface_Inputs!$C$11*(B43-AVERAGE($B$2:$B$242))</f>
        <v/>
      </c>
      <c r="G43" s="47">
        <f>B43-F43</f>
        <v/>
      </c>
      <c r="H43" s="47">
        <f>MIN(1,MAX(0,Subsurface_Inputs!$C$13*EXP(-0.5*((A43-Subsurface_Inputs!$C$14)/Subsurface_Inputs!$C$15)^2)+Subsurface_Inputs!$C$16*EXP(-0.5*((A43-Subsurface_Inputs!$C$17)/Subsurface_Inputs!$C$18)^2)))</f>
        <v/>
      </c>
      <c r="I43" s="47">
        <f>Subsurface_Inputs!$C$19+Subsurface_Inputs!$C$20*SIN(2*PI()*(A43-Subsurface_Inputs!$C$21)/Subsurface_Inputs!$C$22)-Subsurface_Inputs!$C$23*H43</f>
        <v/>
      </c>
      <c r="J43" s="47">
        <f>B43-I43</f>
        <v/>
      </c>
      <c r="K43" s="47">
        <f>Subsurface_Inputs!$C$25+Subsurface_Inputs!$C$26*SIN(2*PI()*(A43+Subsurface_Inputs!$C$27)/Subsurface_Inputs!$C$28)+Subsurface_Inputs!$C$29*COS(2*PI()*(A43-Subsurface_Inputs!$C$30)/Subsurface_Inputs!$C$31)-Subsurface_Inputs!$C$32*(B43-AVERAGE($B$2:$B$242))</f>
        <v/>
      </c>
      <c r="L43" s="47">
        <f>B43-K43</f>
        <v/>
      </c>
      <c r="M43" s="47">
        <f>2*Subsurface_Inputs!$C$34*F43/Subsurface_Inputs!$C$35*1000000</f>
        <v/>
      </c>
      <c r="N43" s="47">
        <f>2*Subsurface_Inputs!$C$34*I43/Subsurface_Inputs!$C$35*1000000</f>
        <v/>
      </c>
      <c r="O43" s="47">
        <f>2*Subsurface_Inputs!$C$34*K43/Subsurface_Inputs!$C$35*1000000</f>
        <v/>
      </c>
      <c r="P43" s="47">
        <f>Subsurface_Inputs!$C$37-2*Subsurface_Inputs!$C$36*(F43/1000)</f>
        <v/>
      </c>
      <c r="Q43" s="47">
        <f>Subsurface_Inputs!$C$38+Subsurface_Inputs!$C$39*H43-2*Subsurface_Inputs!$C$36*(I43/1000)</f>
        <v/>
      </c>
      <c r="R43" s="47">
        <f>Subsurface_Inputs!$C$40-2*Subsurface_Inputs!$C$36*(K43/1000)-Subsurface_Inputs!$C$41*ABS(L43-AVERAGE($L$2:$L$242))</f>
        <v/>
      </c>
      <c r="S43" s="47">
        <f>K43-AVERAGE($K$2:$K$242)</f>
        <v/>
      </c>
      <c r="T43" s="47">
        <f>K43/F43</f>
        <v/>
      </c>
      <c r="U43" s="50">
        <f>IF(H43&gt;=Subsurface_Inputs!$C$42,"Lens visible","Weak/no lens")</f>
        <v/>
      </c>
      <c r="V43" s="50">
        <f>IF(R43&gt;=W43,"Likely visible","Weak")</f>
        <v/>
      </c>
      <c r="W43" s="47">
        <f>Subsurface_Inputs!$C$43</f>
        <v/>
      </c>
      <c r="X43" s="47">
        <f>Q43-W43</f>
        <v/>
      </c>
      <c r="Y43" s="47">
        <f>R43-W43</f>
        <v/>
      </c>
      <c r="Z43" s="47">
        <f>MAX(Q43,R43)-W43</f>
        <v/>
      </c>
      <c r="AA43" s="47" t="n">
        <v>0</v>
      </c>
    </row>
    <row r="44">
      <c r="A44" s="47">
        <f>Model_Data!A44</f>
        <v/>
      </c>
      <c r="B44" s="47">
        <f>Model_Data!Y44</f>
        <v/>
      </c>
      <c r="C44" s="47">
        <f>Model_Data!X44</f>
        <v/>
      </c>
      <c r="D44" s="47">
        <f>Model_Data!B44</f>
        <v/>
      </c>
      <c r="E44" s="47">
        <f>Inputs!$C$6</f>
        <v/>
      </c>
      <c r="F44" s="47">
        <f>Subsurface_Inputs!$C$5+Subsurface_Inputs!$C$6*SIN(2*PI()*(A44+Subsurface_Inputs!$C$7)/Subsurface_Inputs!$C$8)+Subsurface_Inputs!$C$9*COS(2*PI()*A44/Subsurface_Inputs!$C$10)+Subsurface_Inputs!$C$11*(B44-AVERAGE($B$2:$B$242))</f>
        <v/>
      </c>
      <c r="G44" s="47">
        <f>B44-F44</f>
        <v/>
      </c>
      <c r="H44" s="47">
        <f>MIN(1,MAX(0,Subsurface_Inputs!$C$13*EXP(-0.5*((A44-Subsurface_Inputs!$C$14)/Subsurface_Inputs!$C$15)^2)+Subsurface_Inputs!$C$16*EXP(-0.5*((A44-Subsurface_Inputs!$C$17)/Subsurface_Inputs!$C$18)^2)))</f>
        <v/>
      </c>
      <c r="I44" s="47">
        <f>Subsurface_Inputs!$C$19+Subsurface_Inputs!$C$20*SIN(2*PI()*(A44-Subsurface_Inputs!$C$21)/Subsurface_Inputs!$C$22)-Subsurface_Inputs!$C$23*H44</f>
        <v/>
      </c>
      <c r="J44" s="47">
        <f>B44-I44</f>
        <v/>
      </c>
      <c r="K44" s="47">
        <f>Subsurface_Inputs!$C$25+Subsurface_Inputs!$C$26*SIN(2*PI()*(A44+Subsurface_Inputs!$C$27)/Subsurface_Inputs!$C$28)+Subsurface_Inputs!$C$29*COS(2*PI()*(A44-Subsurface_Inputs!$C$30)/Subsurface_Inputs!$C$31)-Subsurface_Inputs!$C$32*(B44-AVERAGE($B$2:$B$242))</f>
        <v/>
      </c>
      <c r="L44" s="47">
        <f>B44-K44</f>
        <v/>
      </c>
      <c r="M44" s="47">
        <f>2*Subsurface_Inputs!$C$34*F44/Subsurface_Inputs!$C$35*1000000</f>
        <v/>
      </c>
      <c r="N44" s="47">
        <f>2*Subsurface_Inputs!$C$34*I44/Subsurface_Inputs!$C$35*1000000</f>
        <v/>
      </c>
      <c r="O44" s="47">
        <f>2*Subsurface_Inputs!$C$34*K44/Subsurface_Inputs!$C$35*1000000</f>
        <v/>
      </c>
      <c r="P44" s="47">
        <f>Subsurface_Inputs!$C$37-2*Subsurface_Inputs!$C$36*(F44/1000)</f>
        <v/>
      </c>
      <c r="Q44" s="47">
        <f>Subsurface_Inputs!$C$38+Subsurface_Inputs!$C$39*H44-2*Subsurface_Inputs!$C$36*(I44/1000)</f>
        <v/>
      </c>
      <c r="R44" s="47">
        <f>Subsurface_Inputs!$C$40-2*Subsurface_Inputs!$C$36*(K44/1000)-Subsurface_Inputs!$C$41*ABS(L44-AVERAGE($L$2:$L$242))</f>
        <v/>
      </c>
      <c r="S44" s="47">
        <f>K44-AVERAGE($K$2:$K$242)</f>
        <v/>
      </c>
      <c r="T44" s="47">
        <f>K44/F44</f>
        <v/>
      </c>
      <c r="U44" s="50">
        <f>IF(H44&gt;=Subsurface_Inputs!$C$42,"Lens visible","Weak/no lens")</f>
        <v/>
      </c>
      <c r="V44" s="50">
        <f>IF(R44&gt;=W44,"Likely visible","Weak")</f>
        <v/>
      </c>
      <c r="W44" s="47">
        <f>Subsurface_Inputs!$C$43</f>
        <v/>
      </c>
      <c r="X44" s="47">
        <f>Q44-W44</f>
        <v/>
      </c>
      <c r="Y44" s="47">
        <f>R44-W44</f>
        <v/>
      </c>
      <c r="Z44" s="47">
        <f>MAX(Q44,R44)-W44</f>
        <v/>
      </c>
      <c r="AA44" s="47" t="n">
        <v>0</v>
      </c>
    </row>
    <row r="45">
      <c r="A45" s="47">
        <f>Model_Data!A45</f>
        <v/>
      </c>
      <c r="B45" s="47">
        <f>Model_Data!Y45</f>
        <v/>
      </c>
      <c r="C45" s="47">
        <f>Model_Data!X45</f>
        <v/>
      </c>
      <c r="D45" s="47">
        <f>Model_Data!B45</f>
        <v/>
      </c>
      <c r="E45" s="47">
        <f>Inputs!$C$6</f>
        <v/>
      </c>
      <c r="F45" s="47">
        <f>Subsurface_Inputs!$C$5+Subsurface_Inputs!$C$6*SIN(2*PI()*(A45+Subsurface_Inputs!$C$7)/Subsurface_Inputs!$C$8)+Subsurface_Inputs!$C$9*COS(2*PI()*A45/Subsurface_Inputs!$C$10)+Subsurface_Inputs!$C$11*(B45-AVERAGE($B$2:$B$242))</f>
        <v/>
      </c>
      <c r="G45" s="47">
        <f>B45-F45</f>
        <v/>
      </c>
      <c r="H45" s="47">
        <f>MIN(1,MAX(0,Subsurface_Inputs!$C$13*EXP(-0.5*((A45-Subsurface_Inputs!$C$14)/Subsurface_Inputs!$C$15)^2)+Subsurface_Inputs!$C$16*EXP(-0.5*((A45-Subsurface_Inputs!$C$17)/Subsurface_Inputs!$C$18)^2)))</f>
        <v/>
      </c>
      <c r="I45" s="47">
        <f>Subsurface_Inputs!$C$19+Subsurface_Inputs!$C$20*SIN(2*PI()*(A45-Subsurface_Inputs!$C$21)/Subsurface_Inputs!$C$22)-Subsurface_Inputs!$C$23*H45</f>
        <v/>
      </c>
      <c r="J45" s="47">
        <f>B45-I45</f>
        <v/>
      </c>
      <c r="K45" s="47">
        <f>Subsurface_Inputs!$C$25+Subsurface_Inputs!$C$26*SIN(2*PI()*(A45+Subsurface_Inputs!$C$27)/Subsurface_Inputs!$C$28)+Subsurface_Inputs!$C$29*COS(2*PI()*(A45-Subsurface_Inputs!$C$30)/Subsurface_Inputs!$C$31)-Subsurface_Inputs!$C$32*(B45-AVERAGE($B$2:$B$242))</f>
        <v/>
      </c>
      <c r="L45" s="47">
        <f>B45-K45</f>
        <v/>
      </c>
      <c r="M45" s="47">
        <f>2*Subsurface_Inputs!$C$34*F45/Subsurface_Inputs!$C$35*1000000</f>
        <v/>
      </c>
      <c r="N45" s="47">
        <f>2*Subsurface_Inputs!$C$34*I45/Subsurface_Inputs!$C$35*1000000</f>
        <v/>
      </c>
      <c r="O45" s="47">
        <f>2*Subsurface_Inputs!$C$34*K45/Subsurface_Inputs!$C$35*1000000</f>
        <v/>
      </c>
      <c r="P45" s="47">
        <f>Subsurface_Inputs!$C$37-2*Subsurface_Inputs!$C$36*(F45/1000)</f>
        <v/>
      </c>
      <c r="Q45" s="47">
        <f>Subsurface_Inputs!$C$38+Subsurface_Inputs!$C$39*H45-2*Subsurface_Inputs!$C$36*(I45/1000)</f>
        <v/>
      </c>
      <c r="R45" s="47">
        <f>Subsurface_Inputs!$C$40-2*Subsurface_Inputs!$C$36*(K45/1000)-Subsurface_Inputs!$C$41*ABS(L45-AVERAGE($L$2:$L$242))</f>
        <v/>
      </c>
      <c r="S45" s="47">
        <f>K45-AVERAGE($K$2:$K$242)</f>
        <v/>
      </c>
      <c r="T45" s="47">
        <f>K45/F45</f>
        <v/>
      </c>
      <c r="U45" s="50">
        <f>IF(H45&gt;=Subsurface_Inputs!$C$42,"Lens visible","Weak/no lens")</f>
        <v/>
      </c>
      <c r="V45" s="50">
        <f>IF(R45&gt;=W45,"Likely visible","Weak")</f>
        <v/>
      </c>
      <c r="W45" s="47">
        <f>Subsurface_Inputs!$C$43</f>
        <v/>
      </c>
      <c r="X45" s="47">
        <f>Q45-W45</f>
        <v/>
      </c>
      <c r="Y45" s="47">
        <f>R45-W45</f>
        <v/>
      </c>
      <c r="Z45" s="47">
        <f>MAX(Q45,R45)-W45</f>
        <v/>
      </c>
      <c r="AA45" s="47" t="n">
        <v>0</v>
      </c>
    </row>
    <row r="46">
      <c r="A46" s="47">
        <f>Model_Data!A46</f>
        <v/>
      </c>
      <c r="B46" s="47">
        <f>Model_Data!Y46</f>
        <v/>
      </c>
      <c r="C46" s="47">
        <f>Model_Data!X46</f>
        <v/>
      </c>
      <c r="D46" s="47">
        <f>Model_Data!B46</f>
        <v/>
      </c>
      <c r="E46" s="47">
        <f>Inputs!$C$6</f>
        <v/>
      </c>
      <c r="F46" s="47">
        <f>Subsurface_Inputs!$C$5+Subsurface_Inputs!$C$6*SIN(2*PI()*(A46+Subsurface_Inputs!$C$7)/Subsurface_Inputs!$C$8)+Subsurface_Inputs!$C$9*COS(2*PI()*A46/Subsurface_Inputs!$C$10)+Subsurface_Inputs!$C$11*(B46-AVERAGE($B$2:$B$242))</f>
        <v/>
      </c>
      <c r="G46" s="47">
        <f>B46-F46</f>
        <v/>
      </c>
      <c r="H46" s="47">
        <f>MIN(1,MAX(0,Subsurface_Inputs!$C$13*EXP(-0.5*((A46-Subsurface_Inputs!$C$14)/Subsurface_Inputs!$C$15)^2)+Subsurface_Inputs!$C$16*EXP(-0.5*((A46-Subsurface_Inputs!$C$17)/Subsurface_Inputs!$C$18)^2)))</f>
        <v/>
      </c>
      <c r="I46" s="47">
        <f>Subsurface_Inputs!$C$19+Subsurface_Inputs!$C$20*SIN(2*PI()*(A46-Subsurface_Inputs!$C$21)/Subsurface_Inputs!$C$22)-Subsurface_Inputs!$C$23*H46</f>
        <v/>
      </c>
      <c r="J46" s="47">
        <f>B46-I46</f>
        <v/>
      </c>
      <c r="K46" s="47">
        <f>Subsurface_Inputs!$C$25+Subsurface_Inputs!$C$26*SIN(2*PI()*(A46+Subsurface_Inputs!$C$27)/Subsurface_Inputs!$C$28)+Subsurface_Inputs!$C$29*COS(2*PI()*(A46-Subsurface_Inputs!$C$30)/Subsurface_Inputs!$C$31)-Subsurface_Inputs!$C$32*(B46-AVERAGE($B$2:$B$242))</f>
        <v/>
      </c>
      <c r="L46" s="47">
        <f>B46-K46</f>
        <v/>
      </c>
      <c r="M46" s="47">
        <f>2*Subsurface_Inputs!$C$34*F46/Subsurface_Inputs!$C$35*1000000</f>
        <v/>
      </c>
      <c r="N46" s="47">
        <f>2*Subsurface_Inputs!$C$34*I46/Subsurface_Inputs!$C$35*1000000</f>
        <v/>
      </c>
      <c r="O46" s="47">
        <f>2*Subsurface_Inputs!$C$34*K46/Subsurface_Inputs!$C$35*1000000</f>
        <v/>
      </c>
      <c r="P46" s="47">
        <f>Subsurface_Inputs!$C$37-2*Subsurface_Inputs!$C$36*(F46/1000)</f>
        <v/>
      </c>
      <c r="Q46" s="47">
        <f>Subsurface_Inputs!$C$38+Subsurface_Inputs!$C$39*H46-2*Subsurface_Inputs!$C$36*(I46/1000)</f>
        <v/>
      </c>
      <c r="R46" s="47">
        <f>Subsurface_Inputs!$C$40-2*Subsurface_Inputs!$C$36*(K46/1000)-Subsurface_Inputs!$C$41*ABS(L46-AVERAGE($L$2:$L$242))</f>
        <v/>
      </c>
      <c r="S46" s="47">
        <f>K46-AVERAGE($K$2:$K$242)</f>
        <v/>
      </c>
      <c r="T46" s="47">
        <f>K46/F46</f>
        <v/>
      </c>
      <c r="U46" s="50">
        <f>IF(H46&gt;=Subsurface_Inputs!$C$42,"Lens visible","Weak/no lens")</f>
        <v/>
      </c>
      <c r="V46" s="50">
        <f>IF(R46&gt;=W46,"Likely visible","Weak")</f>
        <v/>
      </c>
      <c r="W46" s="47">
        <f>Subsurface_Inputs!$C$43</f>
        <v/>
      </c>
      <c r="X46" s="47">
        <f>Q46-W46</f>
        <v/>
      </c>
      <c r="Y46" s="47">
        <f>R46-W46</f>
        <v/>
      </c>
      <c r="Z46" s="47">
        <f>MAX(Q46,R46)-W46</f>
        <v/>
      </c>
      <c r="AA46" s="47" t="n">
        <v>0</v>
      </c>
    </row>
    <row r="47">
      <c r="A47" s="47">
        <f>Model_Data!A47</f>
        <v/>
      </c>
      <c r="B47" s="47">
        <f>Model_Data!Y47</f>
        <v/>
      </c>
      <c r="C47" s="47">
        <f>Model_Data!X47</f>
        <v/>
      </c>
      <c r="D47" s="47">
        <f>Model_Data!B47</f>
        <v/>
      </c>
      <c r="E47" s="47">
        <f>Inputs!$C$6</f>
        <v/>
      </c>
      <c r="F47" s="47">
        <f>Subsurface_Inputs!$C$5+Subsurface_Inputs!$C$6*SIN(2*PI()*(A47+Subsurface_Inputs!$C$7)/Subsurface_Inputs!$C$8)+Subsurface_Inputs!$C$9*COS(2*PI()*A47/Subsurface_Inputs!$C$10)+Subsurface_Inputs!$C$11*(B47-AVERAGE($B$2:$B$242))</f>
        <v/>
      </c>
      <c r="G47" s="47">
        <f>B47-F47</f>
        <v/>
      </c>
      <c r="H47" s="47">
        <f>MIN(1,MAX(0,Subsurface_Inputs!$C$13*EXP(-0.5*((A47-Subsurface_Inputs!$C$14)/Subsurface_Inputs!$C$15)^2)+Subsurface_Inputs!$C$16*EXP(-0.5*((A47-Subsurface_Inputs!$C$17)/Subsurface_Inputs!$C$18)^2)))</f>
        <v/>
      </c>
      <c r="I47" s="47">
        <f>Subsurface_Inputs!$C$19+Subsurface_Inputs!$C$20*SIN(2*PI()*(A47-Subsurface_Inputs!$C$21)/Subsurface_Inputs!$C$22)-Subsurface_Inputs!$C$23*H47</f>
        <v/>
      </c>
      <c r="J47" s="47">
        <f>B47-I47</f>
        <v/>
      </c>
      <c r="K47" s="47">
        <f>Subsurface_Inputs!$C$25+Subsurface_Inputs!$C$26*SIN(2*PI()*(A47+Subsurface_Inputs!$C$27)/Subsurface_Inputs!$C$28)+Subsurface_Inputs!$C$29*COS(2*PI()*(A47-Subsurface_Inputs!$C$30)/Subsurface_Inputs!$C$31)-Subsurface_Inputs!$C$32*(B47-AVERAGE($B$2:$B$242))</f>
        <v/>
      </c>
      <c r="L47" s="47">
        <f>B47-K47</f>
        <v/>
      </c>
      <c r="M47" s="47">
        <f>2*Subsurface_Inputs!$C$34*F47/Subsurface_Inputs!$C$35*1000000</f>
        <v/>
      </c>
      <c r="N47" s="47">
        <f>2*Subsurface_Inputs!$C$34*I47/Subsurface_Inputs!$C$35*1000000</f>
        <v/>
      </c>
      <c r="O47" s="47">
        <f>2*Subsurface_Inputs!$C$34*K47/Subsurface_Inputs!$C$35*1000000</f>
        <v/>
      </c>
      <c r="P47" s="47">
        <f>Subsurface_Inputs!$C$37-2*Subsurface_Inputs!$C$36*(F47/1000)</f>
        <v/>
      </c>
      <c r="Q47" s="47">
        <f>Subsurface_Inputs!$C$38+Subsurface_Inputs!$C$39*H47-2*Subsurface_Inputs!$C$36*(I47/1000)</f>
        <v/>
      </c>
      <c r="R47" s="47">
        <f>Subsurface_Inputs!$C$40-2*Subsurface_Inputs!$C$36*(K47/1000)-Subsurface_Inputs!$C$41*ABS(L47-AVERAGE($L$2:$L$242))</f>
        <v/>
      </c>
      <c r="S47" s="47">
        <f>K47-AVERAGE($K$2:$K$242)</f>
        <v/>
      </c>
      <c r="T47" s="47">
        <f>K47/F47</f>
        <v/>
      </c>
      <c r="U47" s="50">
        <f>IF(H47&gt;=Subsurface_Inputs!$C$42,"Lens visible","Weak/no lens")</f>
        <v/>
      </c>
      <c r="V47" s="50">
        <f>IF(R47&gt;=W47,"Likely visible","Weak")</f>
        <v/>
      </c>
      <c r="W47" s="47">
        <f>Subsurface_Inputs!$C$43</f>
        <v/>
      </c>
      <c r="X47" s="47">
        <f>Q47-W47</f>
        <v/>
      </c>
      <c r="Y47" s="47">
        <f>R47-W47</f>
        <v/>
      </c>
      <c r="Z47" s="47">
        <f>MAX(Q47,R47)-W47</f>
        <v/>
      </c>
      <c r="AA47" s="47" t="n">
        <v>0</v>
      </c>
    </row>
    <row r="48">
      <c r="A48" s="47">
        <f>Model_Data!A48</f>
        <v/>
      </c>
      <c r="B48" s="47">
        <f>Model_Data!Y48</f>
        <v/>
      </c>
      <c r="C48" s="47">
        <f>Model_Data!X48</f>
        <v/>
      </c>
      <c r="D48" s="47">
        <f>Model_Data!B48</f>
        <v/>
      </c>
      <c r="E48" s="47">
        <f>Inputs!$C$6</f>
        <v/>
      </c>
      <c r="F48" s="47">
        <f>Subsurface_Inputs!$C$5+Subsurface_Inputs!$C$6*SIN(2*PI()*(A48+Subsurface_Inputs!$C$7)/Subsurface_Inputs!$C$8)+Subsurface_Inputs!$C$9*COS(2*PI()*A48/Subsurface_Inputs!$C$10)+Subsurface_Inputs!$C$11*(B48-AVERAGE($B$2:$B$242))</f>
        <v/>
      </c>
      <c r="G48" s="47">
        <f>B48-F48</f>
        <v/>
      </c>
      <c r="H48" s="47">
        <f>MIN(1,MAX(0,Subsurface_Inputs!$C$13*EXP(-0.5*((A48-Subsurface_Inputs!$C$14)/Subsurface_Inputs!$C$15)^2)+Subsurface_Inputs!$C$16*EXP(-0.5*((A48-Subsurface_Inputs!$C$17)/Subsurface_Inputs!$C$18)^2)))</f>
        <v/>
      </c>
      <c r="I48" s="47">
        <f>Subsurface_Inputs!$C$19+Subsurface_Inputs!$C$20*SIN(2*PI()*(A48-Subsurface_Inputs!$C$21)/Subsurface_Inputs!$C$22)-Subsurface_Inputs!$C$23*H48</f>
        <v/>
      </c>
      <c r="J48" s="47">
        <f>B48-I48</f>
        <v/>
      </c>
      <c r="K48" s="47">
        <f>Subsurface_Inputs!$C$25+Subsurface_Inputs!$C$26*SIN(2*PI()*(A48+Subsurface_Inputs!$C$27)/Subsurface_Inputs!$C$28)+Subsurface_Inputs!$C$29*COS(2*PI()*(A48-Subsurface_Inputs!$C$30)/Subsurface_Inputs!$C$31)-Subsurface_Inputs!$C$32*(B48-AVERAGE($B$2:$B$242))</f>
        <v/>
      </c>
      <c r="L48" s="47">
        <f>B48-K48</f>
        <v/>
      </c>
      <c r="M48" s="47">
        <f>2*Subsurface_Inputs!$C$34*F48/Subsurface_Inputs!$C$35*1000000</f>
        <v/>
      </c>
      <c r="N48" s="47">
        <f>2*Subsurface_Inputs!$C$34*I48/Subsurface_Inputs!$C$35*1000000</f>
        <v/>
      </c>
      <c r="O48" s="47">
        <f>2*Subsurface_Inputs!$C$34*K48/Subsurface_Inputs!$C$35*1000000</f>
        <v/>
      </c>
      <c r="P48" s="47">
        <f>Subsurface_Inputs!$C$37-2*Subsurface_Inputs!$C$36*(F48/1000)</f>
        <v/>
      </c>
      <c r="Q48" s="47">
        <f>Subsurface_Inputs!$C$38+Subsurface_Inputs!$C$39*H48-2*Subsurface_Inputs!$C$36*(I48/1000)</f>
        <v/>
      </c>
      <c r="R48" s="47">
        <f>Subsurface_Inputs!$C$40-2*Subsurface_Inputs!$C$36*(K48/1000)-Subsurface_Inputs!$C$41*ABS(L48-AVERAGE($L$2:$L$242))</f>
        <v/>
      </c>
      <c r="S48" s="47">
        <f>K48-AVERAGE($K$2:$K$242)</f>
        <v/>
      </c>
      <c r="T48" s="47">
        <f>K48/F48</f>
        <v/>
      </c>
      <c r="U48" s="50">
        <f>IF(H48&gt;=Subsurface_Inputs!$C$42,"Lens visible","Weak/no lens")</f>
        <v/>
      </c>
      <c r="V48" s="50">
        <f>IF(R48&gt;=W48,"Likely visible","Weak")</f>
        <v/>
      </c>
      <c r="W48" s="47">
        <f>Subsurface_Inputs!$C$43</f>
        <v/>
      </c>
      <c r="X48" s="47">
        <f>Q48-W48</f>
        <v/>
      </c>
      <c r="Y48" s="47">
        <f>R48-W48</f>
        <v/>
      </c>
      <c r="Z48" s="47">
        <f>MAX(Q48,R48)-W48</f>
        <v/>
      </c>
      <c r="AA48" s="47" t="n">
        <v>0</v>
      </c>
    </row>
    <row r="49">
      <c r="A49" s="47">
        <f>Model_Data!A49</f>
        <v/>
      </c>
      <c r="B49" s="47">
        <f>Model_Data!Y49</f>
        <v/>
      </c>
      <c r="C49" s="47">
        <f>Model_Data!X49</f>
        <v/>
      </c>
      <c r="D49" s="47">
        <f>Model_Data!B49</f>
        <v/>
      </c>
      <c r="E49" s="47">
        <f>Inputs!$C$6</f>
        <v/>
      </c>
      <c r="F49" s="47">
        <f>Subsurface_Inputs!$C$5+Subsurface_Inputs!$C$6*SIN(2*PI()*(A49+Subsurface_Inputs!$C$7)/Subsurface_Inputs!$C$8)+Subsurface_Inputs!$C$9*COS(2*PI()*A49/Subsurface_Inputs!$C$10)+Subsurface_Inputs!$C$11*(B49-AVERAGE($B$2:$B$242))</f>
        <v/>
      </c>
      <c r="G49" s="47">
        <f>B49-F49</f>
        <v/>
      </c>
      <c r="H49" s="47">
        <f>MIN(1,MAX(0,Subsurface_Inputs!$C$13*EXP(-0.5*((A49-Subsurface_Inputs!$C$14)/Subsurface_Inputs!$C$15)^2)+Subsurface_Inputs!$C$16*EXP(-0.5*((A49-Subsurface_Inputs!$C$17)/Subsurface_Inputs!$C$18)^2)))</f>
        <v/>
      </c>
      <c r="I49" s="47">
        <f>Subsurface_Inputs!$C$19+Subsurface_Inputs!$C$20*SIN(2*PI()*(A49-Subsurface_Inputs!$C$21)/Subsurface_Inputs!$C$22)-Subsurface_Inputs!$C$23*H49</f>
        <v/>
      </c>
      <c r="J49" s="47">
        <f>B49-I49</f>
        <v/>
      </c>
      <c r="K49" s="47">
        <f>Subsurface_Inputs!$C$25+Subsurface_Inputs!$C$26*SIN(2*PI()*(A49+Subsurface_Inputs!$C$27)/Subsurface_Inputs!$C$28)+Subsurface_Inputs!$C$29*COS(2*PI()*(A49-Subsurface_Inputs!$C$30)/Subsurface_Inputs!$C$31)-Subsurface_Inputs!$C$32*(B49-AVERAGE($B$2:$B$242))</f>
        <v/>
      </c>
      <c r="L49" s="47">
        <f>B49-K49</f>
        <v/>
      </c>
      <c r="M49" s="47">
        <f>2*Subsurface_Inputs!$C$34*F49/Subsurface_Inputs!$C$35*1000000</f>
        <v/>
      </c>
      <c r="N49" s="47">
        <f>2*Subsurface_Inputs!$C$34*I49/Subsurface_Inputs!$C$35*1000000</f>
        <v/>
      </c>
      <c r="O49" s="47">
        <f>2*Subsurface_Inputs!$C$34*K49/Subsurface_Inputs!$C$35*1000000</f>
        <v/>
      </c>
      <c r="P49" s="47">
        <f>Subsurface_Inputs!$C$37-2*Subsurface_Inputs!$C$36*(F49/1000)</f>
        <v/>
      </c>
      <c r="Q49" s="47">
        <f>Subsurface_Inputs!$C$38+Subsurface_Inputs!$C$39*H49-2*Subsurface_Inputs!$C$36*(I49/1000)</f>
        <v/>
      </c>
      <c r="R49" s="47">
        <f>Subsurface_Inputs!$C$40-2*Subsurface_Inputs!$C$36*(K49/1000)-Subsurface_Inputs!$C$41*ABS(L49-AVERAGE($L$2:$L$242))</f>
        <v/>
      </c>
      <c r="S49" s="47">
        <f>K49-AVERAGE($K$2:$K$242)</f>
        <v/>
      </c>
      <c r="T49" s="47">
        <f>K49/F49</f>
        <v/>
      </c>
      <c r="U49" s="50">
        <f>IF(H49&gt;=Subsurface_Inputs!$C$42,"Lens visible","Weak/no lens")</f>
        <v/>
      </c>
      <c r="V49" s="50">
        <f>IF(R49&gt;=W49,"Likely visible","Weak")</f>
        <v/>
      </c>
      <c r="W49" s="47">
        <f>Subsurface_Inputs!$C$43</f>
        <v/>
      </c>
      <c r="X49" s="47">
        <f>Q49-W49</f>
        <v/>
      </c>
      <c r="Y49" s="47">
        <f>R49-W49</f>
        <v/>
      </c>
      <c r="Z49" s="47">
        <f>MAX(Q49,R49)-W49</f>
        <v/>
      </c>
      <c r="AA49" s="47" t="n">
        <v>0</v>
      </c>
    </row>
    <row r="50">
      <c r="A50" s="47">
        <f>Model_Data!A50</f>
        <v/>
      </c>
      <c r="B50" s="47">
        <f>Model_Data!Y50</f>
        <v/>
      </c>
      <c r="C50" s="47">
        <f>Model_Data!X50</f>
        <v/>
      </c>
      <c r="D50" s="47">
        <f>Model_Data!B50</f>
        <v/>
      </c>
      <c r="E50" s="47">
        <f>Inputs!$C$6</f>
        <v/>
      </c>
      <c r="F50" s="47">
        <f>Subsurface_Inputs!$C$5+Subsurface_Inputs!$C$6*SIN(2*PI()*(A50+Subsurface_Inputs!$C$7)/Subsurface_Inputs!$C$8)+Subsurface_Inputs!$C$9*COS(2*PI()*A50/Subsurface_Inputs!$C$10)+Subsurface_Inputs!$C$11*(B50-AVERAGE($B$2:$B$242))</f>
        <v/>
      </c>
      <c r="G50" s="47">
        <f>B50-F50</f>
        <v/>
      </c>
      <c r="H50" s="47">
        <f>MIN(1,MAX(0,Subsurface_Inputs!$C$13*EXP(-0.5*((A50-Subsurface_Inputs!$C$14)/Subsurface_Inputs!$C$15)^2)+Subsurface_Inputs!$C$16*EXP(-0.5*((A50-Subsurface_Inputs!$C$17)/Subsurface_Inputs!$C$18)^2)))</f>
        <v/>
      </c>
      <c r="I50" s="47">
        <f>Subsurface_Inputs!$C$19+Subsurface_Inputs!$C$20*SIN(2*PI()*(A50-Subsurface_Inputs!$C$21)/Subsurface_Inputs!$C$22)-Subsurface_Inputs!$C$23*H50</f>
        <v/>
      </c>
      <c r="J50" s="47">
        <f>B50-I50</f>
        <v/>
      </c>
      <c r="K50" s="47">
        <f>Subsurface_Inputs!$C$25+Subsurface_Inputs!$C$26*SIN(2*PI()*(A50+Subsurface_Inputs!$C$27)/Subsurface_Inputs!$C$28)+Subsurface_Inputs!$C$29*COS(2*PI()*(A50-Subsurface_Inputs!$C$30)/Subsurface_Inputs!$C$31)-Subsurface_Inputs!$C$32*(B50-AVERAGE($B$2:$B$242))</f>
        <v/>
      </c>
      <c r="L50" s="47">
        <f>B50-K50</f>
        <v/>
      </c>
      <c r="M50" s="47">
        <f>2*Subsurface_Inputs!$C$34*F50/Subsurface_Inputs!$C$35*1000000</f>
        <v/>
      </c>
      <c r="N50" s="47">
        <f>2*Subsurface_Inputs!$C$34*I50/Subsurface_Inputs!$C$35*1000000</f>
        <v/>
      </c>
      <c r="O50" s="47">
        <f>2*Subsurface_Inputs!$C$34*K50/Subsurface_Inputs!$C$35*1000000</f>
        <v/>
      </c>
      <c r="P50" s="47">
        <f>Subsurface_Inputs!$C$37-2*Subsurface_Inputs!$C$36*(F50/1000)</f>
        <v/>
      </c>
      <c r="Q50" s="47">
        <f>Subsurface_Inputs!$C$38+Subsurface_Inputs!$C$39*H50-2*Subsurface_Inputs!$C$36*(I50/1000)</f>
        <v/>
      </c>
      <c r="R50" s="47">
        <f>Subsurface_Inputs!$C$40-2*Subsurface_Inputs!$C$36*(K50/1000)-Subsurface_Inputs!$C$41*ABS(L50-AVERAGE($L$2:$L$242))</f>
        <v/>
      </c>
      <c r="S50" s="47">
        <f>K50-AVERAGE($K$2:$K$242)</f>
        <v/>
      </c>
      <c r="T50" s="47">
        <f>K50/F50</f>
        <v/>
      </c>
      <c r="U50" s="50">
        <f>IF(H50&gt;=Subsurface_Inputs!$C$42,"Lens visible","Weak/no lens")</f>
        <v/>
      </c>
      <c r="V50" s="50">
        <f>IF(R50&gt;=W50,"Likely visible","Weak")</f>
        <v/>
      </c>
      <c r="W50" s="47">
        <f>Subsurface_Inputs!$C$43</f>
        <v/>
      </c>
      <c r="X50" s="47">
        <f>Q50-W50</f>
        <v/>
      </c>
      <c r="Y50" s="47">
        <f>R50-W50</f>
        <v/>
      </c>
      <c r="Z50" s="47">
        <f>MAX(Q50,R50)-W50</f>
        <v/>
      </c>
      <c r="AA50" s="47" t="n">
        <v>0</v>
      </c>
    </row>
    <row r="51">
      <c r="A51" s="47">
        <f>Model_Data!A51</f>
        <v/>
      </c>
      <c r="B51" s="47">
        <f>Model_Data!Y51</f>
        <v/>
      </c>
      <c r="C51" s="47">
        <f>Model_Data!X51</f>
        <v/>
      </c>
      <c r="D51" s="47">
        <f>Model_Data!B51</f>
        <v/>
      </c>
      <c r="E51" s="47">
        <f>Inputs!$C$6</f>
        <v/>
      </c>
      <c r="F51" s="47">
        <f>Subsurface_Inputs!$C$5+Subsurface_Inputs!$C$6*SIN(2*PI()*(A51+Subsurface_Inputs!$C$7)/Subsurface_Inputs!$C$8)+Subsurface_Inputs!$C$9*COS(2*PI()*A51/Subsurface_Inputs!$C$10)+Subsurface_Inputs!$C$11*(B51-AVERAGE($B$2:$B$242))</f>
        <v/>
      </c>
      <c r="G51" s="47">
        <f>B51-F51</f>
        <v/>
      </c>
      <c r="H51" s="47">
        <f>MIN(1,MAX(0,Subsurface_Inputs!$C$13*EXP(-0.5*((A51-Subsurface_Inputs!$C$14)/Subsurface_Inputs!$C$15)^2)+Subsurface_Inputs!$C$16*EXP(-0.5*((A51-Subsurface_Inputs!$C$17)/Subsurface_Inputs!$C$18)^2)))</f>
        <v/>
      </c>
      <c r="I51" s="47">
        <f>Subsurface_Inputs!$C$19+Subsurface_Inputs!$C$20*SIN(2*PI()*(A51-Subsurface_Inputs!$C$21)/Subsurface_Inputs!$C$22)-Subsurface_Inputs!$C$23*H51</f>
        <v/>
      </c>
      <c r="J51" s="47">
        <f>B51-I51</f>
        <v/>
      </c>
      <c r="K51" s="47">
        <f>Subsurface_Inputs!$C$25+Subsurface_Inputs!$C$26*SIN(2*PI()*(A51+Subsurface_Inputs!$C$27)/Subsurface_Inputs!$C$28)+Subsurface_Inputs!$C$29*COS(2*PI()*(A51-Subsurface_Inputs!$C$30)/Subsurface_Inputs!$C$31)-Subsurface_Inputs!$C$32*(B51-AVERAGE($B$2:$B$242))</f>
        <v/>
      </c>
      <c r="L51" s="47">
        <f>B51-K51</f>
        <v/>
      </c>
      <c r="M51" s="47">
        <f>2*Subsurface_Inputs!$C$34*F51/Subsurface_Inputs!$C$35*1000000</f>
        <v/>
      </c>
      <c r="N51" s="47">
        <f>2*Subsurface_Inputs!$C$34*I51/Subsurface_Inputs!$C$35*1000000</f>
        <v/>
      </c>
      <c r="O51" s="47">
        <f>2*Subsurface_Inputs!$C$34*K51/Subsurface_Inputs!$C$35*1000000</f>
        <v/>
      </c>
      <c r="P51" s="47">
        <f>Subsurface_Inputs!$C$37-2*Subsurface_Inputs!$C$36*(F51/1000)</f>
        <v/>
      </c>
      <c r="Q51" s="47">
        <f>Subsurface_Inputs!$C$38+Subsurface_Inputs!$C$39*H51-2*Subsurface_Inputs!$C$36*(I51/1000)</f>
        <v/>
      </c>
      <c r="R51" s="47">
        <f>Subsurface_Inputs!$C$40-2*Subsurface_Inputs!$C$36*(K51/1000)-Subsurface_Inputs!$C$41*ABS(L51-AVERAGE($L$2:$L$242))</f>
        <v/>
      </c>
      <c r="S51" s="47">
        <f>K51-AVERAGE($K$2:$K$242)</f>
        <v/>
      </c>
      <c r="T51" s="47">
        <f>K51/F51</f>
        <v/>
      </c>
      <c r="U51" s="50">
        <f>IF(H51&gt;=Subsurface_Inputs!$C$42,"Lens visible","Weak/no lens")</f>
        <v/>
      </c>
      <c r="V51" s="50">
        <f>IF(R51&gt;=W51,"Likely visible","Weak")</f>
        <v/>
      </c>
      <c r="W51" s="47">
        <f>Subsurface_Inputs!$C$43</f>
        <v/>
      </c>
      <c r="X51" s="47">
        <f>Q51-W51</f>
        <v/>
      </c>
      <c r="Y51" s="47">
        <f>R51-W51</f>
        <v/>
      </c>
      <c r="Z51" s="47">
        <f>MAX(Q51,R51)-W51</f>
        <v/>
      </c>
      <c r="AA51" s="47" t="n">
        <v>0</v>
      </c>
    </row>
    <row r="52">
      <c r="A52" s="47">
        <f>Model_Data!A52</f>
        <v/>
      </c>
      <c r="B52" s="47">
        <f>Model_Data!Y52</f>
        <v/>
      </c>
      <c r="C52" s="47">
        <f>Model_Data!X52</f>
        <v/>
      </c>
      <c r="D52" s="47">
        <f>Model_Data!B52</f>
        <v/>
      </c>
      <c r="E52" s="47">
        <f>Inputs!$C$6</f>
        <v/>
      </c>
      <c r="F52" s="47">
        <f>Subsurface_Inputs!$C$5+Subsurface_Inputs!$C$6*SIN(2*PI()*(A52+Subsurface_Inputs!$C$7)/Subsurface_Inputs!$C$8)+Subsurface_Inputs!$C$9*COS(2*PI()*A52/Subsurface_Inputs!$C$10)+Subsurface_Inputs!$C$11*(B52-AVERAGE($B$2:$B$242))</f>
        <v/>
      </c>
      <c r="G52" s="47">
        <f>B52-F52</f>
        <v/>
      </c>
      <c r="H52" s="47">
        <f>MIN(1,MAX(0,Subsurface_Inputs!$C$13*EXP(-0.5*((A52-Subsurface_Inputs!$C$14)/Subsurface_Inputs!$C$15)^2)+Subsurface_Inputs!$C$16*EXP(-0.5*((A52-Subsurface_Inputs!$C$17)/Subsurface_Inputs!$C$18)^2)))</f>
        <v/>
      </c>
      <c r="I52" s="47">
        <f>Subsurface_Inputs!$C$19+Subsurface_Inputs!$C$20*SIN(2*PI()*(A52-Subsurface_Inputs!$C$21)/Subsurface_Inputs!$C$22)-Subsurface_Inputs!$C$23*H52</f>
        <v/>
      </c>
      <c r="J52" s="47">
        <f>B52-I52</f>
        <v/>
      </c>
      <c r="K52" s="47">
        <f>Subsurface_Inputs!$C$25+Subsurface_Inputs!$C$26*SIN(2*PI()*(A52+Subsurface_Inputs!$C$27)/Subsurface_Inputs!$C$28)+Subsurface_Inputs!$C$29*COS(2*PI()*(A52-Subsurface_Inputs!$C$30)/Subsurface_Inputs!$C$31)-Subsurface_Inputs!$C$32*(B52-AVERAGE($B$2:$B$242))</f>
        <v/>
      </c>
      <c r="L52" s="47">
        <f>B52-K52</f>
        <v/>
      </c>
      <c r="M52" s="47">
        <f>2*Subsurface_Inputs!$C$34*F52/Subsurface_Inputs!$C$35*1000000</f>
        <v/>
      </c>
      <c r="N52" s="47">
        <f>2*Subsurface_Inputs!$C$34*I52/Subsurface_Inputs!$C$35*1000000</f>
        <v/>
      </c>
      <c r="O52" s="47">
        <f>2*Subsurface_Inputs!$C$34*K52/Subsurface_Inputs!$C$35*1000000</f>
        <v/>
      </c>
      <c r="P52" s="47">
        <f>Subsurface_Inputs!$C$37-2*Subsurface_Inputs!$C$36*(F52/1000)</f>
        <v/>
      </c>
      <c r="Q52" s="47">
        <f>Subsurface_Inputs!$C$38+Subsurface_Inputs!$C$39*H52-2*Subsurface_Inputs!$C$36*(I52/1000)</f>
        <v/>
      </c>
      <c r="R52" s="47">
        <f>Subsurface_Inputs!$C$40-2*Subsurface_Inputs!$C$36*(K52/1000)-Subsurface_Inputs!$C$41*ABS(L52-AVERAGE($L$2:$L$242))</f>
        <v/>
      </c>
      <c r="S52" s="47">
        <f>K52-AVERAGE($K$2:$K$242)</f>
        <v/>
      </c>
      <c r="T52" s="47">
        <f>K52/F52</f>
        <v/>
      </c>
      <c r="U52" s="50">
        <f>IF(H52&gt;=Subsurface_Inputs!$C$42,"Lens visible","Weak/no lens")</f>
        <v/>
      </c>
      <c r="V52" s="50">
        <f>IF(R52&gt;=W52,"Likely visible","Weak")</f>
        <v/>
      </c>
      <c r="W52" s="47">
        <f>Subsurface_Inputs!$C$43</f>
        <v/>
      </c>
      <c r="X52" s="47">
        <f>Q52-W52</f>
        <v/>
      </c>
      <c r="Y52" s="47">
        <f>R52-W52</f>
        <v/>
      </c>
      <c r="Z52" s="47">
        <f>MAX(Q52,R52)-W52</f>
        <v/>
      </c>
      <c r="AA52" s="47" t="n">
        <v>0</v>
      </c>
    </row>
    <row r="53">
      <c r="A53" s="47">
        <f>Model_Data!A53</f>
        <v/>
      </c>
      <c r="B53" s="47">
        <f>Model_Data!Y53</f>
        <v/>
      </c>
      <c r="C53" s="47">
        <f>Model_Data!X53</f>
        <v/>
      </c>
      <c r="D53" s="47">
        <f>Model_Data!B53</f>
        <v/>
      </c>
      <c r="E53" s="47">
        <f>Inputs!$C$6</f>
        <v/>
      </c>
      <c r="F53" s="47">
        <f>Subsurface_Inputs!$C$5+Subsurface_Inputs!$C$6*SIN(2*PI()*(A53+Subsurface_Inputs!$C$7)/Subsurface_Inputs!$C$8)+Subsurface_Inputs!$C$9*COS(2*PI()*A53/Subsurface_Inputs!$C$10)+Subsurface_Inputs!$C$11*(B53-AVERAGE($B$2:$B$242))</f>
        <v/>
      </c>
      <c r="G53" s="47">
        <f>B53-F53</f>
        <v/>
      </c>
      <c r="H53" s="47">
        <f>MIN(1,MAX(0,Subsurface_Inputs!$C$13*EXP(-0.5*((A53-Subsurface_Inputs!$C$14)/Subsurface_Inputs!$C$15)^2)+Subsurface_Inputs!$C$16*EXP(-0.5*((A53-Subsurface_Inputs!$C$17)/Subsurface_Inputs!$C$18)^2)))</f>
        <v/>
      </c>
      <c r="I53" s="47">
        <f>Subsurface_Inputs!$C$19+Subsurface_Inputs!$C$20*SIN(2*PI()*(A53-Subsurface_Inputs!$C$21)/Subsurface_Inputs!$C$22)-Subsurface_Inputs!$C$23*H53</f>
        <v/>
      </c>
      <c r="J53" s="47">
        <f>B53-I53</f>
        <v/>
      </c>
      <c r="K53" s="47">
        <f>Subsurface_Inputs!$C$25+Subsurface_Inputs!$C$26*SIN(2*PI()*(A53+Subsurface_Inputs!$C$27)/Subsurface_Inputs!$C$28)+Subsurface_Inputs!$C$29*COS(2*PI()*(A53-Subsurface_Inputs!$C$30)/Subsurface_Inputs!$C$31)-Subsurface_Inputs!$C$32*(B53-AVERAGE($B$2:$B$242))</f>
        <v/>
      </c>
      <c r="L53" s="47">
        <f>B53-K53</f>
        <v/>
      </c>
      <c r="M53" s="47">
        <f>2*Subsurface_Inputs!$C$34*F53/Subsurface_Inputs!$C$35*1000000</f>
        <v/>
      </c>
      <c r="N53" s="47">
        <f>2*Subsurface_Inputs!$C$34*I53/Subsurface_Inputs!$C$35*1000000</f>
        <v/>
      </c>
      <c r="O53" s="47">
        <f>2*Subsurface_Inputs!$C$34*K53/Subsurface_Inputs!$C$35*1000000</f>
        <v/>
      </c>
      <c r="P53" s="47">
        <f>Subsurface_Inputs!$C$37-2*Subsurface_Inputs!$C$36*(F53/1000)</f>
        <v/>
      </c>
      <c r="Q53" s="47">
        <f>Subsurface_Inputs!$C$38+Subsurface_Inputs!$C$39*H53-2*Subsurface_Inputs!$C$36*(I53/1000)</f>
        <v/>
      </c>
      <c r="R53" s="47">
        <f>Subsurface_Inputs!$C$40-2*Subsurface_Inputs!$C$36*(K53/1000)-Subsurface_Inputs!$C$41*ABS(L53-AVERAGE($L$2:$L$242))</f>
        <v/>
      </c>
      <c r="S53" s="47">
        <f>K53-AVERAGE($K$2:$K$242)</f>
        <v/>
      </c>
      <c r="T53" s="47">
        <f>K53/F53</f>
        <v/>
      </c>
      <c r="U53" s="50">
        <f>IF(H53&gt;=Subsurface_Inputs!$C$42,"Lens visible","Weak/no lens")</f>
        <v/>
      </c>
      <c r="V53" s="50">
        <f>IF(R53&gt;=W53,"Likely visible","Weak")</f>
        <v/>
      </c>
      <c r="W53" s="47">
        <f>Subsurface_Inputs!$C$43</f>
        <v/>
      </c>
      <c r="X53" s="47">
        <f>Q53-W53</f>
        <v/>
      </c>
      <c r="Y53" s="47">
        <f>R53-W53</f>
        <v/>
      </c>
      <c r="Z53" s="47">
        <f>MAX(Q53,R53)-W53</f>
        <v/>
      </c>
      <c r="AA53" s="47" t="n">
        <v>0</v>
      </c>
    </row>
    <row r="54">
      <c r="A54" s="47">
        <f>Model_Data!A54</f>
        <v/>
      </c>
      <c r="B54" s="47">
        <f>Model_Data!Y54</f>
        <v/>
      </c>
      <c r="C54" s="47">
        <f>Model_Data!X54</f>
        <v/>
      </c>
      <c r="D54" s="47">
        <f>Model_Data!B54</f>
        <v/>
      </c>
      <c r="E54" s="47">
        <f>Inputs!$C$6</f>
        <v/>
      </c>
      <c r="F54" s="47">
        <f>Subsurface_Inputs!$C$5+Subsurface_Inputs!$C$6*SIN(2*PI()*(A54+Subsurface_Inputs!$C$7)/Subsurface_Inputs!$C$8)+Subsurface_Inputs!$C$9*COS(2*PI()*A54/Subsurface_Inputs!$C$10)+Subsurface_Inputs!$C$11*(B54-AVERAGE($B$2:$B$242))</f>
        <v/>
      </c>
      <c r="G54" s="47">
        <f>B54-F54</f>
        <v/>
      </c>
      <c r="H54" s="47">
        <f>MIN(1,MAX(0,Subsurface_Inputs!$C$13*EXP(-0.5*((A54-Subsurface_Inputs!$C$14)/Subsurface_Inputs!$C$15)^2)+Subsurface_Inputs!$C$16*EXP(-0.5*((A54-Subsurface_Inputs!$C$17)/Subsurface_Inputs!$C$18)^2)))</f>
        <v/>
      </c>
      <c r="I54" s="47">
        <f>Subsurface_Inputs!$C$19+Subsurface_Inputs!$C$20*SIN(2*PI()*(A54-Subsurface_Inputs!$C$21)/Subsurface_Inputs!$C$22)-Subsurface_Inputs!$C$23*H54</f>
        <v/>
      </c>
      <c r="J54" s="47">
        <f>B54-I54</f>
        <v/>
      </c>
      <c r="K54" s="47">
        <f>Subsurface_Inputs!$C$25+Subsurface_Inputs!$C$26*SIN(2*PI()*(A54+Subsurface_Inputs!$C$27)/Subsurface_Inputs!$C$28)+Subsurface_Inputs!$C$29*COS(2*PI()*(A54-Subsurface_Inputs!$C$30)/Subsurface_Inputs!$C$31)-Subsurface_Inputs!$C$32*(B54-AVERAGE($B$2:$B$242))</f>
        <v/>
      </c>
      <c r="L54" s="47">
        <f>B54-K54</f>
        <v/>
      </c>
      <c r="M54" s="47">
        <f>2*Subsurface_Inputs!$C$34*F54/Subsurface_Inputs!$C$35*1000000</f>
        <v/>
      </c>
      <c r="N54" s="47">
        <f>2*Subsurface_Inputs!$C$34*I54/Subsurface_Inputs!$C$35*1000000</f>
        <v/>
      </c>
      <c r="O54" s="47">
        <f>2*Subsurface_Inputs!$C$34*K54/Subsurface_Inputs!$C$35*1000000</f>
        <v/>
      </c>
      <c r="P54" s="47">
        <f>Subsurface_Inputs!$C$37-2*Subsurface_Inputs!$C$36*(F54/1000)</f>
        <v/>
      </c>
      <c r="Q54" s="47">
        <f>Subsurface_Inputs!$C$38+Subsurface_Inputs!$C$39*H54-2*Subsurface_Inputs!$C$36*(I54/1000)</f>
        <v/>
      </c>
      <c r="R54" s="47">
        <f>Subsurface_Inputs!$C$40-2*Subsurface_Inputs!$C$36*(K54/1000)-Subsurface_Inputs!$C$41*ABS(L54-AVERAGE($L$2:$L$242))</f>
        <v/>
      </c>
      <c r="S54" s="47">
        <f>K54-AVERAGE($K$2:$K$242)</f>
        <v/>
      </c>
      <c r="T54" s="47">
        <f>K54/F54</f>
        <v/>
      </c>
      <c r="U54" s="50">
        <f>IF(H54&gt;=Subsurface_Inputs!$C$42,"Lens visible","Weak/no lens")</f>
        <v/>
      </c>
      <c r="V54" s="50">
        <f>IF(R54&gt;=W54,"Likely visible","Weak")</f>
        <v/>
      </c>
      <c r="W54" s="47">
        <f>Subsurface_Inputs!$C$43</f>
        <v/>
      </c>
      <c r="X54" s="47">
        <f>Q54-W54</f>
        <v/>
      </c>
      <c r="Y54" s="47">
        <f>R54-W54</f>
        <v/>
      </c>
      <c r="Z54" s="47">
        <f>MAX(Q54,R54)-W54</f>
        <v/>
      </c>
      <c r="AA54" s="47" t="n">
        <v>0</v>
      </c>
    </row>
    <row r="55">
      <c r="A55" s="47">
        <f>Model_Data!A55</f>
        <v/>
      </c>
      <c r="B55" s="47">
        <f>Model_Data!Y55</f>
        <v/>
      </c>
      <c r="C55" s="47">
        <f>Model_Data!X55</f>
        <v/>
      </c>
      <c r="D55" s="47">
        <f>Model_Data!B55</f>
        <v/>
      </c>
      <c r="E55" s="47">
        <f>Inputs!$C$6</f>
        <v/>
      </c>
      <c r="F55" s="47">
        <f>Subsurface_Inputs!$C$5+Subsurface_Inputs!$C$6*SIN(2*PI()*(A55+Subsurface_Inputs!$C$7)/Subsurface_Inputs!$C$8)+Subsurface_Inputs!$C$9*COS(2*PI()*A55/Subsurface_Inputs!$C$10)+Subsurface_Inputs!$C$11*(B55-AVERAGE($B$2:$B$242))</f>
        <v/>
      </c>
      <c r="G55" s="47">
        <f>B55-F55</f>
        <v/>
      </c>
      <c r="H55" s="47">
        <f>MIN(1,MAX(0,Subsurface_Inputs!$C$13*EXP(-0.5*((A55-Subsurface_Inputs!$C$14)/Subsurface_Inputs!$C$15)^2)+Subsurface_Inputs!$C$16*EXP(-0.5*((A55-Subsurface_Inputs!$C$17)/Subsurface_Inputs!$C$18)^2)))</f>
        <v/>
      </c>
      <c r="I55" s="47">
        <f>Subsurface_Inputs!$C$19+Subsurface_Inputs!$C$20*SIN(2*PI()*(A55-Subsurface_Inputs!$C$21)/Subsurface_Inputs!$C$22)-Subsurface_Inputs!$C$23*H55</f>
        <v/>
      </c>
      <c r="J55" s="47">
        <f>B55-I55</f>
        <v/>
      </c>
      <c r="K55" s="47">
        <f>Subsurface_Inputs!$C$25+Subsurface_Inputs!$C$26*SIN(2*PI()*(A55+Subsurface_Inputs!$C$27)/Subsurface_Inputs!$C$28)+Subsurface_Inputs!$C$29*COS(2*PI()*(A55-Subsurface_Inputs!$C$30)/Subsurface_Inputs!$C$31)-Subsurface_Inputs!$C$32*(B55-AVERAGE($B$2:$B$242))</f>
        <v/>
      </c>
      <c r="L55" s="47">
        <f>B55-K55</f>
        <v/>
      </c>
      <c r="M55" s="47">
        <f>2*Subsurface_Inputs!$C$34*F55/Subsurface_Inputs!$C$35*1000000</f>
        <v/>
      </c>
      <c r="N55" s="47">
        <f>2*Subsurface_Inputs!$C$34*I55/Subsurface_Inputs!$C$35*1000000</f>
        <v/>
      </c>
      <c r="O55" s="47">
        <f>2*Subsurface_Inputs!$C$34*K55/Subsurface_Inputs!$C$35*1000000</f>
        <v/>
      </c>
      <c r="P55" s="47">
        <f>Subsurface_Inputs!$C$37-2*Subsurface_Inputs!$C$36*(F55/1000)</f>
        <v/>
      </c>
      <c r="Q55" s="47">
        <f>Subsurface_Inputs!$C$38+Subsurface_Inputs!$C$39*H55-2*Subsurface_Inputs!$C$36*(I55/1000)</f>
        <v/>
      </c>
      <c r="R55" s="47">
        <f>Subsurface_Inputs!$C$40-2*Subsurface_Inputs!$C$36*(K55/1000)-Subsurface_Inputs!$C$41*ABS(L55-AVERAGE($L$2:$L$242))</f>
        <v/>
      </c>
      <c r="S55" s="47">
        <f>K55-AVERAGE($K$2:$K$242)</f>
        <v/>
      </c>
      <c r="T55" s="47">
        <f>K55/F55</f>
        <v/>
      </c>
      <c r="U55" s="50">
        <f>IF(H55&gt;=Subsurface_Inputs!$C$42,"Lens visible","Weak/no lens")</f>
        <v/>
      </c>
      <c r="V55" s="50">
        <f>IF(R55&gt;=W55,"Likely visible","Weak")</f>
        <v/>
      </c>
      <c r="W55" s="47">
        <f>Subsurface_Inputs!$C$43</f>
        <v/>
      </c>
      <c r="X55" s="47">
        <f>Q55-W55</f>
        <v/>
      </c>
      <c r="Y55" s="47">
        <f>R55-W55</f>
        <v/>
      </c>
      <c r="Z55" s="47">
        <f>MAX(Q55,R55)-W55</f>
        <v/>
      </c>
      <c r="AA55" s="47" t="n">
        <v>0</v>
      </c>
    </row>
    <row r="56">
      <c r="A56" s="47">
        <f>Model_Data!A56</f>
        <v/>
      </c>
      <c r="B56" s="47">
        <f>Model_Data!Y56</f>
        <v/>
      </c>
      <c r="C56" s="47">
        <f>Model_Data!X56</f>
        <v/>
      </c>
      <c r="D56" s="47">
        <f>Model_Data!B56</f>
        <v/>
      </c>
      <c r="E56" s="47">
        <f>Inputs!$C$6</f>
        <v/>
      </c>
      <c r="F56" s="47">
        <f>Subsurface_Inputs!$C$5+Subsurface_Inputs!$C$6*SIN(2*PI()*(A56+Subsurface_Inputs!$C$7)/Subsurface_Inputs!$C$8)+Subsurface_Inputs!$C$9*COS(2*PI()*A56/Subsurface_Inputs!$C$10)+Subsurface_Inputs!$C$11*(B56-AVERAGE($B$2:$B$242))</f>
        <v/>
      </c>
      <c r="G56" s="47">
        <f>B56-F56</f>
        <v/>
      </c>
      <c r="H56" s="47">
        <f>MIN(1,MAX(0,Subsurface_Inputs!$C$13*EXP(-0.5*((A56-Subsurface_Inputs!$C$14)/Subsurface_Inputs!$C$15)^2)+Subsurface_Inputs!$C$16*EXP(-0.5*((A56-Subsurface_Inputs!$C$17)/Subsurface_Inputs!$C$18)^2)))</f>
        <v/>
      </c>
      <c r="I56" s="47">
        <f>Subsurface_Inputs!$C$19+Subsurface_Inputs!$C$20*SIN(2*PI()*(A56-Subsurface_Inputs!$C$21)/Subsurface_Inputs!$C$22)-Subsurface_Inputs!$C$23*H56</f>
        <v/>
      </c>
      <c r="J56" s="47">
        <f>B56-I56</f>
        <v/>
      </c>
      <c r="K56" s="47">
        <f>Subsurface_Inputs!$C$25+Subsurface_Inputs!$C$26*SIN(2*PI()*(A56+Subsurface_Inputs!$C$27)/Subsurface_Inputs!$C$28)+Subsurface_Inputs!$C$29*COS(2*PI()*(A56-Subsurface_Inputs!$C$30)/Subsurface_Inputs!$C$31)-Subsurface_Inputs!$C$32*(B56-AVERAGE($B$2:$B$242))</f>
        <v/>
      </c>
      <c r="L56" s="47">
        <f>B56-K56</f>
        <v/>
      </c>
      <c r="M56" s="47">
        <f>2*Subsurface_Inputs!$C$34*F56/Subsurface_Inputs!$C$35*1000000</f>
        <v/>
      </c>
      <c r="N56" s="47">
        <f>2*Subsurface_Inputs!$C$34*I56/Subsurface_Inputs!$C$35*1000000</f>
        <v/>
      </c>
      <c r="O56" s="47">
        <f>2*Subsurface_Inputs!$C$34*K56/Subsurface_Inputs!$C$35*1000000</f>
        <v/>
      </c>
      <c r="P56" s="47">
        <f>Subsurface_Inputs!$C$37-2*Subsurface_Inputs!$C$36*(F56/1000)</f>
        <v/>
      </c>
      <c r="Q56" s="47">
        <f>Subsurface_Inputs!$C$38+Subsurface_Inputs!$C$39*H56-2*Subsurface_Inputs!$C$36*(I56/1000)</f>
        <v/>
      </c>
      <c r="R56" s="47">
        <f>Subsurface_Inputs!$C$40-2*Subsurface_Inputs!$C$36*(K56/1000)-Subsurface_Inputs!$C$41*ABS(L56-AVERAGE($L$2:$L$242))</f>
        <v/>
      </c>
      <c r="S56" s="47">
        <f>K56-AVERAGE($K$2:$K$242)</f>
        <v/>
      </c>
      <c r="T56" s="47">
        <f>K56/F56</f>
        <v/>
      </c>
      <c r="U56" s="50">
        <f>IF(H56&gt;=Subsurface_Inputs!$C$42,"Lens visible","Weak/no lens")</f>
        <v/>
      </c>
      <c r="V56" s="50">
        <f>IF(R56&gt;=W56,"Likely visible","Weak")</f>
        <v/>
      </c>
      <c r="W56" s="47">
        <f>Subsurface_Inputs!$C$43</f>
        <v/>
      </c>
      <c r="X56" s="47">
        <f>Q56-W56</f>
        <v/>
      </c>
      <c r="Y56" s="47">
        <f>R56-W56</f>
        <v/>
      </c>
      <c r="Z56" s="47">
        <f>MAX(Q56,R56)-W56</f>
        <v/>
      </c>
      <c r="AA56" s="47" t="n">
        <v>0</v>
      </c>
    </row>
    <row r="57">
      <c r="A57" s="47">
        <f>Model_Data!A57</f>
        <v/>
      </c>
      <c r="B57" s="47">
        <f>Model_Data!Y57</f>
        <v/>
      </c>
      <c r="C57" s="47">
        <f>Model_Data!X57</f>
        <v/>
      </c>
      <c r="D57" s="47">
        <f>Model_Data!B57</f>
        <v/>
      </c>
      <c r="E57" s="47">
        <f>Inputs!$C$6</f>
        <v/>
      </c>
      <c r="F57" s="47">
        <f>Subsurface_Inputs!$C$5+Subsurface_Inputs!$C$6*SIN(2*PI()*(A57+Subsurface_Inputs!$C$7)/Subsurface_Inputs!$C$8)+Subsurface_Inputs!$C$9*COS(2*PI()*A57/Subsurface_Inputs!$C$10)+Subsurface_Inputs!$C$11*(B57-AVERAGE($B$2:$B$242))</f>
        <v/>
      </c>
      <c r="G57" s="47">
        <f>B57-F57</f>
        <v/>
      </c>
      <c r="H57" s="47">
        <f>MIN(1,MAX(0,Subsurface_Inputs!$C$13*EXP(-0.5*((A57-Subsurface_Inputs!$C$14)/Subsurface_Inputs!$C$15)^2)+Subsurface_Inputs!$C$16*EXP(-0.5*((A57-Subsurface_Inputs!$C$17)/Subsurface_Inputs!$C$18)^2)))</f>
        <v/>
      </c>
      <c r="I57" s="47">
        <f>Subsurface_Inputs!$C$19+Subsurface_Inputs!$C$20*SIN(2*PI()*(A57-Subsurface_Inputs!$C$21)/Subsurface_Inputs!$C$22)-Subsurface_Inputs!$C$23*H57</f>
        <v/>
      </c>
      <c r="J57" s="47">
        <f>B57-I57</f>
        <v/>
      </c>
      <c r="K57" s="47">
        <f>Subsurface_Inputs!$C$25+Subsurface_Inputs!$C$26*SIN(2*PI()*(A57+Subsurface_Inputs!$C$27)/Subsurface_Inputs!$C$28)+Subsurface_Inputs!$C$29*COS(2*PI()*(A57-Subsurface_Inputs!$C$30)/Subsurface_Inputs!$C$31)-Subsurface_Inputs!$C$32*(B57-AVERAGE($B$2:$B$242))</f>
        <v/>
      </c>
      <c r="L57" s="47">
        <f>B57-K57</f>
        <v/>
      </c>
      <c r="M57" s="47">
        <f>2*Subsurface_Inputs!$C$34*F57/Subsurface_Inputs!$C$35*1000000</f>
        <v/>
      </c>
      <c r="N57" s="47">
        <f>2*Subsurface_Inputs!$C$34*I57/Subsurface_Inputs!$C$35*1000000</f>
        <v/>
      </c>
      <c r="O57" s="47">
        <f>2*Subsurface_Inputs!$C$34*K57/Subsurface_Inputs!$C$35*1000000</f>
        <v/>
      </c>
      <c r="P57" s="47">
        <f>Subsurface_Inputs!$C$37-2*Subsurface_Inputs!$C$36*(F57/1000)</f>
        <v/>
      </c>
      <c r="Q57" s="47">
        <f>Subsurface_Inputs!$C$38+Subsurface_Inputs!$C$39*H57-2*Subsurface_Inputs!$C$36*(I57/1000)</f>
        <v/>
      </c>
      <c r="R57" s="47">
        <f>Subsurface_Inputs!$C$40-2*Subsurface_Inputs!$C$36*(K57/1000)-Subsurface_Inputs!$C$41*ABS(L57-AVERAGE($L$2:$L$242))</f>
        <v/>
      </c>
      <c r="S57" s="47">
        <f>K57-AVERAGE($K$2:$K$242)</f>
        <v/>
      </c>
      <c r="T57" s="47">
        <f>K57/F57</f>
        <v/>
      </c>
      <c r="U57" s="50">
        <f>IF(H57&gt;=Subsurface_Inputs!$C$42,"Lens visible","Weak/no lens")</f>
        <v/>
      </c>
      <c r="V57" s="50">
        <f>IF(R57&gt;=W57,"Likely visible","Weak")</f>
        <v/>
      </c>
      <c r="W57" s="47">
        <f>Subsurface_Inputs!$C$43</f>
        <v/>
      </c>
      <c r="X57" s="47">
        <f>Q57-W57</f>
        <v/>
      </c>
      <c r="Y57" s="47">
        <f>R57-W57</f>
        <v/>
      </c>
      <c r="Z57" s="47">
        <f>MAX(Q57,R57)-W57</f>
        <v/>
      </c>
      <c r="AA57" s="47" t="n">
        <v>0</v>
      </c>
    </row>
    <row r="58">
      <c r="A58" s="47">
        <f>Model_Data!A58</f>
        <v/>
      </c>
      <c r="B58" s="47">
        <f>Model_Data!Y58</f>
        <v/>
      </c>
      <c r="C58" s="47">
        <f>Model_Data!X58</f>
        <v/>
      </c>
      <c r="D58" s="47">
        <f>Model_Data!B58</f>
        <v/>
      </c>
      <c r="E58" s="47">
        <f>Inputs!$C$6</f>
        <v/>
      </c>
      <c r="F58" s="47">
        <f>Subsurface_Inputs!$C$5+Subsurface_Inputs!$C$6*SIN(2*PI()*(A58+Subsurface_Inputs!$C$7)/Subsurface_Inputs!$C$8)+Subsurface_Inputs!$C$9*COS(2*PI()*A58/Subsurface_Inputs!$C$10)+Subsurface_Inputs!$C$11*(B58-AVERAGE($B$2:$B$242))</f>
        <v/>
      </c>
      <c r="G58" s="47">
        <f>B58-F58</f>
        <v/>
      </c>
      <c r="H58" s="47">
        <f>MIN(1,MAX(0,Subsurface_Inputs!$C$13*EXP(-0.5*((A58-Subsurface_Inputs!$C$14)/Subsurface_Inputs!$C$15)^2)+Subsurface_Inputs!$C$16*EXP(-0.5*((A58-Subsurface_Inputs!$C$17)/Subsurface_Inputs!$C$18)^2)))</f>
        <v/>
      </c>
      <c r="I58" s="47">
        <f>Subsurface_Inputs!$C$19+Subsurface_Inputs!$C$20*SIN(2*PI()*(A58-Subsurface_Inputs!$C$21)/Subsurface_Inputs!$C$22)-Subsurface_Inputs!$C$23*H58</f>
        <v/>
      </c>
      <c r="J58" s="47">
        <f>B58-I58</f>
        <v/>
      </c>
      <c r="K58" s="47">
        <f>Subsurface_Inputs!$C$25+Subsurface_Inputs!$C$26*SIN(2*PI()*(A58+Subsurface_Inputs!$C$27)/Subsurface_Inputs!$C$28)+Subsurface_Inputs!$C$29*COS(2*PI()*(A58-Subsurface_Inputs!$C$30)/Subsurface_Inputs!$C$31)-Subsurface_Inputs!$C$32*(B58-AVERAGE($B$2:$B$242))</f>
        <v/>
      </c>
      <c r="L58" s="47">
        <f>B58-K58</f>
        <v/>
      </c>
      <c r="M58" s="47">
        <f>2*Subsurface_Inputs!$C$34*F58/Subsurface_Inputs!$C$35*1000000</f>
        <v/>
      </c>
      <c r="N58" s="47">
        <f>2*Subsurface_Inputs!$C$34*I58/Subsurface_Inputs!$C$35*1000000</f>
        <v/>
      </c>
      <c r="O58" s="47">
        <f>2*Subsurface_Inputs!$C$34*K58/Subsurface_Inputs!$C$35*1000000</f>
        <v/>
      </c>
      <c r="P58" s="47">
        <f>Subsurface_Inputs!$C$37-2*Subsurface_Inputs!$C$36*(F58/1000)</f>
        <v/>
      </c>
      <c r="Q58" s="47">
        <f>Subsurface_Inputs!$C$38+Subsurface_Inputs!$C$39*H58-2*Subsurface_Inputs!$C$36*(I58/1000)</f>
        <v/>
      </c>
      <c r="R58" s="47">
        <f>Subsurface_Inputs!$C$40-2*Subsurface_Inputs!$C$36*(K58/1000)-Subsurface_Inputs!$C$41*ABS(L58-AVERAGE($L$2:$L$242))</f>
        <v/>
      </c>
      <c r="S58" s="47">
        <f>K58-AVERAGE($K$2:$K$242)</f>
        <v/>
      </c>
      <c r="T58" s="47">
        <f>K58/F58</f>
        <v/>
      </c>
      <c r="U58" s="50">
        <f>IF(H58&gt;=Subsurface_Inputs!$C$42,"Lens visible","Weak/no lens")</f>
        <v/>
      </c>
      <c r="V58" s="50">
        <f>IF(R58&gt;=W58,"Likely visible","Weak")</f>
        <v/>
      </c>
      <c r="W58" s="47">
        <f>Subsurface_Inputs!$C$43</f>
        <v/>
      </c>
      <c r="X58" s="47">
        <f>Q58-W58</f>
        <v/>
      </c>
      <c r="Y58" s="47">
        <f>R58-W58</f>
        <v/>
      </c>
      <c r="Z58" s="47">
        <f>MAX(Q58,R58)-W58</f>
        <v/>
      </c>
      <c r="AA58" s="47" t="n">
        <v>0</v>
      </c>
    </row>
    <row r="59">
      <c r="A59" s="47">
        <f>Model_Data!A59</f>
        <v/>
      </c>
      <c r="B59" s="47">
        <f>Model_Data!Y59</f>
        <v/>
      </c>
      <c r="C59" s="47">
        <f>Model_Data!X59</f>
        <v/>
      </c>
      <c r="D59" s="47">
        <f>Model_Data!B59</f>
        <v/>
      </c>
      <c r="E59" s="47">
        <f>Inputs!$C$6</f>
        <v/>
      </c>
      <c r="F59" s="47">
        <f>Subsurface_Inputs!$C$5+Subsurface_Inputs!$C$6*SIN(2*PI()*(A59+Subsurface_Inputs!$C$7)/Subsurface_Inputs!$C$8)+Subsurface_Inputs!$C$9*COS(2*PI()*A59/Subsurface_Inputs!$C$10)+Subsurface_Inputs!$C$11*(B59-AVERAGE($B$2:$B$242))</f>
        <v/>
      </c>
      <c r="G59" s="47">
        <f>B59-F59</f>
        <v/>
      </c>
      <c r="H59" s="47">
        <f>MIN(1,MAX(0,Subsurface_Inputs!$C$13*EXP(-0.5*((A59-Subsurface_Inputs!$C$14)/Subsurface_Inputs!$C$15)^2)+Subsurface_Inputs!$C$16*EXP(-0.5*((A59-Subsurface_Inputs!$C$17)/Subsurface_Inputs!$C$18)^2)))</f>
        <v/>
      </c>
      <c r="I59" s="47">
        <f>Subsurface_Inputs!$C$19+Subsurface_Inputs!$C$20*SIN(2*PI()*(A59-Subsurface_Inputs!$C$21)/Subsurface_Inputs!$C$22)-Subsurface_Inputs!$C$23*H59</f>
        <v/>
      </c>
      <c r="J59" s="47">
        <f>B59-I59</f>
        <v/>
      </c>
      <c r="K59" s="47">
        <f>Subsurface_Inputs!$C$25+Subsurface_Inputs!$C$26*SIN(2*PI()*(A59+Subsurface_Inputs!$C$27)/Subsurface_Inputs!$C$28)+Subsurface_Inputs!$C$29*COS(2*PI()*(A59-Subsurface_Inputs!$C$30)/Subsurface_Inputs!$C$31)-Subsurface_Inputs!$C$32*(B59-AVERAGE($B$2:$B$242))</f>
        <v/>
      </c>
      <c r="L59" s="47">
        <f>B59-K59</f>
        <v/>
      </c>
      <c r="M59" s="47">
        <f>2*Subsurface_Inputs!$C$34*F59/Subsurface_Inputs!$C$35*1000000</f>
        <v/>
      </c>
      <c r="N59" s="47">
        <f>2*Subsurface_Inputs!$C$34*I59/Subsurface_Inputs!$C$35*1000000</f>
        <v/>
      </c>
      <c r="O59" s="47">
        <f>2*Subsurface_Inputs!$C$34*K59/Subsurface_Inputs!$C$35*1000000</f>
        <v/>
      </c>
      <c r="P59" s="47">
        <f>Subsurface_Inputs!$C$37-2*Subsurface_Inputs!$C$36*(F59/1000)</f>
        <v/>
      </c>
      <c r="Q59" s="47">
        <f>Subsurface_Inputs!$C$38+Subsurface_Inputs!$C$39*H59-2*Subsurface_Inputs!$C$36*(I59/1000)</f>
        <v/>
      </c>
      <c r="R59" s="47">
        <f>Subsurface_Inputs!$C$40-2*Subsurface_Inputs!$C$36*(K59/1000)-Subsurface_Inputs!$C$41*ABS(L59-AVERAGE($L$2:$L$242))</f>
        <v/>
      </c>
      <c r="S59" s="47">
        <f>K59-AVERAGE($K$2:$K$242)</f>
        <v/>
      </c>
      <c r="T59" s="47">
        <f>K59/F59</f>
        <v/>
      </c>
      <c r="U59" s="50">
        <f>IF(H59&gt;=Subsurface_Inputs!$C$42,"Lens visible","Weak/no lens")</f>
        <v/>
      </c>
      <c r="V59" s="50">
        <f>IF(R59&gt;=W59,"Likely visible","Weak")</f>
        <v/>
      </c>
      <c r="W59" s="47">
        <f>Subsurface_Inputs!$C$43</f>
        <v/>
      </c>
      <c r="X59" s="47">
        <f>Q59-W59</f>
        <v/>
      </c>
      <c r="Y59" s="47">
        <f>R59-W59</f>
        <v/>
      </c>
      <c r="Z59" s="47">
        <f>MAX(Q59,R59)-W59</f>
        <v/>
      </c>
      <c r="AA59" s="47" t="n">
        <v>0</v>
      </c>
    </row>
    <row r="60">
      <c r="A60" s="47">
        <f>Model_Data!A60</f>
        <v/>
      </c>
      <c r="B60" s="47">
        <f>Model_Data!Y60</f>
        <v/>
      </c>
      <c r="C60" s="47">
        <f>Model_Data!X60</f>
        <v/>
      </c>
      <c r="D60" s="47">
        <f>Model_Data!B60</f>
        <v/>
      </c>
      <c r="E60" s="47">
        <f>Inputs!$C$6</f>
        <v/>
      </c>
      <c r="F60" s="47">
        <f>Subsurface_Inputs!$C$5+Subsurface_Inputs!$C$6*SIN(2*PI()*(A60+Subsurface_Inputs!$C$7)/Subsurface_Inputs!$C$8)+Subsurface_Inputs!$C$9*COS(2*PI()*A60/Subsurface_Inputs!$C$10)+Subsurface_Inputs!$C$11*(B60-AVERAGE($B$2:$B$242))</f>
        <v/>
      </c>
      <c r="G60" s="47">
        <f>B60-F60</f>
        <v/>
      </c>
      <c r="H60" s="47">
        <f>MIN(1,MAX(0,Subsurface_Inputs!$C$13*EXP(-0.5*((A60-Subsurface_Inputs!$C$14)/Subsurface_Inputs!$C$15)^2)+Subsurface_Inputs!$C$16*EXP(-0.5*((A60-Subsurface_Inputs!$C$17)/Subsurface_Inputs!$C$18)^2)))</f>
        <v/>
      </c>
      <c r="I60" s="47">
        <f>Subsurface_Inputs!$C$19+Subsurface_Inputs!$C$20*SIN(2*PI()*(A60-Subsurface_Inputs!$C$21)/Subsurface_Inputs!$C$22)-Subsurface_Inputs!$C$23*H60</f>
        <v/>
      </c>
      <c r="J60" s="47">
        <f>B60-I60</f>
        <v/>
      </c>
      <c r="K60" s="47">
        <f>Subsurface_Inputs!$C$25+Subsurface_Inputs!$C$26*SIN(2*PI()*(A60+Subsurface_Inputs!$C$27)/Subsurface_Inputs!$C$28)+Subsurface_Inputs!$C$29*COS(2*PI()*(A60-Subsurface_Inputs!$C$30)/Subsurface_Inputs!$C$31)-Subsurface_Inputs!$C$32*(B60-AVERAGE($B$2:$B$242))</f>
        <v/>
      </c>
      <c r="L60" s="47">
        <f>B60-K60</f>
        <v/>
      </c>
      <c r="M60" s="47">
        <f>2*Subsurface_Inputs!$C$34*F60/Subsurface_Inputs!$C$35*1000000</f>
        <v/>
      </c>
      <c r="N60" s="47">
        <f>2*Subsurface_Inputs!$C$34*I60/Subsurface_Inputs!$C$35*1000000</f>
        <v/>
      </c>
      <c r="O60" s="47">
        <f>2*Subsurface_Inputs!$C$34*K60/Subsurface_Inputs!$C$35*1000000</f>
        <v/>
      </c>
      <c r="P60" s="47">
        <f>Subsurface_Inputs!$C$37-2*Subsurface_Inputs!$C$36*(F60/1000)</f>
        <v/>
      </c>
      <c r="Q60" s="47">
        <f>Subsurface_Inputs!$C$38+Subsurface_Inputs!$C$39*H60-2*Subsurface_Inputs!$C$36*(I60/1000)</f>
        <v/>
      </c>
      <c r="R60" s="47">
        <f>Subsurface_Inputs!$C$40-2*Subsurface_Inputs!$C$36*(K60/1000)-Subsurface_Inputs!$C$41*ABS(L60-AVERAGE($L$2:$L$242))</f>
        <v/>
      </c>
      <c r="S60" s="47">
        <f>K60-AVERAGE($K$2:$K$242)</f>
        <v/>
      </c>
      <c r="T60" s="47">
        <f>K60/F60</f>
        <v/>
      </c>
      <c r="U60" s="50">
        <f>IF(H60&gt;=Subsurface_Inputs!$C$42,"Lens visible","Weak/no lens")</f>
        <v/>
      </c>
      <c r="V60" s="50">
        <f>IF(R60&gt;=W60,"Likely visible","Weak")</f>
        <v/>
      </c>
      <c r="W60" s="47">
        <f>Subsurface_Inputs!$C$43</f>
        <v/>
      </c>
      <c r="X60" s="47">
        <f>Q60-W60</f>
        <v/>
      </c>
      <c r="Y60" s="47">
        <f>R60-W60</f>
        <v/>
      </c>
      <c r="Z60" s="47">
        <f>MAX(Q60,R60)-W60</f>
        <v/>
      </c>
      <c r="AA60" s="47" t="n">
        <v>0</v>
      </c>
    </row>
    <row r="61">
      <c r="A61" s="47">
        <f>Model_Data!A61</f>
        <v/>
      </c>
      <c r="B61" s="47">
        <f>Model_Data!Y61</f>
        <v/>
      </c>
      <c r="C61" s="47">
        <f>Model_Data!X61</f>
        <v/>
      </c>
      <c r="D61" s="47">
        <f>Model_Data!B61</f>
        <v/>
      </c>
      <c r="E61" s="47">
        <f>Inputs!$C$6</f>
        <v/>
      </c>
      <c r="F61" s="47">
        <f>Subsurface_Inputs!$C$5+Subsurface_Inputs!$C$6*SIN(2*PI()*(A61+Subsurface_Inputs!$C$7)/Subsurface_Inputs!$C$8)+Subsurface_Inputs!$C$9*COS(2*PI()*A61/Subsurface_Inputs!$C$10)+Subsurface_Inputs!$C$11*(B61-AVERAGE($B$2:$B$242))</f>
        <v/>
      </c>
      <c r="G61" s="47">
        <f>B61-F61</f>
        <v/>
      </c>
      <c r="H61" s="47">
        <f>MIN(1,MAX(0,Subsurface_Inputs!$C$13*EXP(-0.5*((A61-Subsurface_Inputs!$C$14)/Subsurface_Inputs!$C$15)^2)+Subsurface_Inputs!$C$16*EXP(-0.5*((A61-Subsurface_Inputs!$C$17)/Subsurface_Inputs!$C$18)^2)))</f>
        <v/>
      </c>
      <c r="I61" s="47">
        <f>Subsurface_Inputs!$C$19+Subsurface_Inputs!$C$20*SIN(2*PI()*(A61-Subsurface_Inputs!$C$21)/Subsurface_Inputs!$C$22)-Subsurface_Inputs!$C$23*H61</f>
        <v/>
      </c>
      <c r="J61" s="47">
        <f>B61-I61</f>
        <v/>
      </c>
      <c r="K61" s="47">
        <f>Subsurface_Inputs!$C$25+Subsurface_Inputs!$C$26*SIN(2*PI()*(A61+Subsurface_Inputs!$C$27)/Subsurface_Inputs!$C$28)+Subsurface_Inputs!$C$29*COS(2*PI()*(A61-Subsurface_Inputs!$C$30)/Subsurface_Inputs!$C$31)-Subsurface_Inputs!$C$32*(B61-AVERAGE($B$2:$B$242))</f>
        <v/>
      </c>
      <c r="L61" s="47">
        <f>B61-K61</f>
        <v/>
      </c>
      <c r="M61" s="47">
        <f>2*Subsurface_Inputs!$C$34*F61/Subsurface_Inputs!$C$35*1000000</f>
        <v/>
      </c>
      <c r="N61" s="47">
        <f>2*Subsurface_Inputs!$C$34*I61/Subsurface_Inputs!$C$35*1000000</f>
        <v/>
      </c>
      <c r="O61" s="47">
        <f>2*Subsurface_Inputs!$C$34*K61/Subsurface_Inputs!$C$35*1000000</f>
        <v/>
      </c>
      <c r="P61" s="47">
        <f>Subsurface_Inputs!$C$37-2*Subsurface_Inputs!$C$36*(F61/1000)</f>
        <v/>
      </c>
      <c r="Q61" s="47">
        <f>Subsurface_Inputs!$C$38+Subsurface_Inputs!$C$39*H61-2*Subsurface_Inputs!$C$36*(I61/1000)</f>
        <v/>
      </c>
      <c r="R61" s="47">
        <f>Subsurface_Inputs!$C$40-2*Subsurface_Inputs!$C$36*(K61/1000)-Subsurface_Inputs!$C$41*ABS(L61-AVERAGE($L$2:$L$242))</f>
        <v/>
      </c>
      <c r="S61" s="47">
        <f>K61-AVERAGE($K$2:$K$242)</f>
        <v/>
      </c>
      <c r="T61" s="47">
        <f>K61/F61</f>
        <v/>
      </c>
      <c r="U61" s="50">
        <f>IF(H61&gt;=Subsurface_Inputs!$C$42,"Lens visible","Weak/no lens")</f>
        <v/>
      </c>
      <c r="V61" s="50">
        <f>IF(R61&gt;=W61,"Likely visible","Weak")</f>
        <v/>
      </c>
      <c r="W61" s="47">
        <f>Subsurface_Inputs!$C$43</f>
        <v/>
      </c>
      <c r="X61" s="47">
        <f>Q61-W61</f>
        <v/>
      </c>
      <c r="Y61" s="47">
        <f>R61-W61</f>
        <v/>
      </c>
      <c r="Z61" s="47">
        <f>MAX(Q61,R61)-W61</f>
        <v/>
      </c>
      <c r="AA61" s="47" t="n">
        <v>0</v>
      </c>
    </row>
    <row r="62">
      <c r="A62" s="47">
        <f>Model_Data!A62</f>
        <v/>
      </c>
      <c r="B62" s="47">
        <f>Model_Data!Y62</f>
        <v/>
      </c>
      <c r="C62" s="47">
        <f>Model_Data!X62</f>
        <v/>
      </c>
      <c r="D62" s="47">
        <f>Model_Data!B62</f>
        <v/>
      </c>
      <c r="E62" s="47">
        <f>Inputs!$C$6</f>
        <v/>
      </c>
      <c r="F62" s="47">
        <f>Subsurface_Inputs!$C$5+Subsurface_Inputs!$C$6*SIN(2*PI()*(A62+Subsurface_Inputs!$C$7)/Subsurface_Inputs!$C$8)+Subsurface_Inputs!$C$9*COS(2*PI()*A62/Subsurface_Inputs!$C$10)+Subsurface_Inputs!$C$11*(B62-AVERAGE($B$2:$B$242))</f>
        <v/>
      </c>
      <c r="G62" s="47">
        <f>B62-F62</f>
        <v/>
      </c>
      <c r="H62" s="47">
        <f>MIN(1,MAX(0,Subsurface_Inputs!$C$13*EXP(-0.5*((A62-Subsurface_Inputs!$C$14)/Subsurface_Inputs!$C$15)^2)+Subsurface_Inputs!$C$16*EXP(-0.5*((A62-Subsurface_Inputs!$C$17)/Subsurface_Inputs!$C$18)^2)))</f>
        <v/>
      </c>
      <c r="I62" s="47">
        <f>Subsurface_Inputs!$C$19+Subsurface_Inputs!$C$20*SIN(2*PI()*(A62-Subsurface_Inputs!$C$21)/Subsurface_Inputs!$C$22)-Subsurface_Inputs!$C$23*H62</f>
        <v/>
      </c>
      <c r="J62" s="47">
        <f>B62-I62</f>
        <v/>
      </c>
      <c r="K62" s="47">
        <f>Subsurface_Inputs!$C$25+Subsurface_Inputs!$C$26*SIN(2*PI()*(A62+Subsurface_Inputs!$C$27)/Subsurface_Inputs!$C$28)+Subsurface_Inputs!$C$29*COS(2*PI()*(A62-Subsurface_Inputs!$C$30)/Subsurface_Inputs!$C$31)-Subsurface_Inputs!$C$32*(B62-AVERAGE($B$2:$B$242))</f>
        <v/>
      </c>
      <c r="L62" s="47">
        <f>B62-K62</f>
        <v/>
      </c>
      <c r="M62" s="47">
        <f>2*Subsurface_Inputs!$C$34*F62/Subsurface_Inputs!$C$35*1000000</f>
        <v/>
      </c>
      <c r="N62" s="47">
        <f>2*Subsurface_Inputs!$C$34*I62/Subsurface_Inputs!$C$35*1000000</f>
        <v/>
      </c>
      <c r="O62" s="47">
        <f>2*Subsurface_Inputs!$C$34*K62/Subsurface_Inputs!$C$35*1000000</f>
        <v/>
      </c>
      <c r="P62" s="47">
        <f>Subsurface_Inputs!$C$37-2*Subsurface_Inputs!$C$36*(F62/1000)</f>
        <v/>
      </c>
      <c r="Q62" s="47">
        <f>Subsurface_Inputs!$C$38+Subsurface_Inputs!$C$39*H62-2*Subsurface_Inputs!$C$36*(I62/1000)</f>
        <v/>
      </c>
      <c r="R62" s="47">
        <f>Subsurface_Inputs!$C$40-2*Subsurface_Inputs!$C$36*(K62/1000)-Subsurface_Inputs!$C$41*ABS(L62-AVERAGE($L$2:$L$242))</f>
        <v/>
      </c>
      <c r="S62" s="47">
        <f>K62-AVERAGE($K$2:$K$242)</f>
        <v/>
      </c>
      <c r="T62" s="47">
        <f>K62/F62</f>
        <v/>
      </c>
      <c r="U62" s="50">
        <f>IF(H62&gt;=Subsurface_Inputs!$C$42,"Lens visible","Weak/no lens")</f>
        <v/>
      </c>
      <c r="V62" s="50">
        <f>IF(R62&gt;=W62,"Likely visible","Weak")</f>
        <v/>
      </c>
      <c r="W62" s="47">
        <f>Subsurface_Inputs!$C$43</f>
        <v/>
      </c>
      <c r="X62" s="47">
        <f>Q62-W62</f>
        <v/>
      </c>
      <c r="Y62" s="47">
        <f>R62-W62</f>
        <v/>
      </c>
      <c r="Z62" s="47">
        <f>MAX(Q62,R62)-W62</f>
        <v/>
      </c>
      <c r="AA62" s="47" t="n">
        <v>0</v>
      </c>
    </row>
    <row r="63">
      <c r="A63" s="47">
        <f>Model_Data!A63</f>
        <v/>
      </c>
      <c r="B63" s="47">
        <f>Model_Data!Y63</f>
        <v/>
      </c>
      <c r="C63" s="47">
        <f>Model_Data!X63</f>
        <v/>
      </c>
      <c r="D63" s="47">
        <f>Model_Data!B63</f>
        <v/>
      </c>
      <c r="E63" s="47">
        <f>Inputs!$C$6</f>
        <v/>
      </c>
      <c r="F63" s="47">
        <f>Subsurface_Inputs!$C$5+Subsurface_Inputs!$C$6*SIN(2*PI()*(A63+Subsurface_Inputs!$C$7)/Subsurface_Inputs!$C$8)+Subsurface_Inputs!$C$9*COS(2*PI()*A63/Subsurface_Inputs!$C$10)+Subsurface_Inputs!$C$11*(B63-AVERAGE($B$2:$B$242))</f>
        <v/>
      </c>
      <c r="G63" s="47">
        <f>B63-F63</f>
        <v/>
      </c>
      <c r="H63" s="47">
        <f>MIN(1,MAX(0,Subsurface_Inputs!$C$13*EXP(-0.5*((A63-Subsurface_Inputs!$C$14)/Subsurface_Inputs!$C$15)^2)+Subsurface_Inputs!$C$16*EXP(-0.5*((A63-Subsurface_Inputs!$C$17)/Subsurface_Inputs!$C$18)^2)))</f>
        <v/>
      </c>
      <c r="I63" s="47">
        <f>Subsurface_Inputs!$C$19+Subsurface_Inputs!$C$20*SIN(2*PI()*(A63-Subsurface_Inputs!$C$21)/Subsurface_Inputs!$C$22)-Subsurface_Inputs!$C$23*H63</f>
        <v/>
      </c>
      <c r="J63" s="47">
        <f>B63-I63</f>
        <v/>
      </c>
      <c r="K63" s="47">
        <f>Subsurface_Inputs!$C$25+Subsurface_Inputs!$C$26*SIN(2*PI()*(A63+Subsurface_Inputs!$C$27)/Subsurface_Inputs!$C$28)+Subsurface_Inputs!$C$29*COS(2*PI()*(A63-Subsurface_Inputs!$C$30)/Subsurface_Inputs!$C$31)-Subsurface_Inputs!$C$32*(B63-AVERAGE($B$2:$B$242))</f>
        <v/>
      </c>
      <c r="L63" s="47">
        <f>B63-K63</f>
        <v/>
      </c>
      <c r="M63" s="47">
        <f>2*Subsurface_Inputs!$C$34*F63/Subsurface_Inputs!$C$35*1000000</f>
        <v/>
      </c>
      <c r="N63" s="47">
        <f>2*Subsurface_Inputs!$C$34*I63/Subsurface_Inputs!$C$35*1000000</f>
        <v/>
      </c>
      <c r="O63" s="47">
        <f>2*Subsurface_Inputs!$C$34*K63/Subsurface_Inputs!$C$35*1000000</f>
        <v/>
      </c>
      <c r="P63" s="47">
        <f>Subsurface_Inputs!$C$37-2*Subsurface_Inputs!$C$36*(F63/1000)</f>
        <v/>
      </c>
      <c r="Q63" s="47">
        <f>Subsurface_Inputs!$C$38+Subsurface_Inputs!$C$39*H63-2*Subsurface_Inputs!$C$36*(I63/1000)</f>
        <v/>
      </c>
      <c r="R63" s="47">
        <f>Subsurface_Inputs!$C$40-2*Subsurface_Inputs!$C$36*(K63/1000)-Subsurface_Inputs!$C$41*ABS(L63-AVERAGE($L$2:$L$242))</f>
        <v/>
      </c>
      <c r="S63" s="47">
        <f>K63-AVERAGE($K$2:$K$242)</f>
        <v/>
      </c>
      <c r="T63" s="47">
        <f>K63/F63</f>
        <v/>
      </c>
      <c r="U63" s="50">
        <f>IF(H63&gt;=Subsurface_Inputs!$C$42,"Lens visible","Weak/no lens")</f>
        <v/>
      </c>
      <c r="V63" s="50">
        <f>IF(R63&gt;=W63,"Likely visible","Weak")</f>
        <v/>
      </c>
      <c r="W63" s="47">
        <f>Subsurface_Inputs!$C$43</f>
        <v/>
      </c>
      <c r="X63" s="47">
        <f>Q63-W63</f>
        <v/>
      </c>
      <c r="Y63" s="47">
        <f>R63-W63</f>
        <v/>
      </c>
      <c r="Z63" s="47">
        <f>MAX(Q63,R63)-W63</f>
        <v/>
      </c>
      <c r="AA63" s="47" t="n">
        <v>0</v>
      </c>
    </row>
    <row r="64">
      <c r="A64" s="47">
        <f>Model_Data!A64</f>
        <v/>
      </c>
      <c r="B64" s="47">
        <f>Model_Data!Y64</f>
        <v/>
      </c>
      <c r="C64" s="47">
        <f>Model_Data!X64</f>
        <v/>
      </c>
      <c r="D64" s="47">
        <f>Model_Data!B64</f>
        <v/>
      </c>
      <c r="E64" s="47">
        <f>Inputs!$C$6</f>
        <v/>
      </c>
      <c r="F64" s="47">
        <f>Subsurface_Inputs!$C$5+Subsurface_Inputs!$C$6*SIN(2*PI()*(A64+Subsurface_Inputs!$C$7)/Subsurface_Inputs!$C$8)+Subsurface_Inputs!$C$9*COS(2*PI()*A64/Subsurface_Inputs!$C$10)+Subsurface_Inputs!$C$11*(B64-AVERAGE($B$2:$B$242))</f>
        <v/>
      </c>
      <c r="G64" s="47">
        <f>B64-F64</f>
        <v/>
      </c>
      <c r="H64" s="47">
        <f>MIN(1,MAX(0,Subsurface_Inputs!$C$13*EXP(-0.5*((A64-Subsurface_Inputs!$C$14)/Subsurface_Inputs!$C$15)^2)+Subsurface_Inputs!$C$16*EXP(-0.5*((A64-Subsurface_Inputs!$C$17)/Subsurface_Inputs!$C$18)^2)))</f>
        <v/>
      </c>
      <c r="I64" s="47">
        <f>Subsurface_Inputs!$C$19+Subsurface_Inputs!$C$20*SIN(2*PI()*(A64-Subsurface_Inputs!$C$21)/Subsurface_Inputs!$C$22)-Subsurface_Inputs!$C$23*H64</f>
        <v/>
      </c>
      <c r="J64" s="47">
        <f>B64-I64</f>
        <v/>
      </c>
      <c r="K64" s="47">
        <f>Subsurface_Inputs!$C$25+Subsurface_Inputs!$C$26*SIN(2*PI()*(A64+Subsurface_Inputs!$C$27)/Subsurface_Inputs!$C$28)+Subsurface_Inputs!$C$29*COS(2*PI()*(A64-Subsurface_Inputs!$C$30)/Subsurface_Inputs!$C$31)-Subsurface_Inputs!$C$32*(B64-AVERAGE($B$2:$B$242))</f>
        <v/>
      </c>
      <c r="L64" s="47">
        <f>B64-K64</f>
        <v/>
      </c>
      <c r="M64" s="47">
        <f>2*Subsurface_Inputs!$C$34*F64/Subsurface_Inputs!$C$35*1000000</f>
        <v/>
      </c>
      <c r="N64" s="47">
        <f>2*Subsurface_Inputs!$C$34*I64/Subsurface_Inputs!$C$35*1000000</f>
        <v/>
      </c>
      <c r="O64" s="47">
        <f>2*Subsurface_Inputs!$C$34*K64/Subsurface_Inputs!$C$35*1000000</f>
        <v/>
      </c>
      <c r="P64" s="47">
        <f>Subsurface_Inputs!$C$37-2*Subsurface_Inputs!$C$36*(F64/1000)</f>
        <v/>
      </c>
      <c r="Q64" s="47">
        <f>Subsurface_Inputs!$C$38+Subsurface_Inputs!$C$39*H64-2*Subsurface_Inputs!$C$36*(I64/1000)</f>
        <v/>
      </c>
      <c r="R64" s="47">
        <f>Subsurface_Inputs!$C$40-2*Subsurface_Inputs!$C$36*(K64/1000)-Subsurface_Inputs!$C$41*ABS(L64-AVERAGE($L$2:$L$242))</f>
        <v/>
      </c>
      <c r="S64" s="47">
        <f>K64-AVERAGE($K$2:$K$242)</f>
        <v/>
      </c>
      <c r="T64" s="47">
        <f>K64/F64</f>
        <v/>
      </c>
      <c r="U64" s="50">
        <f>IF(H64&gt;=Subsurface_Inputs!$C$42,"Lens visible","Weak/no lens")</f>
        <v/>
      </c>
      <c r="V64" s="50">
        <f>IF(R64&gt;=W64,"Likely visible","Weak")</f>
        <v/>
      </c>
      <c r="W64" s="47">
        <f>Subsurface_Inputs!$C$43</f>
        <v/>
      </c>
      <c r="X64" s="47">
        <f>Q64-W64</f>
        <v/>
      </c>
      <c r="Y64" s="47">
        <f>R64-W64</f>
        <v/>
      </c>
      <c r="Z64" s="47">
        <f>MAX(Q64,R64)-W64</f>
        <v/>
      </c>
      <c r="AA64" s="47" t="n">
        <v>0</v>
      </c>
    </row>
    <row r="65">
      <c r="A65" s="47">
        <f>Model_Data!A65</f>
        <v/>
      </c>
      <c r="B65" s="47">
        <f>Model_Data!Y65</f>
        <v/>
      </c>
      <c r="C65" s="47">
        <f>Model_Data!X65</f>
        <v/>
      </c>
      <c r="D65" s="47">
        <f>Model_Data!B65</f>
        <v/>
      </c>
      <c r="E65" s="47">
        <f>Inputs!$C$6</f>
        <v/>
      </c>
      <c r="F65" s="47">
        <f>Subsurface_Inputs!$C$5+Subsurface_Inputs!$C$6*SIN(2*PI()*(A65+Subsurface_Inputs!$C$7)/Subsurface_Inputs!$C$8)+Subsurface_Inputs!$C$9*COS(2*PI()*A65/Subsurface_Inputs!$C$10)+Subsurface_Inputs!$C$11*(B65-AVERAGE($B$2:$B$242))</f>
        <v/>
      </c>
      <c r="G65" s="47">
        <f>B65-F65</f>
        <v/>
      </c>
      <c r="H65" s="47">
        <f>MIN(1,MAX(0,Subsurface_Inputs!$C$13*EXP(-0.5*((A65-Subsurface_Inputs!$C$14)/Subsurface_Inputs!$C$15)^2)+Subsurface_Inputs!$C$16*EXP(-0.5*((A65-Subsurface_Inputs!$C$17)/Subsurface_Inputs!$C$18)^2)))</f>
        <v/>
      </c>
      <c r="I65" s="47">
        <f>Subsurface_Inputs!$C$19+Subsurface_Inputs!$C$20*SIN(2*PI()*(A65-Subsurface_Inputs!$C$21)/Subsurface_Inputs!$C$22)-Subsurface_Inputs!$C$23*H65</f>
        <v/>
      </c>
      <c r="J65" s="47">
        <f>B65-I65</f>
        <v/>
      </c>
      <c r="K65" s="47">
        <f>Subsurface_Inputs!$C$25+Subsurface_Inputs!$C$26*SIN(2*PI()*(A65+Subsurface_Inputs!$C$27)/Subsurface_Inputs!$C$28)+Subsurface_Inputs!$C$29*COS(2*PI()*(A65-Subsurface_Inputs!$C$30)/Subsurface_Inputs!$C$31)-Subsurface_Inputs!$C$32*(B65-AVERAGE($B$2:$B$242))</f>
        <v/>
      </c>
      <c r="L65" s="47">
        <f>B65-K65</f>
        <v/>
      </c>
      <c r="M65" s="47">
        <f>2*Subsurface_Inputs!$C$34*F65/Subsurface_Inputs!$C$35*1000000</f>
        <v/>
      </c>
      <c r="N65" s="47">
        <f>2*Subsurface_Inputs!$C$34*I65/Subsurface_Inputs!$C$35*1000000</f>
        <v/>
      </c>
      <c r="O65" s="47">
        <f>2*Subsurface_Inputs!$C$34*K65/Subsurface_Inputs!$C$35*1000000</f>
        <v/>
      </c>
      <c r="P65" s="47">
        <f>Subsurface_Inputs!$C$37-2*Subsurface_Inputs!$C$36*(F65/1000)</f>
        <v/>
      </c>
      <c r="Q65" s="47">
        <f>Subsurface_Inputs!$C$38+Subsurface_Inputs!$C$39*H65-2*Subsurface_Inputs!$C$36*(I65/1000)</f>
        <v/>
      </c>
      <c r="R65" s="47">
        <f>Subsurface_Inputs!$C$40-2*Subsurface_Inputs!$C$36*(K65/1000)-Subsurface_Inputs!$C$41*ABS(L65-AVERAGE($L$2:$L$242))</f>
        <v/>
      </c>
      <c r="S65" s="47">
        <f>K65-AVERAGE($K$2:$K$242)</f>
        <v/>
      </c>
      <c r="T65" s="47">
        <f>K65/F65</f>
        <v/>
      </c>
      <c r="U65" s="50">
        <f>IF(H65&gt;=Subsurface_Inputs!$C$42,"Lens visible","Weak/no lens")</f>
        <v/>
      </c>
      <c r="V65" s="50">
        <f>IF(R65&gt;=W65,"Likely visible","Weak")</f>
        <v/>
      </c>
      <c r="W65" s="47">
        <f>Subsurface_Inputs!$C$43</f>
        <v/>
      </c>
      <c r="X65" s="47">
        <f>Q65-W65</f>
        <v/>
      </c>
      <c r="Y65" s="47">
        <f>R65-W65</f>
        <v/>
      </c>
      <c r="Z65" s="47">
        <f>MAX(Q65,R65)-W65</f>
        <v/>
      </c>
      <c r="AA65" s="47" t="n">
        <v>0</v>
      </c>
    </row>
    <row r="66">
      <c r="A66" s="47">
        <f>Model_Data!A66</f>
        <v/>
      </c>
      <c r="B66" s="47">
        <f>Model_Data!Y66</f>
        <v/>
      </c>
      <c r="C66" s="47">
        <f>Model_Data!X66</f>
        <v/>
      </c>
      <c r="D66" s="47">
        <f>Model_Data!B66</f>
        <v/>
      </c>
      <c r="E66" s="47">
        <f>Inputs!$C$6</f>
        <v/>
      </c>
      <c r="F66" s="47">
        <f>Subsurface_Inputs!$C$5+Subsurface_Inputs!$C$6*SIN(2*PI()*(A66+Subsurface_Inputs!$C$7)/Subsurface_Inputs!$C$8)+Subsurface_Inputs!$C$9*COS(2*PI()*A66/Subsurface_Inputs!$C$10)+Subsurface_Inputs!$C$11*(B66-AVERAGE($B$2:$B$242))</f>
        <v/>
      </c>
      <c r="G66" s="47">
        <f>B66-F66</f>
        <v/>
      </c>
      <c r="H66" s="47">
        <f>MIN(1,MAX(0,Subsurface_Inputs!$C$13*EXP(-0.5*((A66-Subsurface_Inputs!$C$14)/Subsurface_Inputs!$C$15)^2)+Subsurface_Inputs!$C$16*EXP(-0.5*((A66-Subsurface_Inputs!$C$17)/Subsurface_Inputs!$C$18)^2)))</f>
        <v/>
      </c>
      <c r="I66" s="47">
        <f>Subsurface_Inputs!$C$19+Subsurface_Inputs!$C$20*SIN(2*PI()*(A66-Subsurface_Inputs!$C$21)/Subsurface_Inputs!$C$22)-Subsurface_Inputs!$C$23*H66</f>
        <v/>
      </c>
      <c r="J66" s="47">
        <f>B66-I66</f>
        <v/>
      </c>
      <c r="K66" s="47">
        <f>Subsurface_Inputs!$C$25+Subsurface_Inputs!$C$26*SIN(2*PI()*(A66+Subsurface_Inputs!$C$27)/Subsurface_Inputs!$C$28)+Subsurface_Inputs!$C$29*COS(2*PI()*(A66-Subsurface_Inputs!$C$30)/Subsurface_Inputs!$C$31)-Subsurface_Inputs!$C$32*(B66-AVERAGE($B$2:$B$242))</f>
        <v/>
      </c>
      <c r="L66" s="47">
        <f>B66-K66</f>
        <v/>
      </c>
      <c r="M66" s="47">
        <f>2*Subsurface_Inputs!$C$34*F66/Subsurface_Inputs!$C$35*1000000</f>
        <v/>
      </c>
      <c r="N66" s="47">
        <f>2*Subsurface_Inputs!$C$34*I66/Subsurface_Inputs!$C$35*1000000</f>
        <v/>
      </c>
      <c r="O66" s="47">
        <f>2*Subsurface_Inputs!$C$34*K66/Subsurface_Inputs!$C$35*1000000</f>
        <v/>
      </c>
      <c r="P66" s="47">
        <f>Subsurface_Inputs!$C$37-2*Subsurface_Inputs!$C$36*(F66/1000)</f>
        <v/>
      </c>
      <c r="Q66" s="47">
        <f>Subsurface_Inputs!$C$38+Subsurface_Inputs!$C$39*H66-2*Subsurface_Inputs!$C$36*(I66/1000)</f>
        <v/>
      </c>
      <c r="R66" s="47">
        <f>Subsurface_Inputs!$C$40-2*Subsurface_Inputs!$C$36*(K66/1000)-Subsurface_Inputs!$C$41*ABS(L66-AVERAGE($L$2:$L$242))</f>
        <v/>
      </c>
      <c r="S66" s="47">
        <f>K66-AVERAGE($K$2:$K$242)</f>
        <v/>
      </c>
      <c r="T66" s="47">
        <f>K66/F66</f>
        <v/>
      </c>
      <c r="U66" s="50">
        <f>IF(H66&gt;=Subsurface_Inputs!$C$42,"Lens visible","Weak/no lens")</f>
        <v/>
      </c>
      <c r="V66" s="50">
        <f>IF(R66&gt;=W66,"Likely visible","Weak")</f>
        <v/>
      </c>
      <c r="W66" s="47">
        <f>Subsurface_Inputs!$C$43</f>
        <v/>
      </c>
      <c r="X66" s="47">
        <f>Q66-W66</f>
        <v/>
      </c>
      <c r="Y66" s="47">
        <f>R66-W66</f>
        <v/>
      </c>
      <c r="Z66" s="47">
        <f>MAX(Q66,R66)-W66</f>
        <v/>
      </c>
      <c r="AA66" s="47" t="n">
        <v>0</v>
      </c>
    </row>
    <row r="67">
      <c r="A67" s="47">
        <f>Model_Data!A67</f>
        <v/>
      </c>
      <c r="B67" s="47">
        <f>Model_Data!Y67</f>
        <v/>
      </c>
      <c r="C67" s="47">
        <f>Model_Data!X67</f>
        <v/>
      </c>
      <c r="D67" s="47">
        <f>Model_Data!B67</f>
        <v/>
      </c>
      <c r="E67" s="47">
        <f>Inputs!$C$6</f>
        <v/>
      </c>
      <c r="F67" s="47">
        <f>Subsurface_Inputs!$C$5+Subsurface_Inputs!$C$6*SIN(2*PI()*(A67+Subsurface_Inputs!$C$7)/Subsurface_Inputs!$C$8)+Subsurface_Inputs!$C$9*COS(2*PI()*A67/Subsurface_Inputs!$C$10)+Subsurface_Inputs!$C$11*(B67-AVERAGE($B$2:$B$242))</f>
        <v/>
      </c>
      <c r="G67" s="47">
        <f>B67-F67</f>
        <v/>
      </c>
      <c r="H67" s="47">
        <f>MIN(1,MAX(0,Subsurface_Inputs!$C$13*EXP(-0.5*((A67-Subsurface_Inputs!$C$14)/Subsurface_Inputs!$C$15)^2)+Subsurface_Inputs!$C$16*EXP(-0.5*((A67-Subsurface_Inputs!$C$17)/Subsurface_Inputs!$C$18)^2)))</f>
        <v/>
      </c>
      <c r="I67" s="47">
        <f>Subsurface_Inputs!$C$19+Subsurface_Inputs!$C$20*SIN(2*PI()*(A67-Subsurface_Inputs!$C$21)/Subsurface_Inputs!$C$22)-Subsurface_Inputs!$C$23*H67</f>
        <v/>
      </c>
      <c r="J67" s="47">
        <f>B67-I67</f>
        <v/>
      </c>
      <c r="K67" s="47">
        <f>Subsurface_Inputs!$C$25+Subsurface_Inputs!$C$26*SIN(2*PI()*(A67+Subsurface_Inputs!$C$27)/Subsurface_Inputs!$C$28)+Subsurface_Inputs!$C$29*COS(2*PI()*(A67-Subsurface_Inputs!$C$30)/Subsurface_Inputs!$C$31)-Subsurface_Inputs!$C$32*(B67-AVERAGE($B$2:$B$242))</f>
        <v/>
      </c>
      <c r="L67" s="47">
        <f>B67-K67</f>
        <v/>
      </c>
      <c r="M67" s="47">
        <f>2*Subsurface_Inputs!$C$34*F67/Subsurface_Inputs!$C$35*1000000</f>
        <v/>
      </c>
      <c r="N67" s="47">
        <f>2*Subsurface_Inputs!$C$34*I67/Subsurface_Inputs!$C$35*1000000</f>
        <v/>
      </c>
      <c r="O67" s="47">
        <f>2*Subsurface_Inputs!$C$34*K67/Subsurface_Inputs!$C$35*1000000</f>
        <v/>
      </c>
      <c r="P67" s="47">
        <f>Subsurface_Inputs!$C$37-2*Subsurface_Inputs!$C$36*(F67/1000)</f>
        <v/>
      </c>
      <c r="Q67" s="47">
        <f>Subsurface_Inputs!$C$38+Subsurface_Inputs!$C$39*H67-2*Subsurface_Inputs!$C$36*(I67/1000)</f>
        <v/>
      </c>
      <c r="R67" s="47">
        <f>Subsurface_Inputs!$C$40-2*Subsurface_Inputs!$C$36*(K67/1000)-Subsurface_Inputs!$C$41*ABS(L67-AVERAGE($L$2:$L$242))</f>
        <v/>
      </c>
      <c r="S67" s="47">
        <f>K67-AVERAGE($K$2:$K$242)</f>
        <v/>
      </c>
      <c r="T67" s="47">
        <f>K67/F67</f>
        <v/>
      </c>
      <c r="U67" s="50">
        <f>IF(H67&gt;=Subsurface_Inputs!$C$42,"Lens visible","Weak/no lens")</f>
        <v/>
      </c>
      <c r="V67" s="50">
        <f>IF(R67&gt;=W67,"Likely visible","Weak")</f>
        <v/>
      </c>
      <c r="W67" s="47">
        <f>Subsurface_Inputs!$C$43</f>
        <v/>
      </c>
      <c r="X67" s="47">
        <f>Q67-W67</f>
        <v/>
      </c>
      <c r="Y67" s="47">
        <f>R67-W67</f>
        <v/>
      </c>
      <c r="Z67" s="47">
        <f>MAX(Q67,R67)-W67</f>
        <v/>
      </c>
      <c r="AA67" s="47" t="n">
        <v>0</v>
      </c>
    </row>
    <row r="68">
      <c r="A68" s="47">
        <f>Model_Data!A68</f>
        <v/>
      </c>
      <c r="B68" s="47">
        <f>Model_Data!Y68</f>
        <v/>
      </c>
      <c r="C68" s="47">
        <f>Model_Data!X68</f>
        <v/>
      </c>
      <c r="D68" s="47">
        <f>Model_Data!B68</f>
        <v/>
      </c>
      <c r="E68" s="47">
        <f>Inputs!$C$6</f>
        <v/>
      </c>
      <c r="F68" s="47">
        <f>Subsurface_Inputs!$C$5+Subsurface_Inputs!$C$6*SIN(2*PI()*(A68+Subsurface_Inputs!$C$7)/Subsurface_Inputs!$C$8)+Subsurface_Inputs!$C$9*COS(2*PI()*A68/Subsurface_Inputs!$C$10)+Subsurface_Inputs!$C$11*(B68-AVERAGE($B$2:$B$242))</f>
        <v/>
      </c>
      <c r="G68" s="47">
        <f>B68-F68</f>
        <v/>
      </c>
      <c r="H68" s="47">
        <f>MIN(1,MAX(0,Subsurface_Inputs!$C$13*EXP(-0.5*((A68-Subsurface_Inputs!$C$14)/Subsurface_Inputs!$C$15)^2)+Subsurface_Inputs!$C$16*EXP(-0.5*((A68-Subsurface_Inputs!$C$17)/Subsurface_Inputs!$C$18)^2)))</f>
        <v/>
      </c>
      <c r="I68" s="47">
        <f>Subsurface_Inputs!$C$19+Subsurface_Inputs!$C$20*SIN(2*PI()*(A68-Subsurface_Inputs!$C$21)/Subsurface_Inputs!$C$22)-Subsurface_Inputs!$C$23*H68</f>
        <v/>
      </c>
      <c r="J68" s="47">
        <f>B68-I68</f>
        <v/>
      </c>
      <c r="K68" s="47">
        <f>Subsurface_Inputs!$C$25+Subsurface_Inputs!$C$26*SIN(2*PI()*(A68+Subsurface_Inputs!$C$27)/Subsurface_Inputs!$C$28)+Subsurface_Inputs!$C$29*COS(2*PI()*(A68-Subsurface_Inputs!$C$30)/Subsurface_Inputs!$C$31)-Subsurface_Inputs!$C$32*(B68-AVERAGE($B$2:$B$242))</f>
        <v/>
      </c>
      <c r="L68" s="47">
        <f>B68-K68</f>
        <v/>
      </c>
      <c r="M68" s="47">
        <f>2*Subsurface_Inputs!$C$34*F68/Subsurface_Inputs!$C$35*1000000</f>
        <v/>
      </c>
      <c r="N68" s="47">
        <f>2*Subsurface_Inputs!$C$34*I68/Subsurface_Inputs!$C$35*1000000</f>
        <v/>
      </c>
      <c r="O68" s="47">
        <f>2*Subsurface_Inputs!$C$34*K68/Subsurface_Inputs!$C$35*1000000</f>
        <v/>
      </c>
      <c r="P68" s="47">
        <f>Subsurface_Inputs!$C$37-2*Subsurface_Inputs!$C$36*(F68/1000)</f>
        <v/>
      </c>
      <c r="Q68" s="47">
        <f>Subsurface_Inputs!$C$38+Subsurface_Inputs!$C$39*H68-2*Subsurface_Inputs!$C$36*(I68/1000)</f>
        <v/>
      </c>
      <c r="R68" s="47">
        <f>Subsurface_Inputs!$C$40-2*Subsurface_Inputs!$C$36*(K68/1000)-Subsurface_Inputs!$C$41*ABS(L68-AVERAGE($L$2:$L$242))</f>
        <v/>
      </c>
      <c r="S68" s="47">
        <f>K68-AVERAGE($K$2:$K$242)</f>
        <v/>
      </c>
      <c r="T68" s="47">
        <f>K68/F68</f>
        <v/>
      </c>
      <c r="U68" s="50">
        <f>IF(H68&gt;=Subsurface_Inputs!$C$42,"Lens visible","Weak/no lens")</f>
        <v/>
      </c>
      <c r="V68" s="50">
        <f>IF(R68&gt;=W68,"Likely visible","Weak")</f>
        <v/>
      </c>
      <c r="W68" s="47">
        <f>Subsurface_Inputs!$C$43</f>
        <v/>
      </c>
      <c r="X68" s="47">
        <f>Q68-W68</f>
        <v/>
      </c>
      <c r="Y68" s="47">
        <f>R68-W68</f>
        <v/>
      </c>
      <c r="Z68" s="47">
        <f>MAX(Q68,R68)-W68</f>
        <v/>
      </c>
      <c r="AA68" s="47" t="n">
        <v>0</v>
      </c>
    </row>
    <row r="69">
      <c r="A69" s="47">
        <f>Model_Data!A69</f>
        <v/>
      </c>
      <c r="B69" s="47">
        <f>Model_Data!Y69</f>
        <v/>
      </c>
      <c r="C69" s="47">
        <f>Model_Data!X69</f>
        <v/>
      </c>
      <c r="D69" s="47">
        <f>Model_Data!B69</f>
        <v/>
      </c>
      <c r="E69" s="47">
        <f>Inputs!$C$6</f>
        <v/>
      </c>
      <c r="F69" s="47">
        <f>Subsurface_Inputs!$C$5+Subsurface_Inputs!$C$6*SIN(2*PI()*(A69+Subsurface_Inputs!$C$7)/Subsurface_Inputs!$C$8)+Subsurface_Inputs!$C$9*COS(2*PI()*A69/Subsurface_Inputs!$C$10)+Subsurface_Inputs!$C$11*(B69-AVERAGE($B$2:$B$242))</f>
        <v/>
      </c>
      <c r="G69" s="47">
        <f>B69-F69</f>
        <v/>
      </c>
      <c r="H69" s="47">
        <f>MIN(1,MAX(0,Subsurface_Inputs!$C$13*EXP(-0.5*((A69-Subsurface_Inputs!$C$14)/Subsurface_Inputs!$C$15)^2)+Subsurface_Inputs!$C$16*EXP(-0.5*((A69-Subsurface_Inputs!$C$17)/Subsurface_Inputs!$C$18)^2)))</f>
        <v/>
      </c>
      <c r="I69" s="47">
        <f>Subsurface_Inputs!$C$19+Subsurface_Inputs!$C$20*SIN(2*PI()*(A69-Subsurface_Inputs!$C$21)/Subsurface_Inputs!$C$22)-Subsurface_Inputs!$C$23*H69</f>
        <v/>
      </c>
      <c r="J69" s="47">
        <f>B69-I69</f>
        <v/>
      </c>
      <c r="K69" s="47">
        <f>Subsurface_Inputs!$C$25+Subsurface_Inputs!$C$26*SIN(2*PI()*(A69+Subsurface_Inputs!$C$27)/Subsurface_Inputs!$C$28)+Subsurface_Inputs!$C$29*COS(2*PI()*(A69-Subsurface_Inputs!$C$30)/Subsurface_Inputs!$C$31)-Subsurface_Inputs!$C$32*(B69-AVERAGE($B$2:$B$242))</f>
        <v/>
      </c>
      <c r="L69" s="47">
        <f>B69-K69</f>
        <v/>
      </c>
      <c r="M69" s="47">
        <f>2*Subsurface_Inputs!$C$34*F69/Subsurface_Inputs!$C$35*1000000</f>
        <v/>
      </c>
      <c r="N69" s="47">
        <f>2*Subsurface_Inputs!$C$34*I69/Subsurface_Inputs!$C$35*1000000</f>
        <v/>
      </c>
      <c r="O69" s="47">
        <f>2*Subsurface_Inputs!$C$34*K69/Subsurface_Inputs!$C$35*1000000</f>
        <v/>
      </c>
      <c r="P69" s="47">
        <f>Subsurface_Inputs!$C$37-2*Subsurface_Inputs!$C$36*(F69/1000)</f>
        <v/>
      </c>
      <c r="Q69" s="47">
        <f>Subsurface_Inputs!$C$38+Subsurface_Inputs!$C$39*H69-2*Subsurface_Inputs!$C$36*(I69/1000)</f>
        <v/>
      </c>
      <c r="R69" s="47">
        <f>Subsurface_Inputs!$C$40-2*Subsurface_Inputs!$C$36*(K69/1000)-Subsurface_Inputs!$C$41*ABS(L69-AVERAGE($L$2:$L$242))</f>
        <v/>
      </c>
      <c r="S69" s="47">
        <f>K69-AVERAGE($K$2:$K$242)</f>
        <v/>
      </c>
      <c r="T69" s="47">
        <f>K69/F69</f>
        <v/>
      </c>
      <c r="U69" s="50">
        <f>IF(H69&gt;=Subsurface_Inputs!$C$42,"Lens visible","Weak/no lens")</f>
        <v/>
      </c>
      <c r="V69" s="50">
        <f>IF(R69&gt;=W69,"Likely visible","Weak")</f>
        <v/>
      </c>
      <c r="W69" s="47">
        <f>Subsurface_Inputs!$C$43</f>
        <v/>
      </c>
      <c r="X69" s="47">
        <f>Q69-W69</f>
        <v/>
      </c>
      <c r="Y69" s="47">
        <f>R69-W69</f>
        <v/>
      </c>
      <c r="Z69" s="47">
        <f>MAX(Q69,R69)-W69</f>
        <v/>
      </c>
      <c r="AA69" s="47" t="n">
        <v>0</v>
      </c>
    </row>
    <row r="70">
      <c r="A70" s="47">
        <f>Model_Data!A70</f>
        <v/>
      </c>
      <c r="B70" s="47">
        <f>Model_Data!Y70</f>
        <v/>
      </c>
      <c r="C70" s="47">
        <f>Model_Data!X70</f>
        <v/>
      </c>
      <c r="D70" s="47">
        <f>Model_Data!B70</f>
        <v/>
      </c>
      <c r="E70" s="47">
        <f>Inputs!$C$6</f>
        <v/>
      </c>
      <c r="F70" s="47">
        <f>Subsurface_Inputs!$C$5+Subsurface_Inputs!$C$6*SIN(2*PI()*(A70+Subsurface_Inputs!$C$7)/Subsurface_Inputs!$C$8)+Subsurface_Inputs!$C$9*COS(2*PI()*A70/Subsurface_Inputs!$C$10)+Subsurface_Inputs!$C$11*(B70-AVERAGE($B$2:$B$242))</f>
        <v/>
      </c>
      <c r="G70" s="47">
        <f>B70-F70</f>
        <v/>
      </c>
      <c r="H70" s="47">
        <f>MIN(1,MAX(0,Subsurface_Inputs!$C$13*EXP(-0.5*((A70-Subsurface_Inputs!$C$14)/Subsurface_Inputs!$C$15)^2)+Subsurface_Inputs!$C$16*EXP(-0.5*((A70-Subsurface_Inputs!$C$17)/Subsurface_Inputs!$C$18)^2)))</f>
        <v/>
      </c>
      <c r="I70" s="47">
        <f>Subsurface_Inputs!$C$19+Subsurface_Inputs!$C$20*SIN(2*PI()*(A70-Subsurface_Inputs!$C$21)/Subsurface_Inputs!$C$22)-Subsurface_Inputs!$C$23*H70</f>
        <v/>
      </c>
      <c r="J70" s="47">
        <f>B70-I70</f>
        <v/>
      </c>
      <c r="K70" s="47">
        <f>Subsurface_Inputs!$C$25+Subsurface_Inputs!$C$26*SIN(2*PI()*(A70+Subsurface_Inputs!$C$27)/Subsurface_Inputs!$C$28)+Subsurface_Inputs!$C$29*COS(2*PI()*(A70-Subsurface_Inputs!$C$30)/Subsurface_Inputs!$C$31)-Subsurface_Inputs!$C$32*(B70-AVERAGE($B$2:$B$242))</f>
        <v/>
      </c>
      <c r="L70" s="47">
        <f>B70-K70</f>
        <v/>
      </c>
      <c r="M70" s="47">
        <f>2*Subsurface_Inputs!$C$34*F70/Subsurface_Inputs!$C$35*1000000</f>
        <v/>
      </c>
      <c r="N70" s="47">
        <f>2*Subsurface_Inputs!$C$34*I70/Subsurface_Inputs!$C$35*1000000</f>
        <v/>
      </c>
      <c r="O70" s="47">
        <f>2*Subsurface_Inputs!$C$34*K70/Subsurface_Inputs!$C$35*1000000</f>
        <v/>
      </c>
      <c r="P70" s="47">
        <f>Subsurface_Inputs!$C$37-2*Subsurface_Inputs!$C$36*(F70/1000)</f>
        <v/>
      </c>
      <c r="Q70" s="47">
        <f>Subsurface_Inputs!$C$38+Subsurface_Inputs!$C$39*H70-2*Subsurface_Inputs!$C$36*(I70/1000)</f>
        <v/>
      </c>
      <c r="R70" s="47">
        <f>Subsurface_Inputs!$C$40-2*Subsurface_Inputs!$C$36*(K70/1000)-Subsurface_Inputs!$C$41*ABS(L70-AVERAGE($L$2:$L$242))</f>
        <v/>
      </c>
      <c r="S70" s="47">
        <f>K70-AVERAGE($K$2:$K$242)</f>
        <v/>
      </c>
      <c r="T70" s="47">
        <f>K70/F70</f>
        <v/>
      </c>
      <c r="U70" s="50">
        <f>IF(H70&gt;=Subsurface_Inputs!$C$42,"Lens visible","Weak/no lens")</f>
        <v/>
      </c>
      <c r="V70" s="50">
        <f>IF(R70&gt;=W70,"Likely visible","Weak")</f>
        <v/>
      </c>
      <c r="W70" s="47">
        <f>Subsurface_Inputs!$C$43</f>
        <v/>
      </c>
      <c r="X70" s="47">
        <f>Q70-W70</f>
        <v/>
      </c>
      <c r="Y70" s="47">
        <f>R70-W70</f>
        <v/>
      </c>
      <c r="Z70" s="47">
        <f>MAX(Q70,R70)-W70</f>
        <v/>
      </c>
      <c r="AA70" s="47" t="n">
        <v>0</v>
      </c>
    </row>
    <row r="71">
      <c r="A71" s="47">
        <f>Model_Data!A71</f>
        <v/>
      </c>
      <c r="B71" s="47">
        <f>Model_Data!Y71</f>
        <v/>
      </c>
      <c r="C71" s="47">
        <f>Model_Data!X71</f>
        <v/>
      </c>
      <c r="D71" s="47">
        <f>Model_Data!B71</f>
        <v/>
      </c>
      <c r="E71" s="47">
        <f>Inputs!$C$6</f>
        <v/>
      </c>
      <c r="F71" s="47">
        <f>Subsurface_Inputs!$C$5+Subsurface_Inputs!$C$6*SIN(2*PI()*(A71+Subsurface_Inputs!$C$7)/Subsurface_Inputs!$C$8)+Subsurface_Inputs!$C$9*COS(2*PI()*A71/Subsurface_Inputs!$C$10)+Subsurface_Inputs!$C$11*(B71-AVERAGE($B$2:$B$242))</f>
        <v/>
      </c>
      <c r="G71" s="47">
        <f>B71-F71</f>
        <v/>
      </c>
      <c r="H71" s="47">
        <f>MIN(1,MAX(0,Subsurface_Inputs!$C$13*EXP(-0.5*((A71-Subsurface_Inputs!$C$14)/Subsurface_Inputs!$C$15)^2)+Subsurface_Inputs!$C$16*EXP(-0.5*((A71-Subsurface_Inputs!$C$17)/Subsurface_Inputs!$C$18)^2)))</f>
        <v/>
      </c>
      <c r="I71" s="47">
        <f>Subsurface_Inputs!$C$19+Subsurface_Inputs!$C$20*SIN(2*PI()*(A71-Subsurface_Inputs!$C$21)/Subsurface_Inputs!$C$22)-Subsurface_Inputs!$C$23*H71</f>
        <v/>
      </c>
      <c r="J71" s="47">
        <f>B71-I71</f>
        <v/>
      </c>
      <c r="K71" s="47">
        <f>Subsurface_Inputs!$C$25+Subsurface_Inputs!$C$26*SIN(2*PI()*(A71+Subsurface_Inputs!$C$27)/Subsurface_Inputs!$C$28)+Subsurface_Inputs!$C$29*COS(2*PI()*(A71-Subsurface_Inputs!$C$30)/Subsurface_Inputs!$C$31)-Subsurface_Inputs!$C$32*(B71-AVERAGE($B$2:$B$242))</f>
        <v/>
      </c>
      <c r="L71" s="47">
        <f>B71-K71</f>
        <v/>
      </c>
      <c r="M71" s="47">
        <f>2*Subsurface_Inputs!$C$34*F71/Subsurface_Inputs!$C$35*1000000</f>
        <v/>
      </c>
      <c r="N71" s="47">
        <f>2*Subsurface_Inputs!$C$34*I71/Subsurface_Inputs!$C$35*1000000</f>
        <v/>
      </c>
      <c r="O71" s="47">
        <f>2*Subsurface_Inputs!$C$34*K71/Subsurface_Inputs!$C$35*1000000</f>
        <v/>
      </c>
      <c r="P71" s="47">
        <f>Subsurface_Inputs!$C$37-2*Subsurface_Inputs!$C$36*(F71/1000)</f>
        <v/>
      </c>
      <c r="Q71" s="47">
        <f>Subsurface_Inputs!$C$38+Subsurface_Inputs!$C$39*H71-2*Subsurface_Inputs!$C$36*(I71/1000)</f>
        <v/>
      </c>
      <c r="R71" s="47">
        <f>Subsurface_Inputs!$C$40-2*Subsurface_Inputs!$C$36*(K71/1000)-Subsurface_Inputs!$C$41*ABS(L71-AVERAGE($L$2:$L$242))</f>
        <v/>
      </c>
      <c r="S71" s="47">
        <f>K71-AVERAGE($K$2:$K$242)</f>
        <v/>
      </c>
      <c r="T71" s="47">
        <f>K71/F71</f>
        <v/>
      </c>
      <c r="U71" s="50">
        <f>IF(H71&gt;=Subsurface_Inputs!$C$42,"Lens visible","Weak/no lens")</f>
        <v/>
      </c>
      <c r="V71" s="50">
        <f>IF(R71&gt;=W71,"Likely visible","Weak")</f>
        <v/>
      </c>
      <c r="W71" s="47">
        <f>Subsurface_Inputs!$C$43</f>
        <v/>
      </c>
      <c r="X71" s="47">
        <f>Q71-W71</f>
        <v/>
      </c>
      <c r="Y71" s="47">
        <f>R71-W71</f>
        <v/>
      </c>
      <c r="Z71" s="47">
        <f>MAX(Q71,R71)-W71</f>
        <v/>
      </c>
      <c r="AA71" s="47" t="n">
        <v>0</v>
      </c>
    </row>
    <row r="72">
      <c r="A72" s="47">
        <f>Model_Data!A72</f>
        <v/>
      </c>
      <c r="B72" s="47">
        <f>Model_Data!Y72</f>
        <v/>
      </c>
      <c r="C72" s="47">
        <f>Model_Data!X72</f>
        <v/>
      </c>
      <c r="D72" s="47">
        <f>Model_Data!B72</f>
        <v/>
      </c>
      <c r="E72" s="47">
        <f>Inputs!$C$6</f>
        <v/>
      </c>
      <c r="F72" s="47">
        <f>Subsurface_Inputs!$C$5+Subsurface_Inputs!$C$6*SIN(2*PI()*(A72+Subsurface_Inputs!$C$7)/Subsurface_Inputs!$C$8)+Subsurface_Inputs!$C$9*COS(2*PI()*A72/Subsurface_Inputs!$C$10)+Subsurface_Inputs!$C$11*(B72-AVERAGE($B$2:$B$242))</f>
        <v/>
      </c>
      <c r="G72" s="47">
        <f>B72-F72</f>
        <v/>
      </c>
      <c r="H72" s="47">
        <f>MIN(1,MAX(0,Subsurface_Inputs!$C$13*EXP(-0.5*((A72-Subsurface_Inputs!$C$14)/Subsurface_Inputs!$C$15)^2)+Subsurface_Inputs!$C$16*EXP(-0.5*((A72-Subsurface_Inputs!$C$17)/Subsurface_Inputs!$C$18)^2)))</f>
        <v/>
      </c>
      <c r="I72" s="47">
        <f>Subsurface_Inputs!$C$19+Subsurface_Inputs!$C$20*SIN(2*PI()*(A72-Subsurface_Inputs!$C$21)/Subsurface_Inputs!$C$22)-Subsurface_Inputs!$C$23*H72</f>
        <v/>
      </c>
      <c r="J72" s="47">
        <f>B72-I72</f>
        <v/>
      </c>
      <c r="K72" s="47">
        <f>Subsurface_Inputs!$C$25+Subsurface_Inputs!$C$26*SIN(2*PI()*(A72+Subsurface_Inputs!$C$27)/Subsurface_Inputs!$C$28)+Subsurface_Inputs!$C$29*COS(2*PI()*(A72-Subsurface_Inputs!$C$30)/Subsurface_Inputs!$C$31)-Subsurface_Inputs!$C$32*(B72-AVERAGE($B$2:$B$242))</f>
        <v/>
      </c>
      <c r="L72" s="47">
        <f>B72-K72</f>
        <v/>
      </c>
      <c r="M72" s="47">
        <f>2*Subsurface_Inputs!$C$34*F72/Subsurface_Inputs!$C$35*1000000</f>
        <v/>
      </c>
      <c r="N72" s="47">
        <f>2*Subsurface_Inputs!$C$34*I72/Subsurface_Inputs!$C$35*1000000</f>
        <v/>
      </c>
      <c r="O72" s="47">
        <f>2*Subsurface_Inputs!$C$34*K72/Subsurface_Inputs!$C$35*1000000</f>
        <v/>
      </c>
      <c r="P72" s="47">
        <f>Subsurface_Inputs!$C$37-2*Subsurface_Inputs!$C$36*(F72/1000)</f>
        <v/>
      </c>
      <c r="Q72" s="47">
        <f>Subsurface_Inputs!$C$38+Subsurface_Inputs!$C$39*H72-2*Subsurface_Inputs!$C$36*(I72/1000)</f>
        <v/>
      </c>
      <c r="R72" s="47">
        <f>Subsurface_Inputs!$C$40-2*Subsurface_Inputs!$C$36*(K72/1000)-Subsurface_Inputs!$C$41*ABS(L72-AVERAGE($L$2:$L$242))</f>
        <v/>
      </c>
      <c r="S72" s="47">
        <f>K72-AVERAGE($K$2:$K$242)</f>
        <v/>
      </c>
      <c r="T72" s="47">
        <f>K72/F72</f>
        <v/>
      </c>
      <c r="U72" s="50">
        <f>IF(H72&gt;=Subsurface_Inputs!$C$42,"Lens visible","Weak/no lens")</f>
        <v/>
      </c>
      <c r="V72" s="50">
        <f>IF(R72&gt;=W72,"Likely visible","Weak")</f>
        <v/>
      </c>
      <c r="W72" s="47">
        <f>Subsurface_Inputs!$C$43</f>
        <v/>
      </c>
      <c r="X72" s="47">
        <f>Q72-W72</f>
        <v/>
      </c>
      <c r="Y72" s="47">
        <f>R72-W72</f>
        <v/>
      </c>
      <c r="Z72" s="47">
        <f>MAX(Q72,R72)-W72</f>
        <v/>
      </c>
      <c r="AA72" s="47" t="n">
        <v>0</v>
      </c>
    </row>
    <row r="73">
      <c r="A73" s="47">
        <f>Model_Data!A73</f>
        <v/>
      </c>
      <c r="B73" s="47">
        <f>Model_Data!Y73</f>
        <v/>
      </c>
      <c r="C73" s="47">
        <f>Model_Data!X73</f>
        <v/>
      </c>
      <c r="D73" s="47">
        <f>Model_Data!B73</f>
        <v/>
      </c>
      <c r="E73" s="47">
        <f>Inputs!$C$6</f>
        <v/>
      </c>
      <c r="F73" s="47">
        <f>Subsurface_Inputs!$C$5+Subsurface_Inputs!$C$6*SIN(2*PI()*(A73+Subsurface_Inputs!$C$7)/Subsurface_Inputs!$C$8)+Subsurface_Inputs!$C$9*COS(2*PI()*A73/Subsurface_Inputs!$C$10)+Subsurface_Inputs!$C$11*(B73-AVERAGE($B$2:$B$242))</f>
        <v/>
      </c>
      <c r="G73" s="47">
        <f>B73-F73</f>
        <v/>
      </c>
      <c r="H73" s="47">
        <f>MIN(1,MAX(0,Subsurface_Inputs!$C$13*EXP(-0.5*((A73-Subsurface_Inputs!$C$14)/Subsurface_Inputs!$C$15)^2)+Subsurface_Inputs!$C$16*EXP(-0.5*((A73-Subsurface_Inputs!$C$17)/Subsurface_Inputs!$C$18)^2)))</f>
        <v/>
      </c>
      <c r="I73" s="47">
        <f>Subsurface_Inputs!$C$19+Subsurface_Inputs!$C$20*SIN(2*PI()*(A73-Subsurface_Inputs!$C$21)/Subsurface_Inputs!$C$22)-Subsurface_Inputs!$C$23*H73</f>
        <v/>
      </c>
      <c r="J73" s="47">
        <f>B73-I73</f>
        <v/>
      </c>
      <c r="K73" s="47">
        <f>Subsurface_Inputs!$C$25+Subsurface_Inputs!$C$26*SIN(2*PI()*(A73+Subsurface_Inputs!$C$27)/Subsurface_Inputs!$C$28)+Subsurface_Inputs!$C$29*COS(2*PI()*(A73-Subsurface_Inputs!$C$30)/Subsurface_Inputs!$C$31)-Subsurface_Inputs!$C$32*(B73-AVERAGE($B$2:$B$242))</f>
        <v/>
      </c>
      <c r="L73" s="47">
        <f>B73-K73</f>
        <v/>
      </c>
      <c r="M73" s="47">
        <f>2*Subsurface_Inputs!$C$34*F73/Subsurface_Inputs!$C$35*1000000</f>
        <v/>
      </c>
      <c r="N73" s="47">
        <f>2*Subsurface_Inputs!$C$34*I73/Subsurface_Inputs!$C$35*1000000</f>
        <v/>
      </c>
      <c r="O73" s="47">
        <f>2*Subsurface_Inputs!$C$34*K73/Subsurface_Inputs!$C$35*1000000</f>
        <v/>
      </c>
      <c r="P73" s="47">
        <f>Subsurface_Inputs!$C$37-2*Subsurface_Inputs!$C$36*(F73/1000)</f>
        <v/>
      </c>
      <c r="Q73" s="47">
        <f>Subsurface_Inputs!$C$38+Subsurface_Inputs!$C$39*H73-2*Subsurface_Inputs!$C$36*(I73/1000)</f>
        <v/>
      </c>
      <c r="R73" s="47">
        <f>Subsurface_Inputs!$C$40-2*Subsurface_Inputs!$C$36*(K73/1000)-Subsurface_Inputs!$C$41*ABS(L73-AVERAGE($L$2:$L$242))</f>
        <v/>
      </c>
      <c r="S73" s="47">
        <f>K73-AVERAGE($K$2:$K$242)</f>
        <v/>
      </c>
      <c r="T73" s="47">
        <f>K73/F73</f>
        <v/>
      </c>
      <c r="U73" s="50">
        <f>IF(H73&gt;=Subsurface_Inputs!$C$42,"Lens visible","Weak/no lens")</f>
        <v/>
      </c>
      <c r="V73" s="50">
        <f>IF(R73&gt;=W73,"Likely visible","Weak")</f>
        <v/>
      </c>
      <c r="W73" s="47">
        <f>Subsurface_Inputs!$C$43</f>
        <v/>
      </c>
      <c r="X73" s="47">
        <f>Q73-W73</f>
        <v/>
      </c>
      <c r="Y73" s="47">
        <f>R73-W73</f>
        <v/>
      </c>
      <c r="Z73" s="47">
        <f>MAX(Q73,R73)-W73</f>
        <v/>
      </c>
      <c r="AA73" s="47" t="n">
        <v>0</v>
      </c>
    </row>
    <row r="74">
      <c r="A74" s="47">
        <f>Model_Data!A74</f>
        <v/>
      </c>
      <c r="B74" s="47">
        <f>Model_Data!Y74</f>
        <v/>
      </c>
      <c r="C74" s="47">
        <f>Model_Data!X74</f>
        <v/>
      </c>
      <c r="D74" s="47">
        <f>Model_Data!B74</f>
        <v/>
      </c>
      <c r="E74" s="47">
        <f>Inputs!$C$6</f>
        <v/>
      </c>
      <c r="F74" s="47">
        <f>Subsurface_Inputs!$C$5+Subsurface_Inputs!$C$6*SIN(2*PI()*(A74+Subsurface_Inputs!$C$7)/Subsurface_Inputs!$C$8)+Subsurface_Inputs!$C$9*COS(2*PI()*A74/Subsurface_Inputs!$C$10)+Subsurface_Inputs!$C$11*(B74-AVERAGE($B$2:$B$242))</f>
        <v/>
      </c>
      <c r="G74" s="47">
        <f>B74-F74</f>
        <v/>
      </c>
      <c r="H74" s="47">
        <f>MIN(1,MAX(0,Subsurface_Inputs!$C$13*EXP(-0.5*((A74-Subsurface_Inputs!$C$14)/Subsurface_Inputs!$C$15)^2)+Subsurface_Inputs!$C$16*EXP(-0.5*((A74-Subsurface_Inputs!$C$17)/Subsurface_Inputs!$C$18)^2)))</f>
        <v/>
      </c>
      <c r="I74" s="47">
        <f>Subsurface_Inputs!$C$19+Subsurface_Inputs!$C$20*SIN(2*PI()*(A74-Subsurface_Inputs!$C$21)/Subsurface_Inputs!$C$22)-Subsurface_Inputs!$C$23*H74</f>
        <v/>
      </c>
      <c r="J74" s="47">
        <f>B74-I74</f>
        <v/>
      </c>
      <c r="K74" s="47">
        <f>Subsurface_Inputs!$C$25+Subsurface_Inputs!$C$26*SIN(2*PI()*(A74+Subsurface_Inputs!$C$27)/Subsurface_Inputs!$C$28)+Subsurface_Inputs!$C$29*COS(2*PI()*(A74-Subsurface_Inputs!$C$30)/Subsurface_Inputs!$C$31)-Subsurface_Inputs!$C$32*(B74-AVERAGE($B$2:$B$242))</f>
        <v/>
      </c>
      <c r="L74" s="47">
        <f>B74-K74</f>
        <v/>
      </c>
      <c r="M74" s="47">
        <f>2*Subsurface_Inputs!$C$34*F74/Subsurface_Inputs!$C$35*1000000</f>
        <v/>
      </c>
      <c r="N74" s="47">
        <f>2*Subsurface_Inputs!$C$34*I74/Subsurface_Inputs!$C$35*1000000</f>
        <v/>
      </c>
      <c r="O74" s="47">
        <f>2*Subsurface_Inputs!$C$34*K74/Subsurface_Inputs!$C$35*1000000</f>
        <v/>
      </c>
      <c r="P74" s="47">
        <f>Subsurface_Inputs!$C$37-2*Subsurface_Inputs!$C$36*(F74/1000)</f>
        <v/>
      </c>
      <c r="Q74" s="47">
        <f>Subsurface_Inputs!$C$38+Subsurface_Inputs!$C$39*H74-2*Subsurface_Inputs!$C$36*(I74/1000)</f>
        <v/>
      </c>
      <c r="R74" s="47">
        <f>Subsurface_Inputs!$C$40-2*Subsurface_Inputs!$C$36*(K74/1000)-Subsurface_Inputs!$C$41*ABS(L74-AVERAGE($L$2:$L$242))</f>
        <v/>
      </c>
      <c r="S74" s="47">
        <f>K74-AVERAGE($K$2:$K$242)</f>
        <v/>
      </c>
      <c r="T74" s="47">
        <f>K74/F74</f>
        <v/>
      </c>
      <c r="U74" s="50">
        <f>IF(H74&gt;=Subsurface_Inputs!$C$42,"Lens visible","Weak/no lens")</f>
        <v/>
      </c>
      <c r="V74" s="50">
        <f>IF(R74&gt;=W74,"Likely visible","Weak")</f>
        <v/>
      </c>
      <c r="W74" s="47">
        <f>Subsurface_Inputs!$C$43</f>
        <v/>
      </c>
      <c r="X74" s="47">
        <f>Q74-W74</f>
        <v/>
      </c>
      <c r="Y74" s="47">
        <f>R74-W74</f>
        <v/>
      </c>
      <c r="Z74" s="47">
        <f>MAX(Q74,R74)-W74</f>
        <v/>
      </c>
      <c r="AA74" s="47" t="n">
        <v>0</v>
      </c>
    </row>
    <row r="75">
      <c r="A75" s="47">
        <f>Model_Data!A75</f>
        <v/>
      </c>
      <c r="B75" s="47">
        <f>Model_Data!Y75</f>
        <v/>
      </c>
      <c r="C75" s="47">
        <f>Model_Data!X75</f>
        <v/>
      </c>
      <c r="D75" s="47">
        <f>Model_Data!B75</f>
        <v/>
      </c>
      <c r="E75" s="47">
        <f>Inputs!$C$6</f>
        <v/>
      </c>
      <c r="F75" s="47">
        <f>Subsurface_Inputs!$C$5+Subsurface_Inputs!$C$6*SIN(2*PI()*(A75+Subsurface_Inputs!$C$7)/Subsurface_Inputs!$C$8)+Subsurface_Inputs!$C$9*COS(2*PI()*A75/Subsurface_Inputs!$C$10)+Subsurface_Inputs!$C$11*(B75-AVERAGE($B$2:$B$242))</f>
        <v/>
      </c>
      <c r="G75" s="47">
        <f>B75-F75</f>
        <v/>
      </c>
      <c r="H75" s="47">
        <f>MIN(1,MAX(0,Subsurface_Inputs!$C$13*EXP(-0.5*((A75-Subsurface_Inputs!$C$14)/Subsurface_Inputs!$C$15)^2)+Subsurface_Inputs!$C$16*EXP(-0.5*((A75-Subsurface_Inputs!$C$17)/Subsurface_Inputs!$C$18)^2)))</f>
        <v/>
      </c>
      <c r="I75" s="47">
        <f>Subsurface_Inputs!$C$19+Subsurface_Inputs!$C$20*SIN(2*PI()*(A75-Subsurface_Inputs!$C$21)/Subsurface_Inputs!$C$22)-Subsurface_Inputs!$C$23*H75</f>
        <v/>
      </c>
      <c r="J75" s="47">
        <f>B75-I75</f>
        <v/>
      </c>
      <c r="K75" s="47">
        <f>Subsurface_Inputs!$C$25+Subsurface_Inputs!$C$26*SIN(2*PI()*(A75+Subsurface_Inputs!$C$27)/Subsurface_Inputs!$C$28)+Subsurface_Inputs!$C$29*COS(2*PI()*(A75-Subsurface_Inputs!$C$30)/Subsurface_Inputs!$C$31)-Subsurface_Inputs!$C$32*(B75-AVERAGE($B$2:$B$242))</f>
        <v/>
      </c>
      <c r="L75" s="47">
        <f>B75-K75</f>
        <v/>
      </c>
      <c r="M75" s="47">
        <f>2*Subsurface_Inputs!$C$34*F75/Subsurface_Inputs!$C$35*1000000</f>
        <v/>
      </c>
      <c r="N75" s="47">
        <f>2*Subsurface_Inputs!$C$34*I75/Subsurface_Inputs!$C$35*1000000</f>
        <v/>
      </c>
      <c r="O75" s="47">
        <f>2*Subsurface_Inputs!$C$34*K75/Subsurface_Inputs!$C$35*1000000</f>
        <v/>
      </c>
      <c r="P75" s="47">
        <f>Subsurface_Inputs!$C$37-2*Subsurface_Inputs!$C$36*(F75/1000)</f>
        <v/>
      </c>
      <c r="Q75" s="47">
        <f>Subsurface_Inputs!$C$38+Subsurface_Inputs!$C$39*H75-2*Subsurface_Inputs!$C$36*(I75/1000)</f>
        <v/>
      </c>
      <c r="R75" s="47">
        <f>Subsurface_Inputs!$C$40-2*Subsurface_Inputs!$C$36*(K75/1000)-Subsurface_Inputs!$C$41*ABS(L75-AVERAGE($L$2:$L$242))</f>
        <v/>
      </c>
      <c r="S75" s="47">
        <f>K75-AVERAGE($K$2:$K$242)</f>
        <v/>
      </c>
      <c r="T75" s="47">
        <f>K75/F75</f>
        <v/>
      </c>
      <c r="U75" s="50">
        <f>IF(H75&gt;=Subsurface_Inputs!$C$42,"Lens visible","Weak/no lens")</f>
        <v/>
      </c>
      <c r="V75" s="50">
        <f>IF(R75&gt;=W75,"Likely visible","Weak")</f>
        <v/>
      </c>
      <c r="W75" s="47">
        <f>Subsurface_Inputs!$C$43</f>
        <v/>
      </c>
      <c r="X75" s="47">
        <f>Q75-W75</f>
        <v/>
      </c>
      <c r="Y75" s="47">
        <f>R75-W75</f>
        <v/>
      </c>
      <c r="Z75" s="47">
        <f>MAX(Q75,R75)-W75</f>
        <v/>
      </c>
      <c r="AA75" s="47" t="n">
        <v>0</v>
      </c>
    </row>
    <row r="76">
      <c r="A76" s="47">
        <f>Model_Data!A76</f>
        <v/>
      </c>
      <c r="B76" s="47">
        <f>Model_Data!Y76</f>
        <v/>
      </c>
      <c r="C76" s="47">
        <f>Model_Data!X76</f>
        <v/>
      </c>
      <c r="D76" s="47">
        <f>Model_Data!B76</f>
        <v/>
      </c>
      <c r="E76" s="47">
        <f>Inputs!$C$6</f>
        <v/>
      </c>
      <c r="F76" s="47">
        <f>Subsurface_Inputs!$C$5+Subsurface_Inputs!$C$6*SIN(2*PI()*(A76+Subsurface_Inputs!$C$7)/Subsurface_Inputs!$C$8)+Subsurface_Inputs!$C$9*COS(2*PI()*A76/Subsurface_Inputs!$C$10)+Subsurface_Inputs!$C$11*(B76-AVERAGE($B$2:$B$242))</f>
        <v/>
      </c>
      <c r="G76" s="47">
        <f>B76-F76</f>
        <v/>
      </c>
      <c r="H76" s="47">
        <f>MIN(1,MAX(0,Subsurface_Inputs!$C$13*EXP(-0.5*((A76-Subsurface_Inputs!$C$14)/Subsurface_Inputs!$C$15)^2)+Subsurface_Inputs!$C$16*EXP(-0.5*((A76-Subsurface_Inputs!$C$17)/Subsurface_Inputs!$C$18)^2)))</f>
        <v/>
      </c>
      <c r="I76" s="47">
        <f>Subsurface_Inputs!$C$19+Subsurface_Inputs!$C$20*SIN(2*PI()*(A76-Subsurface_Inputs!$C$21)/Subsurface_Inputs!$C$22)-Subsurface_Inputs!$C$23*H76</f>
        <v/>
      </c>
      <c r="J76" s="47">
        <f>B76-I76</f>
        <v/>
      </c>
      <c r="K76" s="47">
        <f>Subsurface_Inputs!$C$25+Subsurface_Inputs!$C$26*SIN(2*PI()*(A76+Subsurface_Inputs!$C$27)/Subsurface_Inputs!$C$28)+Subsurface_Inputs!$C$29*COS(2*PI()*(A76-Subsurface_Inputs!$C$30)/Subsurface_Inputs!$C$31)-Subsurface_Inputs!$C$32*(B76-AVERAGE($B$2:$B$242))</f>
        <v/>
      </c>
      <c r="L76" s="47">
        <f>B76-K76</f>
        <v/>
      </c>
      <c r="M76" s="47">
        <f>2*Subsurface_Inputs!$C$34*F76/Subsurface_Inputs!$C$35*1000000</f>
        <v/>
      </c>
      <c r="N76" s="47">
        <f>2*Subsurface_Inputs!$C$34*I76/Subsurface_Inputs!$C$35*1000000</f>
        <v/>
      </c>
      <c r="O76" s="47">
        <f>2*Subsurface_Inputs!$C$34*K76/Subsurface_Inputs!$C$35*1000000</f>
        <v/>
      </c>
      <c r="P76" s="47">
        <f>Subsurface_Inputs!$C$37-2*Subsurface_Inputs!$C$36*(F76/1000)</f>
        <v/>
      </c>
      <c r="Q76" s="47">
        <f>Subsurface_Inputs!$C$38+Subsurface_Inputs!$C$39*H76-2*Subsurface_Inputs!$C$36*(I76/1000)</f>
        <v/>
      </c>
      <c r="R76" s="47">
        <f>Subsurface_Inputs!$C$40-2*Subsurface_Inputs!$C$36*(K76/1000)-Subsurface_Inputs!$C$41*ABS(L76-AVERAGE($L$2:$L$242))</f>
        <v/>
      </c>
      <c r="S76" s="47">
        <f>K76-AVERAGE($K$2:$K$242)</f>
        <v/>
      </c>
      <c r="T76" s="47">
        <f>K76/F76</f>
        <v/>
      </c>
      <c r="U76" s="50">
        <f>IF(H76&gt;=Subsurface_Inputs!$C$42,"Lens visible","Weak/no lens")</f>
        <v/>
      </c>
      <c r="V76" s="50">
        <f>IF(R76&gt;=W76,"Likely visible","Weak")</f>
        <v/>
      </c>
      <c r="W76" s="47">
        <f>Subsurface_Inputs!$C$43</f>
        <v/>
      </c>
      <c r="X76" s="47">
        <f>Q76-W76</f>
        <v/>
      </c>
      <c r="Y76" s="47">
        <f>R76-W76</f>
        <v/>
      </c>
      <c r="Z76" s="47">
        <f>MAX(Q76,R76)-W76</f>
        <v/>
      </c>
      <c r="AA76" s="47" t="n">
        <v>0</v>
      </c>
    </row>
    <row r="77">
      <c r="A77" s="47">
        <f>Model_Data!A77</f>
        <v/>
      </c>
      <c r="B77" s="47">
        <f>Model_Data!Y77</f>
        <v/>
      </c>
      <c r="C77" s="47">
        <f>Model_Data!X77</f>
        <v/>
      </c>
      <c r="D77" s="47">
        <f>Model_Data!B77</f>
        <v/>
      </c>
      <c r="E77" s="47">
        <f>Inputs!$C$6</f>
        <v/>
      </c>
      <c r="F77" s="47">
        <f>Subsurface_Inputs!$C$5+Subsurface_Inputs!$C$6*SIN(2*PI()*(A77+Subsurface_Inputs!$C$7)/Subsurface_Inputs!$C$8)+Subsurface_Inputs!$C$9*COS(2*PI()*A77/Subsurface_Inputs!$C$10)+Subsurface_Inputs!$C$11*(B77-AVERAGE($B$2:$B$242))</f>
        <v/>
      </c>
      <c r="G77" s="47">
        <f>B77-F77</f>
        <v/>
      </c>
      <c r="H77" s="47">
        <f>MIN(1,MAX(0,Subsurface_Inputs!$C$13*EXP(-0.5*((A77-Subsurface_Inputs!$C$14)/Subsurface_Inputs!$C$15)^2)+Subsurface_Inputs!$C$16*EXP(-0.5*((A77-Subsurface_Inputs!$C$17)/Subsurface_Inputs!$C$18)^2)))</f>
        <v/>
      </c>
      <c r="I77" s="47">
        <f>Subsurface_Inputs!$C$19+Subsurface_Inputs!$C$20*SIN(2*PI()*(A77-Subsurface_Inputs!$C$21)/Subsurface_Inputs!$C$22)-Subsurface_Inputs!$C$23*H77</f>
        <v/>
      </c>
      <c r="J77" s="47">
        <f>B77-I77</f>
        <v/>
      </c>
      <c r="K77" s="47">
        <f>Subsurface_Inputs!$C$25+Subsurface_Inputs!$C$26*SIN(2*PI()*(A77+Subsurface_Inputs!$C$27)/Subsurface_Inputs!$C$28)+Subsurface_Inputs!$C$29*COS(2*PI()*(A77-Subsurface_Inputs!$C$30)/Subsurface_Inputs!$C$31)-Subsurface_Inputs!$C$32*(B77-AVERAGE($B$2:$B$242))</f>
        <v/>
      </c>
      <c r="L77" s="47">
        <f>B77-K77</f>
        <v/>
      </c>
      <c r="M77" s="47">
        <f>2*Subsurface_Inputs!$C$34*F77/Subsurface_Inputs!$C$35*1000000</f>
        <v/>
      </c>
      <c r="N77" s="47">
        <f>2*Subsurface_Inputs!$C$34*I77/Subsurface_Inputs!$C$35*1000000</f>
        <v/>
      </c>
      <c r="O77" s="47">
        <f>2*Subsurface_Inputs!$C$34*K77/Subsurface_Inputs!$C$35*1000000</f>
        <v/>
      </c>
      <c r="P77" s="47">
        <f>Subsurface_Inputs!$C$37-2*Subsurface_Inputs!$C$36*(F77/1000)</f>
        <v/>
      </c>
      <c r="Q77" s="47">
        <f>Subsurface_Inputs!$C$38+Subsurface_Inputs!$C$39*H77-2*Subsurface_Inputs!$C$36*(I77/1000)</f>
        <v/>
      </c>
      <c r="R77" s="47">
        <f>Subsurface_Inputs!$C$40-2*Subsurface_Inputs!$C$36*(K77/1000)-Subsurface_Inputs!$C$41*ABS(L77-AVERAGE($L$2:$L$242))</f>
        <v/>
      </c>
      <c r="S77" s="47">
        <f>K77-AVERAGE($K$2:$K$242)</f>
        <v/>
      </c>
      <c r="T77" s="47">
        <f>K77/F77</f>
        <v/>
      </c>
      <c r="U77" s="50">
        <f>IF(H77&gt;=Subsurface_Inputs!$C$42,"Lens visible","Weak/no lens")</f>
        <v/>
      </c>
      <c r="V77" s="50">
        <f>IF(R77&gt;=W77,"Likely visible","Weak")</f>
        <v/>
      </c>
      <c r="W77" s="47">
        <f>Subsurface_Inputs!$C$43</f>
        <v/>
      </c>
      <c r="X77" s="47">
        <f>Q77-W77</f>
        <v/>
      </c>
      <c r="Y77" s="47">
        <f>R77-W77</f>
        <v/>
      </c>
      <c r="Z77" s="47">
        <f>MAX(Q77,R77)-W77</f>
        <v/>
      </c>
      <c r="AA77" s="47" t="n">
        <v>0</v>
      </c>
    </row>
    <row r="78">
      <c r="A78" s="47">
        <f>Model_Data!A78</f>
        <v/>
      </c>
      <c r="B78" s="47">
        <f>Model_Data!Y78</f>
        <v/>
      </c>
      <c r="C78" s="47">
        <f>Model_Data!X78</f>
        <v/>
      </c>
      <c r="D78" s="47">
        <f>Model_Data!B78</f>
        <v/>
      </c>
      <c r="E78" s="47">
        <f>Inputs!$C$6</f>
        <v/>
      </c>
      <c r="F78" s="47">
        <f>Subsurface_Inputs!$C$5+Subsurface_Inputs!$C$6*SIN(2*PI()*(A78+Subsurface_Inputs!$C$7)/Subsurface_Inputs!$C$8)+Subsurface_Inputs!$C$9*COS(2*PI()*A78/Subsurface_Inputs!$C$10)+Subsurface_Inputs!$C$11*(B78-AVERAGE($B$2:$B$242))</f>
        <v/>
      </c>
      <c r="G78" s="47">
        <f>B78-F78</f>
        <v/>
      </c>
      <c r="H78" s="47">
        <f>MIN(1,MAX(0,Subsurface_Inputs!$C$13*EXP(-0.5*((A78-Subsurface_Inputs!$C$14)/Subsurface_Inputs!$C$15)^2)+Subsurface_Inputs!$C$16*EXP(-0.5*((A78-Subsurface_Inputs!$C$17)/Subsurface_Inputs!$C$18)^2)))</f>
        <v/>
      </c>
      <c r="I78" s="47">
        <f>Subsurface_Inputs!$C$19+Subsurface_Inputs!$C$20*SIN(2*PI()*(A78-Subsurface_Inputs!$C$21)/Subsurface_Inputs!$C$22)-Subsurface_Inputs!$C$23*H78</f>
        <v/>
      </c>
      <c r="J78" s="47">
        <f>B78-I78</f>
        <v/>
      </c>
      <c r="K78" s="47">
        <f>Subsurface_Inputs!$C$25+Subsurface_Inputs!$C$26*SIN(2*PI()*(A78+Subsurface_Inputs!$C$27)/Subsurface_Inputs!$C$28)+Subsurface_Inputs!$C$29*COS(2*PI()*(A78-Subsurface_Inputs!$C$30)/Subsurface_Inputs!$C$31)-Subsurface_Inputs!$C$32*(B78-AVERAGE($B$2:$B$242))</f>
        <v/>
      </c>
      <c r="L78" s="47">
        <f>B78-K78</f>
        <v/>
      </c>
      <c r="M78" s="47">
        <f>2*Subsurface_Inputs!$C$34*F78/Subsurface_Inputs!$C$35*1000000</f>
        <v/>
      </c>
      <c r="N78" s="47">
        <f>2*Subsurface_Inputs!$C$34*I78/Subsurface_Inputs!$C$35*1000000</f>
        <v/>
      </c>
      <c r="O78" s="47">
        <f>2*Subsurface_Inputs!$C$34*K78/Subsurface_Inputs!$C$35*1000000</f>
        <v/>
      </c>
      <c r="P78" s="47">
        <f>Subsurface_Inputs!$C$37-2*Subsurface_Inputs!$C$36*(F78/1000)</f>
        <v/>
      </c>
      <c r="Q78" s="47">
        <f>Subsurface_Inputs!$C$38+Subsurface_Inputs!$C$39*H78-2*Subsurface_Inputs!$C$36*(I78/1000)</f>
        <v/>
      </c>
      <c r="R78" s="47">
        <f>Subsurface_Inputs!$C$40-2*Subsurface_Inputs!$C$36*(K78/1000)-Subsurface_Inputs!$C$41*ABS(L78-AVERAGE($L$2:$L$242))</f>
        <v/>
      </c>
      <c r="S78" s="47">
        <f>K78-AVERAGE($K$2:$K$242)</f>
        <v/>
      </c>
      <c r="T78" s="47">
        <f>K78/F78</f>
        <v/>
      </c>
      <c r="U78" s="50">
        <f>IF(H78&gt;=Subsurface_Inputs!$C$42,"Lens visible","Weak/no lens")</f>
        <v/>
      </c>
      <c r="V78" s="50">
        <f>IF(R78&gt;=W78,"Likely visible","Weak")</f>
        <v/>
      </c>
      <c r="W78" s="47">
        <f>Subsurface_Inputs!$C$43</f>
        <v/>
      </c>
      <c r="X78" s="47">
        <f>Q78-W78</f>
        <v/>
      </c>
      <c r="Y78" s="47">
        <f>R78-W78</f>
        <v/>
      </c>
      <c r="Z78" s="47">
        <f>MAX(Q78,R78)-W78</f>
        <v/>
      </c>
      <c r="AA78" s="47" t="n">
        <v>0</v>
      </c>
    </row>
    <row r="79">
      <c r="A79" s="47">
        <f>Model_Data!A79</f>
        <v/>
      </c>
      <c r="B79" s="47">
        <f>Model_Data!Y79</f>
        <v/>
      </c>
      <c r="C79" s="47">
        <f>Model_Data!X79</f>
        <v/>
      </c>
      <c r="D79" s="47">
        <f>Model_Data!B79</f>
        <v/>
      </c>
      <c r="E79" s="47">
        <f>Inputs!$C$6</f>
        <v/>
      </c>
      <c r="F79" s="47">
        <f>Subsurface_Inputs!$C$5+Subsurface_Inputs!$C$6*SIN(2*PI()*(A79+Subsurface_Inputs!$C$7)/Subsurface_Inputs!$C$8)+Subsurface_Inputs!$C$9*COS(2*PI()*A79/Subsurface_Inputs!$C$10)+Subsurface_Inputs!$C$11*(B79-AVERAGE($B$2:$B$242))</f>
        <v/>
      </c>
      <c r="G79" s="47">
        <f>B79-F79</f>
        <v/>
      </c>
      <c r="H79" s="47">
        <f>MIN(1,MAX(0,Subsurface_Inputs!$C$13*EXP(-0.5*((A79-Subsurface_Inputs!$C$14)/Subsurface_Inputs!$C$15)^2)+Subsurface_Inputs!$C$16*EXP(-0.5*((A79-Subsurface_Inputs!$C$17)/Subsurface_Inputs!$C$18)^2)))</f>
        <v/>
      </c>
      <c r="I79" s="47">
        <f>Subsurface_Inputs!$C$19+Subsurface_Inputs!$C$20*SIN(2*PI()*(A79-Subsurface_Inputs!$C$21)/Subsurface_Inputs!$C$22)-Subsurface_Inputs!$C$23*H79</f>
        <v/>
      </c>
      <c r="J79" s="47">
        <f>B79-I79</f>
        <v/>
      </c>
      <c r="K79" s="47">
        <f>Subsurface_Inputs!$C$25+Subsurface_Inputs!$C$26*SIN(2*PI()*(A79+Subsurface_Inputs!$C$27)/Subsurface_Inputs!$C$28)+Subsurface_Inputs!$C$29*COS(2*PI()*(A79-Subsurface_Inputs!$C$30)/Subsurface_Inputs!$C$31)-Subsurface_Inputs!$C$32*(B79-AVERAGE($B$2:$B$242))</f>
        <v/>
      </c>
      <c r="L79" s="47">
        <f>B79-K79</f>
        <v/>
      </c>
      <c r="M79" s="47">
        <f>2*Subsurface_Inputs!$C$34*F79/Subsurface_Inputs!$C$35*1000000</f>
        <v/>
      </c>
      <c r="N79" s="47">
        <f>2*Subsurface_Inputs!$C$34*I79/Subsurface_Inputs!$C$35*1000000</f>
        <v/>
      </c>
      <c r="O79" s="47">
        <f>2*Subsurface_Inputs!$C$34*K79/Subsurface_Inputs!$C$35*1000000</f>
        <v/>
      </c>
      <c r="P79" s="47">
        <f>Subsurface_Inputs!$C$37-2*Subsurface_Inputs!$C$36*(F79/1000)</f>
        <v/>
      </c>
      <c r="Q79" s="47">
        <f>Subsurface_Inputs!$C$38+Subsurface_Inputs!$C$39*H79-2*Subsurface_Inputs!$C$36*(I79/1000)</f>
        <v/>
      </c>
      <c r="R79" s="47">
        <f>Subsurface_Inputs!$C$40-2*Subsurface_Inputs!$C$36*(K79/1000)-Subsurface_Inputs!$C$41*ABS(L79-AVERAGE($L$2:$L$242))</f>
        <v/>
      </c>
      <c r="S79" s="47">
        <f>K79-AVERAGE($K$2:$K$242)</f>
        <v/>
      </c>
      <c r="T79" s="47">
        <f>K79/F79</f>
        <v/>
      </c>
      <c r="U79" s="50">
        <f>IF(H79&gt;=Subsurface_Inputs!$C$42,"Lens visible","Weak/no lens")</f>
        <v/>
      </c>
      <c r="V79" s="50">
        <f>IF(R79&gt;=W79,"Likely visible","Weak")</f>
        <v/>
      </c>
      <c r="W79" s="47">
        <f>Subsurface_Inputs!$C$43</f>
        <v/>
      </c>
      <c r="X79" s="47">
        <f>Q79-W79</f>
        <v/>
      </c>
      <c r="Y79" s="47">
        <f>R79-W79</f>
        <v/>
      </c>
      <c r="Z79" s="47">
        <f>MAX(Q79,R79)-W79</f>
        <v/>
      </c>
      <c r="AA79" s="47" t="n">
        <v>0</v>
      </c>
    </row>
    <row r="80">
      <c r="A80" s="47">
        <f>Model_Data!A80</f>
        <v/>
      </c>
      <c r="B80" s="47">
        <f>Model_Data!Y80</f>
        <v/>
      </c>
      <c r="C80" s="47">
        <f>Model_Data!X80</f>
        <v/>
      </c>
      <c r="D80" s="47">
        <f>Model_Data!B80</f>
        <v/>
      </c>
      <c r="E80" s="47">
        <f>Inputs!$C$6</f>
        <v/>
      </c>
      <c r="F80" s="47">
        <f>Subsurface_Inputs!$C$5+Subsurface_Inputs!$C$6*SIN(2*PI()*(A80+Subsurface_Inputs!$C$7)/Subsurface_Inputs!$C$8)+Subsurface_Inputs!$C$9*COS(2*PI()*A80/Subsurface_Inputs!$C$10)+Subsurface_Inputs!$C$11*(B80-AVERAGE($B$2:$B$242))</f>
        <v/>
      </c>
      <c r="G80" s="47">
        <f>B80-F80</f>
        <v/>
      </c>
      <c r="H80" s="47">
        <f>MIN(1,MAX(0,Subsurface_Inputs!$C$13*EXP(-0.5*((A80-Subsurface_Inputs!$C$14)/Subsurface_Inputs!$C$15)^2)+Subsurface_Inputs!$C$16*EXP(-0.5*((A80-Subsurface_Inputs!$C$17)/Subsurface_Inputs!$C$18)^2)))</f>
        <v/>
      </c>
      <c r="I80" s="47">
        <f>Subsurface_Inputs!$C$19+Subsurface_Inputs!$C$20*SIN(2*PI()*(A80-Subsurface_Inputs!$C$21)/Subsurface_Inputs!$C$22)-Subsurface_Inputs!$C$23*H80</f>
        <v/>
      </c>
      <c r="J80" s="47">
        <f>B80-I80</f>
        <v/>
      </c>
      <c r="K80" s="47">
        <f>Subsurface_Inputs!$C$25+Subsurface_Inputs!$C$26*SIN(2*PI()*(A80+Subsurface_Inputs!$C$27)/Subsurface_Inputs!$C$28)+Subsurface_Inputs!$C$29*COS(2*PI()*(A80-Subsurface_Inputs!$C$30)/Subsurface_Inputs!$C$31)-Subsurface_Inputs!$C$32*(B80-AVERAGE($B$2:$B$242))</f>
        <v/>
      </c>
      <c r="L80" s="47">
        <f>B80-K80</f>
        <v/>
      </c>
      <c r="M80" s="47">
        <f>2*Subsurface_Inputs!$C$34*F80/Subsurface_Inputs!$C$35*1000000</f>
        <v/>
      </c>
      <c r="N80" s="47">
        <f>2*Subsurface_Inputs!$C$34*I80/Subsurface_Inputs!$C$35*1000000</f>
        <v/>
      </c>
      <c r="O80" s="47">
        <f>2*Subsurface_Inputs!$C$34*K80/Subsurface_Inputs!$C$35*1000000</f>
        <v/>
      </c>
      <c r="P80" s="47">
        <f>Subsurface_Inputs!$C$37-2*Subsurface_Inputs!$C$36*(F80/1000)</f>
        <v/>
      </c>
      <c r="Q80" s="47">
        <f>Subsurface_Inputs!$C$38+Subsurface_Inputs!$C$39*H80-2*Subsurface_Inputs!$C$36*(I80/1000)</f>
        <v/>
      </c>
      <c r="R80" s="47">
        <f>Subsurface_Inputs!$C$40-2*Subsurface_Inputs!$C$36*(K80/1000)-Subsurface_Inputs!$C$41*ABS(L80-AVERAGE($L$2:$L$242))</f>
        <v/>
      </c>
      <c r="S80" s="47">
        <f>K80-AVERAGE($K$2:$K$242)</f>
        <v/>
      </c>
      <c r="T80" s="47">
        <f>K80/F80</f>
        <v/>
      </c>
      <c r="U80" s="50">
        <f>IF(H80&gt;=Subsurface_Inputs!$C$42,"Lens visible","Weak/no lens")</f>
        <v/>
      </c>
      <c r="V80" s="50">
        <f>IF(R80&gt;=W80,"Likely visible","Weak")</f>
        <v/>
      </c>
      <c r="W80" s="47">
        <f>Subsurface_Inputs!$C$43</f>
        <v/>
      </c>
      <c r="X80" s="47">
        <f>Q80-W80</f>
        <v/>
      </c>
      <c r="Y80" s="47">
        <f>R80-W80</f>
        <v/>
      </c>
      <c r="Z80" s="47">
        <f>MAX(Q80,R80)-W80</f>
        <v/>
      </c>
      <c r="AA80" s="47" t="n">
        <v>0</v>
      </c>
    </row>
    <row r="81">
      <c r="A81" s="47">
        <f>Model_Data!A81</f>
        <v/>
      </c>
      <c r="B81" s="47">
        <f>Model_Data!Y81</f>
        <v/>
      </c>
      <c r="C81" s="47">
        <f>Model_Data!X81</f>
        <v/>
      </c>
      <c r="D81" s="47">
        <f>Model_Data!B81</f>
        <v/>
      </c>
      <c r="E81" s="47">
        <f>Inputs!$C$6</f>
        <v/>
      </c>
      <c r="F81" s="47">
        <f>Subsurface_Inputs!$C$5+Subsurface_Inputs!$C$6*SIN(2*PI()*(A81+Subsurface_Inputs!$C$7)/Subsurface_Inputs!$C$8)+Subsurface_Inputs!$C$9*COS(2*PI()*A81/Subsurface_Inputs!$C$10)+Subsurface_Inputs!$C$11*(B81-AVERAGE($B$2:$B$242))</f>
        <v/>
      </c>
      <c r="G81" s="47">
        <f>B81-F81</f>
        <v/>
      </c>
      <c r="H81" s="47">
        <f>MIN(1,MAX(0,Subsurface_Inputs!$C$13*EXP(-0.5*((A81-Subsurface_Inputs!$C$14)/Subsurface_Inputs!$C$15)^2)+Subsurface_Inputs!$C$16*EXP(-0.5*((A81-Subsurface_Inputs!$C$17)/Subsurface_Inputs!$C$18)^2)))</f>
        <v/>
      </c>
      <c r="I81" s="47">
        <f>Subsurface_Inputs!$C$19+Subsurface_Inputs!$C$20*SIN(2*PI()*(A81-Subsurface_Inputs!$C$21)/Subsurface_Inputs!$C$22)-Subsurface_Inputs!$C$23*H81</f>
        <v/>
      </c>
      <c r="J81" s="47">
        <f>B81-I81</f>
        <v/>
      </c>
      <c r="K81" s="47">
        <f>Subsurface_Inputs!$C$25+Subsurface_Inputs!$C$26*SIN(2*PI()*(A81+Subsurface_Inputs!$C$27)/Subsurface_Inputs!$C$28)+Subsurface_Inputs!$C$29*COS(2*PI()*(A81-Subsurface_Inputs!$C$30)/Subsurface_Inputs!$C$31)-Subsurface_Inputs!$C$32*(B81-AVERAGE($B$2:$B$242))</f>
        <v/>
      </c>
      <c r="L81" s="47">
        <f>B81-K81</f>
        <v/>
      </c>
      <c r="M81" s="47">
        <f>2*Subsurface_Inputs!$C$34*F81/Subsurface_Inputs!$C$35*1000000</f>
        <v/>
      </c>
      <c r="N81" s="47">
        <f>2*Subsurface_Inputs!$C$34*I81/Subsurface_Inputs!$C$35*1000000</f>
        <v/>
      </c>
      <c r="O81" s="47">
        <f>2*Subsurface_Inputs!$C$34*K81/Subsurface_Inputs!$C$35*1000000</f>
        <v/>
      </c>
      <c r="P81" s="47">
        <f>Subsurface_Inputs!$C$37-2*Subsurface_Inputs!$C$36*(F81/1000)</f>
        <v/>
      </c>
      <c r="Q81" s="47">
        <f>Subsurface_Inputs!$C$38+Subsurface_Inputs!$C$39*H81-2*Subsurface_Inputs!$C$36*(I81/1000)</f>
        <v/>
      </c>
      <c r="R81" s="47">
        <f>Subsurface_Inputs!$C$40-2*Subsurface_Inputs!$C$36*(K81/1000)-Subsurface_Inputs!$C$41*ABS(L81-AVERAGE($L$2:$L$242))</f>
        <v/>
      </c>
      <c r="S81" s="47">
        <f>K81-AVERAGE($K$2:$K$242)</f>
        <v/>
      </c>
      <c r="T81" s="47">
        <f>K81/F81</f>
        <v/>
      </c>
      <c r="U81" s="50">
        <f>IF(H81&gt;=Subsurface_Inputs!$C$42,"Lens visible","Weak/no lens")</f>
        <v/>
      </c>
      <c r="V81" s="50">
        <f>IF(R81&gt;=W81,"Likely visible","Weak")</f>
        <v/>
      </c>
      <c r="W81" s="47">
        <f>Subsurface_Inputs!$C$43</f>
        <v/>
      </c>
      <c r="X81" s="47">
        <f>Q81-W81</f>
        <v/>
      </c>
      <c r="Y81" s="47">
        <f>R81-W81</f>
        <v/>
      </c>
      <c r="Z81" s="47">
        <f>MAX(Q81,R81)-W81</f>
        <v/>
      </c>
      <c r="AA81" s="47" t="n">
        <v>0</v>
      </c>
    </row>
    <row r="82">
      <c r="A82" s="47">
        <f>Model_Data!A82</f>
        <v/>
      </c>
      <c r="B82" s="47">
        <f>Model_Data!Y82</f>
        <v/>
      </c>
      <c r="C82" s="47">
        <f>Model_Data!X82</f>
        <v/>
      </c>
      <c r="D82" s="47">
        <f>Model_Data!B82</f>
        <v/>
      </c>
      <c r="E82" s="47">
        <f>Inputs!$C$6</f>
        <v/>
      </c>
      <c r="F82" s="47">
        <f>Subsurface_Inputs!$C$5+Subsurface_Inputs!$C$6*SIN(2*PI()*(A82+Subsurface_Inputs!$C$7)/Subsurface_Inputs!$C$8)+Subsurface_Inputs!$C$9*COS(2*PI()*A82/Subsurface_Inputs!$C$10)+Subsurface_Inputs!$C$11*(B82-AVERAGE($B$2:$B$242))</f>
        <v/>
      </c>
      <c r="G82" s="47">
        <f>B82-F82</f>
        <v/>
      </c>
      <c r="H82" s="47">
        <f>MIN(1,MAX(0,Subsurface_Inputs!$C$13*EXP(-0.5*((A82-Subsurface_Inputs!$C$14)/Subsurface_Inputs!$C$15)^2)+Subsurface_Inputs!$C$16*EXP(-0.5*((A82-Subsurface_Inputs!$C$17)/Subsurface_Inputs!$C$18)^2)))</f>
        <v/>
      </c>
      <c r="I82" s="47">
        <f>Subsurface_Inputs!$C$19+Subsurface_Inputs!$C$20*SIN(2*PI()*(A82-Subsurface_Inputs!$C$21)/Subsurface_Inputs!$C$22)-Subsurface_Inputs!$C$23*H82</f>
        <v/>
      </c>
      <c r="J82" s="47">
        <f>B82-I82</f>
        <v/>
      </c>
      <c r="K82" s="47">
        <f>Subsurface_Inputs!$C$25+Subsurface_Inputs!$C$26*SIN(2*PI()*(A82+Subsurface_Inputs!$C$27)/Subsurface_Inputs!$C$28)+Subsurface_Inputs!$C$29*COS(2*PI()*(A82-Subsurface_Inputs!$C$30)/Subsurface_Inputs!$C$31)-Subsurface_Inputs!$C$32*(B82-AVERAGE($B$2:$B$242))</f>
        <v/>
      </c>
      <c r="L82" s="47">
        <f>B82-K82</f>
        <v/>
      </c>
      <c r="M82" s="47">
        <f>2*Subsurface_Inputs!$C$34*F82/Subsurface_Inputs!$C$35*1000000</f>
        <v/>
      </c>
      <c r="N82" s="47">
        <f>2*Subsurface_Inputs!$C$34*I82/Subsurface_Inputs!$C$35*1000000</f>
        <v/>
      </c>
      <c r="O82" s="47">
        <f>2*Subsurface_Inputs!$C$34*K82/Subsurface_Inputs!$C$35*1000000</f>
        <v/>
      </c>
      <c r="P82" s="47">
        <f>Subsurface_Inputs!$C$37-2*Subsurface_Inputs!$C$36*(F82/1000)</f>
        <v/>
      </c>
      <c r="Q82" s="47">
        <f>Subsurface_Inputs!$C$38+Subsurface_Inputs!$C$39*H82-2*Subsurface_Inputs!$C$36*(I82/1000)</f>
        <v/>
      </c>
      <c r="R82" s="47">
        <f>Subsurface_Inputs!$C$40-2*Subsurface_Inputs!$C$36*(K82/1000)-Subsurface_Inputs!$C$41*ABS(L82-AVERAGE($L$2:$L$242))</f>
        <v/>
      </c>
      <c r="S82" s="47">
        <f>K82-AVERAGE($K$2:$K$242)</f>
        <v/>
      </c>
      <c r="T82" s="47">
        <f>K82/F82</f>
        <v/>
      </c>
      <c r="U82" s="50">
        <f>IF(H82&gt;=Subsurface_Inputs!$C$42,"Lens visible","Weak/no lens")</f>
        <v/>
      </c>
      <c r="V82" s="50">
        <f>IF(R82&gt;=W82,"Likely visible","Weak")</f>
        <v/>
      </c>
      <c r="W82" s="47">
        <f>Subsurface_Inputs!$C$43</f>
        <v/>
      </c>
      <c r="X82" s="47">
        <f>Q82-W82</f>
        <v/>
      </c>
      <c r="Y82" s="47">
        <f>R82-W82</f>
        <v/>
      </c>
      <c r="Z82" s="47">
        <f>MAX(Q82,R82)-W82</f>
        <v/>
      </c>
      <c r="AA82" s="47" t="n">
        <v>0</v>
      </c>
    </row>
    <row r="83">
      <c r="A83" s="47">
        <f>Model_Data!A83</f>
        <v/>
      </c>
      <c r="B83" s="47">
        <f>Model_Data!Y83</f>
        <v/>
      </c>
      <c r="C83" s="47">
        <f>Model_Data!X83</f>
        <v/>
      </c>
      <c r="D83" s="47">
        <f>Model_Data!B83</f>
        <v/>
      </c>
      <c r="E83" s="47">
        <f>Inputs!$C$6</f>
        <v/>
      </c>
      <c r="F83" s="47">
        <f>Subsurface_Inputs!$C$5+Subsurface_Inputs!$C$6*SIN(2*PI()*(A83+Subsurface_Inputs!$C$7)/Subsurface_Inputs!$C$8)+Subsurface_Inputs!$C$9*COS(2*PI()*A83/Subsurface_Inputs!$C$10)+Subsurface_Inputs!$C$11*(B83-AVERAGE($B$2:$B$242))</f>
        <v/>
      </c>
      <c r="G83" s="47">
        <f>B83-F83</f>
        <v/>
      </c>
      <c r="H83" s="47">
        <f>MIN(1,MAX(0,Subsurface_Inputs!$C$13*EXP(-0.5*((A83-Subsurface_Inputs!$C$14)/Subsurface_Inputs!$C$15)^2)+Subsurface_Inputs!$C$16*EXP(-0.5*((A83-Subsurface_Inputs!$C$17)/Subsurface_Inputs!$C$18)^2)))</f>
        <v/>
      </c>
      <c r="I83" s="47">
        <f>Subsurface_Inputs!$C$19+Subsurface_Inputs!$C$20*SIN(2*PI()*(A83-Subsurface_Inputs!$C$21)/Subsurface_Inputs!$C$22)-Subsurface_Inputs!$C$23*H83</f>
        <v/>
      </c>
      <c r="J83" s="47">
        <f>B83-I83</f>
        <v/>
      </c>
      <c r="K83" s="47">
        <f>Subsurface_Inputs!$C$25+Subsurface_Inputs!$C$26*SIN(2*PI()*(A83+Subsurface_Inputs!$C$27)/Subsurface_Inputs!$C$28)+Subsurface_Inputs!$C$29*COS(2*PI()*(A83-Subsurface_Inputs!$C$30)/Subsurface_Inputs!$C$31)-Subsurface_Inputs!$C$32*(B83-AVERAGE($B$2:$B$242))</f>
        <v/>
      </c>
      <c r="L83" s="47">
        <f>B83-K83</f>
        <v/>
      </c>
      <c r="M83" s="47">
        <f>2*Subsurface_Inputs!$C$34*F83/Subsurface_Inputs!$C$35*1000000</f>
        <v/>
      </c>
      <c r="N83" s="47">
        <f>2*Subsurface_Inputs!$C$34*I83/Subsurface_Inputs!$C$35*1000000</f>
        <v/>
      </c>
      <c r="O83" s="47">
        <f>2*Subsurface_Inputs!$C$34*K83/Subsurface_Inputs!$C$35*1000000</f>
        <v/>
      </c>
      <c r="P83" s="47">
        <f>Subsurface_Inputs!$C$37-2*Subsurface_Inputs!$C$36*(F83/1000)</f>
        <v/>
      </c>
      <c r="Q83" s="47">
        <f>Subsurface_Inputs!$C$38+Subsurface_Inputs!$C$39*H83-2*Subsurface_Inputs!$C$36*(I83/1000)</f>
        <v/>
      </c>
      <c r="R83" s="47">
        <f>Subsurface_Inputs!$C$40-2*Subsurface_Inputs!$C$36*(K83/1000)-Subsurface_Inputs!$C$41*ABS(L83-AVERAGE($L$2:$L$242))</f>
        <v/>
      </c>
      <c r="S83" s="47">
        <f>K83-AVERAGE($K$2:$K$242)</f>
        <v/>
      </c>
      <c r="T83" s="47">
        <f>K83/F83</f>
        <v/>
      </c>
      <c r="U83" s="50">
        <f>IF(H83&gt;=Subsurface_Inputs!$C$42,"Lens visible","Weak/no lens")</f>
        <v/>
      </c>
      <c r="V83" s="50">
        <f>IF(R83&gt;=W83,"Likely visible","Weak")</f>
        <v/>
      </c>
      <c r="W83" s="47">
        <f>Subsurface_Inputs!$C$43</f>
        <v/>
      </c>
      <c r="X83" s="47">
        <f>Q83-W83</f>
        <v/>
      </c>
      <c r="Y83" s="47">
        <f>R83-W83</f>
        <v/>
      </c>
      <c r="Z83" s="47">
        <f>MAX(Q83,R83)-W83</f>
        <v/>
      </c>
      <c r="AA83" s="47" t="n">
        <v>0</v>
      </c>
    </row>
    <row r="84">
      <c r="A84" s="47">
        <f>Model_Data!A84</f>
        <v/>
      </c>
      <c r="B84" s="47">
        <f>Model_Data!Y84</f>
        <v/>
      </c>
      <c r="C84" s="47">
        <f>Model_Data!X84</f>
        <v/>
      </c>
      <c r="D84" s="47">
        <f>Model_Data!B84</f>
        <v/>
      </c>
      <c r="E84" s="47">
        <f>Inputs!$C$6</f>
        <v/>
      </c>
      <c r="F84" s="47">
        <f>Subsurface_Inputs!$C$5+Subsurface_Inputs!$C$6*SIN(2*PI()*(A84+Subsurface_Inputs!$C$7)/Subsurface_Inputs!$C$8)+Subsurface_Inputs!$C$9*COS(2*PI()*A84/Subsurface_Inputs!$C$10)+Subsurface_Inputs!$C$11*(B84-AVERAGE($B$2:$B$242))</f>
        <v/>
      </c>
      <c r="G84" s="47">
        <f>B84-F84</f>
        <v/>
      </c>
      <c r="H84" s="47">
        <f>MIN(1,MAX(0,Subsurface_Inputs!$C$13*EXP(-0.5*((A84-Subsurface_Inputs!$C$14)/Subsurface_Inputs!$C$15)^2)+Subsurface_Inputs!$C$16*EXP(-0.5*((A84-Subsurface_Inputs!$C$17)/Subsurface_Inputs!$C$18)^2)))</f>
        <v/>
      </c>
      <c r="I84" s="47">
        <f>Subsurface_Inputs!$C$19+Subsurface_Inputs!$C$20*SIN(2*PI()*(A84-Subsurface_Inputs!$C$21)/Subsurface_Inputs!$C$22)-Subsurface_Inputs!$C$23*H84</f>
        <v/>
      </c>
      <c r="J84" s="47">
        <f>B84-I84</f>
        <v/>
      </c>
      <c r="K84" s="47">
        <f>Subsurface_Inputs!$C$25+Subsurface_Inputs!$C$26*SIN(2*PI()*(A84+Subsurface_Inputs!$C$27)/Subsurface_Inputs!$C$28)+Subsurface_Inputs!$C$29*COS(2*PI()*(A84-Subsurface_Inputs!$C$30)/Subsurface_Inputs!$C$31)-Subsurface_Inputs!$C$32*(B84-AVERAGE($B$2:$B$242))</f>
        <v/>
      </c>
      <c r="L84" s="47">
        <f>B84-K84</f>
        <v/>
      </c>
      <c r="M84" s="47">
        <f>2*Subsurface_Inputs!$C$34*F84/Subsurface_Inputs!$C$35*1000000</f>
        <v/>
      </c>
      <c r="N84" s="47">
        <f>2*Subsurface_Inputs!$C$34*I84/Subsurface_Inputs!$C$35*1000000</f>
        <v/>
      </c>
      <c r="O84" s="47">
        <f>2*Subsurface_Inputs!$C$34*K84/Subsurface_Inputs!$C$35*1000000</f>
        <v/>
      </c>
      <c r="P84" s="47">
        <f>Subsurface_Inputs!$C$37-2*Subsurface_Inputs!$C$36*(F84/1000)</f>
        <v/>
      </c>
      <c r="Q84" s="47">
        <f>Subsurface_Inputs!$C$38+Subsurface_Inputs!$C$39*H84-2*Subsurface_Inputs!$C$36*(I84/1000)</f>
        <v/>
      </c>
      <c r="R84" s="47">
        <f>Subsurface_Inputs!$C$40-2*Subsurface_Inputs!$C$36*(K84/1000)-Subsurface_Inputs!$C$41*ABS(L84-AVERAGE($L$2:$L$242))</f>
        <v/>
      </c>
      <c r="S84" s="47">
        <f>K84-AVERAGE($K$2:$K$242)</f>
        <v/>
      </c>
      <c r="T84" s="47">
        <f>K84/F84</f>
        <v/>
      </c>
      <c r="U84" s="50">
        <f>IF(H84&gt;=Subsurface_Inputs!$C$42,"Lens visible","Weak/no lens")</f>
        <v/>
      </c>
      <c r="V84" s="50">
        <f>IF(R84&gt;=W84,"Likely visible","Weak")</f>
        <v/>
      </c>
      <c r="W84" s="47">
        <f>Subsurface_Inputs!$C$43</f>
        <v/>
      </c>
      <c r="X84" s="47">
        <f>Q84-W84</f>
        <v/>
      </c>
      <c r="Y84" s="47">
        <f>R84-W84</f>
        <v/>
      </c>
      <c r="Z84" s="47">
        <f>MAX(Q84,R84)-W84</f>
        <v/>
      </c>
      <c r="AA84" s="47" t="n">
        <v>0</v>
      </c>
    </row>
    <row r="85">
      <c r="A85" s="47">
        <f>Model_Data!A85</f>
        <v/>
      </c>
      <c r="B85" s="47">
        <f>Model_Data!Y85</f>
        <v/>
      </c>
      <c r="C85" s="47">
        <f>Model_Data!X85</f>
        <v/>
      </c>
      <c r="D85" s="47">
        <f>Model_Data!B85</f>
        <v/>
      </c>
      <c r="E85" s="47">
        <f>Inputs!$C$6</f>
        <v/>
      </c>
      <c r="F85" s="47">
        <f>Subsurface_Inputs!$C$5+Subsurface_Inputs!$C$6*SIN(2*PI()*(A85+Subsurface_Inputs!$C$7)/Subsurface_Inputs!$C$8)+Subsurface_Inputs!$C$9*COS(2*PI()*A85/Subsurface_Inputs!$C$10)+Subsurface_Inputs!$C$11*(B85-AVERAGE($B$2:$B$242))</f>
        <v/>
      </c>
      <c r="G85" s="47">
        <f>B85-F85</f>
        <v/>
      </c>
      <c r="H85" s="47">
        <f>MIN(1,MAX(0,Subsurface_Inputs!$C$13*EXP(-0.5*((A85-Subsurface_Inputs!$C$14)/Subsurface_Inputs!$C$15)^2)+Subsurface_Inputs!$C$16*EXP(-0.5*((A85-Subsurface_Inputs!$C$17)/Subsurface_Inputs!$C$18)^2)))</f>
        <v/>
      </c>
      <c r="I85" s="47">
        <f>Subsurface_Inputs!$C$19+Subsurface_Inputs!$C$20*SIN(2*PI()*(A85-Subsurface_Inputs!$C$21)/Subsurface_Inputs!$C$22)-Subsurface_Inputs!$C$23*H85</f>
        <v/>
      </c>
      <c r="J85" s="47">
        <f>B85-I85</f>
        <v/>
      </c>
      <c r="K85" s="47">
        <f>Subsurface_Inputs!$C$25+Subsurface_Inputs!$C$26*SIN(2*PI()*(A85+Subsurface_Inputs!$C$27)/Subsurface_Inputs!$C$28)+Subsurface_Inputs!$C$29*COS(2*PI()*(A85-Subsurface_Inputs!$C$30)/Subsurface_Inputs!$C$31)-Subsurface_Inputs!$C$32*(B85-AVERAGE($B$2:$B$242))</f>
        <v/>
      </c>
      <c r="L85" s="47">
        <f>B85-K85</f>
        <v/>
      </c>
      <c r="M85" s="47">
        <f>2*Subsurface_Inputs!$C$34*F85/Subsurface_Inputs!$C$35*1000000</f>
        <v/>
      </c>
      <c r="N85" s="47">
        <f>2*Subsurface_Inputs!$C$34*I85/Subsurface_Inputs!$C$35*1000000</f>
        <v/>
      </c>
      <c r="O85" s="47">
        <f>2*Subsurface_Inputs!$C$34*K85/Subsurface_Inputs!$C$35*1000000</f>
        <v/>
      </c>
      <c r="P85" s="47">
        <f>Subsurface_Inputs!$C$37-2*Subsurface_Inputs!$C$36*(F85/1000)</f>
        <v/>
      </c>
      <c r="Q85" s="47">
        <f>Subsurface_Inputs!$C$38+Subsurface_Inputs!$C$39*H85-2*Subsurface_Inputs!$C$36*(I85/1000)</f>
        <v/>
      </c>
      <c r="R85" s="47">
        <f>Subsurface_Inputs!$C$40-2*Subsurface_Inputs!$C$36*(K85/1000)-Subsurface_Inputs!$C$41*ABS(L85-AVERAGE($L$2:$L$242))</f>
        <v/>
      </c>
      <c r="S85" s="47">
        <f>K85-AVERAGE($K$2:$K$242)</f>
        <v/>
      </c>
      <c r="T85" s="47">
        <f>K85/F85</f>
        <v/>
      </c>
      <c r="U85" s="50">
        <f>IF(H85&gt;=Subsurface_Inputs!$C$42,"Lens visible","Weak/no lens")</f>
        <v/>
      </c>
      <c r="V85" s="50">
        <f>IF(R85&gt;=W85,"Likely visible","Weak")</f>
        <v/>
      </c>
      <c r="W85" s="47">
        <f>Subsurface_Inputs!$C$43</f>
        <v/>
      </c>
      <c r="X85" s="47">
        <f>Q85-W85</f>
        <v/>
      </c>
      <c r="Y85" s="47">
        <f>R85-W85</f>
        <v/>
      </c>
      <c r="Z85" s="47">
        <f>MAX(Q85,R85)-W85</f>
        <v/>
      </c>
      <c r="AA85" s="47" t="n">
        <v>0</v>
      </c>
    </row>
    <row r="86">
      <c r="A86" s="47">
        <f>Model_Data!A86</f>
        <v/>
      </c>
      <c r="B86" s="47">
        <f>Model_Data!Y86</f>
        <v/>
      </c>
      <c r="C86" s="47">
        <f>Model_Data!X86</f>
        <v/>
      </c>
      <c r="D86" s="47">
        <f>Model_Data!B86</f>
        <v/>
      </c>
      <c r="E86" s="47">
        <f>Inputs!$C$6</f>
        <v/>
      </c>
      <c r="F86" s="47">
        <f>Subsurface_Inputs!$C$5+Subsurface_Inputs!$C$6*SIN(2*PI()*(A86+Subsurface_Inputs!$C$7)/Subsurface_Inputs!$C$8)+Subsurface_Inputs!$C$9*COS(2*PI()*A86/Subsurface_Inputs!$C$10)+Subsurface_Inputs!$C$11*(B86-AVERAGE($B$2:$B$242))</f>
        <v/>
      </c>
      <c r="G86" s="47">
        <f>B86-F86</f>
        <v/>
      </c>
      <c r="H86" s="47">
        <f>MIN(1,MAX(0,Subsurface_Inputs!$C$13*EXP(-0.5*((A86-Subsurface_Inputs!$C$14)/Subsurface_Inputs!$C$15)^2)+Subsurface_Inputs!$C$16*EXP(-0.5*((A86-Subsurface_Inputs!$C$17)/Subsurface_Inputs!$C$18)^2)))</f>
        <v/>
      </c>
      <c r="I86" s="47">
        <f>Subsurface_Inputs!$C$19+Subsurface_Inputs!$C$20*SIN(2*PI()*(A86-Subsurface_Inputs!$C$21)/Subsurface_Inputs!$C$22)-Subsurface_Inputs!$C$23*H86</f>
        <v/>
      </c>
      <c r="J86" s="47">
        <f>B86-I86</f>
        <v/>
      </c>
      <c r="K86" s="47">
        <f>Subsurface_Inputs!$C$25+Subsurface_Inputs!$C$26*SIN(2*PI()*(A86+Subsurface_Inputs!$C$27)/Subsurface_Inputs!$C$28)+Subsurface_Inputs!$C$29*COS(2*PI()*(A86-Subsurface_Inputs!$C$30)/Subsurface_Inputs!$C$31)-Subsurface_Inputs!$C$32*(B86-AVERAGE($B$2:$B$242))</f>
        <v/>
      </c>
      <c r="L86" s="47">
        <f>B86-K86</f>
        <v/>
      </c>
      <c r="M86" s="47">
        <f>2*Subsurface_Inputs!$C$34*F86/Subsurface_Inputs!$C$35*1000000</f>
        <v/>
      </c>
      <c r="N86" s="47">
        <f>2*Subsurface_Inputs!$C$34*I86/Subsurface_Inputs!$C$35*1000000</f>
        <v/>
      </c>
      <c r="O86" s="47">
        <f>2*Subsurface_Inputs!$C$34*K86/Subsurface_Inputs!$C$35*1000000</f>
        <v/>
      </c>
      <c r="P86" s="47">
        <f>Subsurface_Inputs!$C$37-2*Subsurface_Inputs!$C$36*(F86/1000)</f>
        <v/>
      </c>
      <c r="Q86" s="47">
        <f>Subsurface_Inputs!$C$38+Subsurface_Inputs!$C$39*H86-2*Subsurface_Inputs!$C$36*(I86/1000)</f>
        <v/>
      </c>
      <c r="R86" s="47">
        <f>Subsurface_Inputs!$C$40-2*Subsurface_Inputs!$C$36*(K86/1000)-Subsurface_Inputs!$C$41*ABS(L86-AVERAGE($L$2:$L$242))</f>
        <v/>
      </c>
      <c r="S86" s="47">
        <f>K86-AVERAGE($K$2:$K$242)</f>
        <v/>
      </c>
      <c r="T86" s="47">
        <f>K86/F86</f>
        <v/>
      </c>
      <c r="U86" s="50">
        <f>IF(H86&gt;=Subsurface_Inputs!$C$42,"Lens visible","Weak/no lens")</f>
        <v/>
      </c>
      <c r="V86" s="50">
        <f>IF(R86&gt;=W86,"Likely visible","Weak")</f>
        <v/>
      </c>
      <c r="W86" s="47">
        <f>Subsurface_Inputs!$C$43</f>
        <v/>
      </c>
      <c r="X86" s="47">
        <f>Q86-W86</f>
        <v/>
      </c>
      <c r="Y86" s="47">
        <f>R86-W86</f>
        <v/>
      </c>
      <c r="Z86" s="47">
        <f>MAX(Q86,R86)-W86</f>
        <v/>
      </c>
      <c r="AA86" s="47" t="n">
        <v>0</v>
      </c>
    </row>
    <row r="87">
      <c r="A87" s="47">
        <f>Model_Data!A87</f>
        <v/>
      </c>
      <c r="B87" s="47">
        <f>Model_Data!Y87</f>
        <v/>
      </c>
      <c r="C87" s="47">
        <f>Model_Data!X87</f>
        <v/>
      </c>
      <c r="D87" s="47">
        <f>Model_Data!B87</f>
        <v/>
      </c>
      <c r="E87" s="47">
        <f>Inputs!$C$6</f>
        <v/>
      </c>
      <c r="F87" s="47">
        <f>Subsurface_Inputs!$C$5+Subsurface_Inputs!$C$6*SIN(2*PI()*(A87+Subsurface_Inputs!$C$7)/Subsurface_Inputs!$C$8)+Subsurface_Inputs!$C$9*COS(2*PI()*A87/Subsurface_Inputs!$C$10)+Subsurface_Inputs!$C$11*(B87-AVERAGE($B$2:$B$242))</f>
        <v/>
      </c>
      <c r="G87" s="47">
        <f>B87-F87</f>
        <v/>
      </c>
      <c r="H87" s="47">
        <f>MIN(1,MAX(0,Subsurface_Inputs!$C$13*EXP(-0.5*((A87-Subsurface_Inputs!$C$14)/Subsurface_Inputs!$C$15)^2)+Subsurface_Inputs!$C$16*EXP(-0.5*((A87-Subsurface_Inputs!$C$17)/Subsurface_Inputs!$C$18)^2)))</f>
        <v/>
      </c>
      <c r="I87" s="47">
        <f>Subsurface_Inputs!$C$19+Subsurface_Inputs!$C$20*SIN(2*PI()*(A87-Subsurface_Inputs!$C$21)/Subsurface_Inputs!$C$22)-Subsurface_Inputs!$C$23*H87</f>
        <v/>
      </c>
      <c r="J87" s="47">
        <f>B87-I87</f>
        <v/>
      </c>
      <c r="K87" s="47">
        <f>Subsurface_Inputs!$C$25+Subsurface_Inputs!$C$26*SIN(2*PI()*(A87+Subsurface_Inputs!$C$27)/Subsurface_Inputs!$C$28)+Subsurface_Inputs!$C$29*COS(2*PI()*(A87-Subsurface_Inputs!$C$30)/Subsurface_Inputs!$C$31)-Subsurface_Inputs!$C$32*(B87-AVERAGE($B$2:$B$242))</f>
        <v/>
      </c>
      <c r="L87" s="47">
        <f>B87-K87</f>
        <v/>
      </c>
      <c r="M87" s="47">
        <f>2*Subsurface_Inputs!$C$34*F87/Subsurface_Inputs!$C$35*1000000</f>
        <v/>
      </c>
      <c r="N87" s="47">
        <f>2*Subsurface_Inputs!$C$34*I87/Subsurface_Inputs!$C$35*1000000</f>
        <v/>
      </c>
      <c r="O87" s="47">
        <f>2*Subsurface_Inputs!$C$34*K87/Subsurface_Inputs!$C$35*1000000</f>
        <v/>
      </c>
      <c r="P87" s="47">
        <f>Subsurface_Inputs!$C$37-2*Subsurface_Inputs!$C$36*(F87/1000)</f>
        <v/>
      </c>
      <c r="Q87" s="47">
        <f>Subsurface_Inputs!$C$38+Subsurface_Inputs!$C$39*H87-2*Subsurface_Inputs!$C$36*(I87/1000)</f>
        <v/>
      </c>
      <c r="R87" s="47">
        <f>Subsurface_Inputs!$C$40-2*Subsurface_Inputs!$C$36*(K87/1000)-Subsurface_Inputs!$C$41*ABS(L87-AVERAGE($L$2:$L$242))</f>
        <v/>
      </c>
      <c r="S87" s="47">
        <f>K87-AVERAGE($K$2:$K$242)</f>
        <v/>
      </c>
      <c r="T87" s="47">
        <f>K87/F87</f>
        <v/>
      </c>
      <c r="U87" s="50">
        <f>IF(H87&gt;=Subsurface_Inputs!$C$42,"Lens visible","Weak/no lens")</f>
        <v/>
      </c>
      <c r="V87" s="50">
        <f>IF(R87&gt;=W87,"Likely visible","Weak")</f>
        <v/>
      </c>
      <c r="W87" s="47">
        <f>Subsurface_Inputs!$C$43</f>
        <v/>
      </c>
      <c r="X87" s="47">
        <f>Q87-W87</f>
        <v/>
      </c>
      <c r="Y87" s="47">
        <f>R87-W87</f>
        <v/>
      </c>
      <c r="Z87" s="47">
        <f>MAX(Q87,R87)-W87</f>
        <v/>
      </c>
      <c r="AA87" s="47" t="n">
        <v>0</v>
      </c>
    </row>
    <row r="88">
      <c r="A88" s="47">
        <f>Model_Data!A88</f>
        <v/>
      </c>
      <c r="B88" s="47">
        <f>Model_Data!Y88</f>
        <v/>
      </c>
      <c r="C88" s="47">
        <f>Model_Data!X88</f>
        <v/>
      </c>
      <c r="D88" s="47">
        <f>Model_Data!B88</f>
        <v/>
      </c>
      <c r="E88" s="47">
        <f>Inputs!$C$6</f>
        <v/>
      </c>
      <c r="F88" s="47">
        <f>Subsurface_Inputs!$C$5+Subsurface_Inputs!$C$6*SIN(2*PI()*(A88+Subsurface_Inputs!$C$7)/Subsurface_Inputs!$C$8)+Subsurface_Inputs!$C$9*COS(2*PI()*A88/Subsurface_Inputs!$C$10)+Subsurface_Inputs!$C$11*(B88-AVERAGE($B$2:$B$242))</f>
        <v/>
      </c>
      <c r="G88" s="47">
        <f>B88-F88</f>
        <v/>
      </c>
      <c r="H88" s="47">
        <f>MIN(1,MAX(0,Subsurface_Inputs!$C$13*EXP(-0.5*((A88-Subsurface_Inputs!$C$14)/Subsurface_Inputs!$C$15)^2)+Subsurface_Inputs!$C$16*EXP(-0.5*((A88-Subsurface_Inputs!$C$17)/Subsurface_Inputs!$C$18)^2)))</f>
        <v/>
      </c>
      <c r="I88" s="47">
        <f>Subsurface_Inputs!$C$19+Subsurface_Inputs!$C$20*SIN(2*PI()*(A88-Subsurface_Inputs!$C$21)/Subsurface_Inputs!$C$22)-Subsurface_Inputs!$C$23*H88</f>
        <v/>
      </c>
      <c r="J88" s="47">
        <f>B88-I88</f>
        <v/>
      </c>
      <c r="K88" s="47">
        <f>Subsurface_Inputs!$C$25+Subsurface_Inputs!$C$26*SIN(2*PI()*(A88+Subsurface_Inputs!$C$27)/Subsurface_Inputs!$C$28)+Subsurface_Inputs!$C$29*COS(2*PI()*(A88-Subsurface_Inputs!$C$30)/Subsurface_Inputs!$C$31)-Subsurface_Inputs!$C$32*(B88-AVERAGE($B$2:$B$242))</f>
        <v/>
      </c>
      <c r="L88" s="47">
        <f>B88-K88</f>
        <v/>
      </c>
      <c r="M88" s="47">
        <f>2*Subsurface_Inputs!$C$34*F88/Subsurface_Inputs!$C$35*1000000</f>
        <v/>
      </c>
      <c r="N88" s="47">
        <f>2*Subsurface_Inputs!$C$34*I88/Subsurface_Inputs!$C$35*1000000</f>
        <v/>
      </c>
      <c r="O88" s="47">
        <f>2*Subsurface_Inputs!$C$34*K88/Subsurface_Inputs!$C$35*1000000</f>
        <v/>
      </c>
      <c r="P88" s="47">
        <f>Subsurface_Inputs!$C$37-2*Subsurface_Inputs!$C$36*(F88/1000)</f>
        <v/>
      </c>
      <c r="Q88" s="47">
        <f>Subsurface_Inputs!$C$38+Subsurface_Inputs!$C$39*H88-2*Subsurface_Inputs!$C$36*(I88/1000)</f>
        <v/>
      </c>
      <c r="R88" s="47">
        <f>Subsurface_Inputs!$C$40-2*Subsurface_Inputs!$C$36*(K88/1000)-Subsurface_Inputs!$C$41*ABS(L88-AVERAGE($L$2:$L$242))</f>
        <v/>
      </c>
      <c r="S88" s="47">
        <f>K88-AVERAGE($K$2:$K$242)</f>
        <v/>
      </c>
      <c r="T88" s="47">
        <f>K88/F88</f>
        <v/>
      </c>
      <c r="U88" s="50">
        <f>IF(H88&gt;=Subsurface_Inputs!$C$42,"Lens visible","Weak/no lens")</f>
        <v/>
      </c>
      <c r="V88" s="50">
        <f>IF(R88&gt;=W88,"Likely visible","Weak")</f>
        <v/>
      </c>
      <c r="W88" s="47">
        <f>Subsurface_Inputs!$C$43</f>
        <v/>
      </c>
      <c r="X88" s="47">
        <f>Q88-W88</f>
        <v/>
      </c>
      <c r="Y88" s="47">
        <f>R88-W88</f>
        <v/>
      </c>
      <c r="Z88" s="47">
        <f>MAX(Q88,R88)-W88</f>
        <v/>
      </c>
      <c r="AA88" s="47" t="n">
        <v>0</v>
      </c>
    </row>
    <row r="89">
      <c r="A89" s="47">
        <f>Model_Data!A89</f>
        <v/>
      </c>
      <c r="B89" s="47">
        <f>Model_Data!Y89</f>
        <v/>
      </c>
      <c r="C89" s="47">
        <f>Model_Data!X89</f>
        <v/>
      </c>
      <c r="D89" s="47">
        <f>Model_Data!B89</f>
        <v/>
      </c>
      <c r="E89" s="47">
        <f>Inputs!$C$6</f>
        <v/>
      </c>
      <c r="F89" s="47">
        <f>Subsurface_Inputs!$C$5+Subsurface_Inputs!$C$6*SIN(2*PI()*(A89+Subsurface_Inputs!$C$7)/Subsurface_Inputs!$C$8)+Subsurface_Inputs!$C$9*COS(2*PI()*A89/Subsurface_Inputs!$C$10)+Subsurface_Inputs!$C$11*(B89-AVERAGE($B$2:$B$242))</f>
        <v/>
      </c>
      <c r="G89" s="47">
        <f>B89-F89</f>
        <v/>
      </c>
      <c r="H89" s="47">
        <f>MIN(1,MAX(0,Subsurface_Inputs!$C$13*EXP(-0.5*((A89-Subsurface_Inputs!$C$14)/Subsurface_Inputs!$C$15)^2)+Subsurface_Inputs!$C$16*EXP(-0.5*((A89-Subsurface_Inputs!$C$17)/Subsurface_Inputs!$C$18)^2)))</f>
        <v/>
      </c>
      <c r="I89" s="47">
        <f>Subsurface_Inputs!$C$19+Subsurface_Inputs!$C$20*SIN(2*PI()*(A89-Subsurface_Inputs!$C$21)/Subsurface_Inputs!$C$22)-Subsurface_Inputs!$C$23*H89</f>
        <v/>
      </c>
      <c r="J89" s="47">
        <f>B89-I89</f>
        <v/>
      </c>
      <c r="K89" s="47">
        <f>Subsurface_Inputs!$C$25+Subsurface_Inputs!$C$26*SIN(2*PI()*(A89+Subsurface_Inputs!$C$27)/Subsurface_Inputs!$C$28)+Subsurface_Inputs!$C$29*COS(2*PI()*(A89-Subsurface_Inputs!$C$30)/Subsurface_Inputs!$C$31)-Subsurface_Inputs!$C$32*(B89-AVERAGE($B$2:$B$242))</f>
        <v/>
      </c>
      <c r="L89" s="47">
        <f>B89-K89</f>
        <v/>
      </c>
      <c r="M89" s="47">
        <f>2*Subsurface_Inputs!$C$34*F89/Subsurface_Inputs!$C$35*1000000</f>
        <v/>
      </c>
      <c r="N89" s="47">
        <f>2*Subsurface_Inputs!$C$34*I89/Subsurface_Inputs!$C$35*1000000</f>
        <v/>
      </c>
      <c r="O89" s="47">
        <f>2*Subsurface_Inputs!$C$34*K89/Subsurface_Inputs!$C$35*1000000</f>
        <v/>
      </c>
      <c r="P89" s="47">
        <f>Subsurface_Inputs!$C$37-2*Subsurface_Inputs!$C$36*(F89/1000)</f>
        <v/>
      </c>
      <c r="Q89" s="47">
        <f>Subsurface_Inputs!$C$38+Subsurface_Inputs!$C$39*H89-2*Subsurface_Inputs!$C$36*(I89/1000)</f>
        <v/>
      </c>
      <c r="R89" s="47">
        <f>Subsurface_Inputs!$C$40-2*Subsurface_Inputs!$C$36*(K89/1000)-Subsurface_Inputs!$C$41*ABS(L89-AVERAGE($L$2:$L$242))</f>
        <v/>
      </c>
      <c r="S89" s="47">
        <f>K89-AVERAGE($K$2:$K$242)</f>
        <v/>
      </c>
      <c r="T89" s="47">
        <f>K89/F89</f>
        <v/>
      </c>
      <c r="U89" s="50">
        <f>IF(H89&gt;=Subsurface_Inputs!$C$42,"Lens visible","Weak/no lens")</f>
        <v/>
      </c>
      <c r="V89" s="50">
        <f>IF(R89&gt;=W89,"Likely visible","Weak")</f>
        <v/>
      </c>
      <c r="W89" s="47">
        <f>Subsurface_Inputs!$C$43</f>
        <v/>
      </c>
      <c r="X89" s="47">
        <f>Q89-W89</f>
        <v/>
      </c>
      <c r="Y89" s="47">
        <f>R89-W89</f>
        <v/>
      </c>
      <c r="Z89" s="47">
        <f>MAX(Q89,R89)-W89</f>
        <v/>
      </c>
      <c r="AA89" s="47" t="n">
        <v>0</v>
      </c>
    </row>
    <row r="90">
      <c r="A90" s="47">
        <f>Model_Data!A90</f>
        <v/>
      </c>
      <c r="B90" s="47">
        <f>Model_Data!Y90</f>
        <v/>
      </c>
      <c r="C90" s="47">
        <f>Model_Data!X90</f>
        <v/>
      </c>
      <c r="D90" s="47">
        <f>Model_Data!B90</f>
        <v/>
      </c>
      <c r="E90" s="47">
        <f>Inputs!$C$6</f>
        <v/>
      </c>
      <c r="F90" s="47">
        <f>Subsurface_Inputs!$C$5+Subsurface_Inputs!$C$6*SIN(2*PI()*(A90+Subsurface_Inputs!$C$7)/Subsurface_Inputs!$C$8)+Subsurface_Inputs!$C$9*COS(2*PI()*A90/Subsurface_Inputs!$C$10)+Subsurface_Inputs!$C$11*(B90-AVERAGE($B$2:$B$242))</f>
        <v/>
      </c>
      <c r="G90" s="47">
        <f>B90-F90</f>
        <v/>
      </c>
      <c r="H90" s="47">
        <f>MIN(1,MAX(0,Subsurface_Inputs!$C$13*EXP(-0.5*((A90-Subsurface_Inputs!$C$14)/Subsurface_Inputs!$C$15)^2)+Subsurface_Inputs!$C$16*EXP(-0.5*((A90-Subsurface_Inputs!$C$17)/Subsurface_Inputs!$C$18)^2)))</f>
        <v/>
      </c>
      <c r="I90" s="47">
        <f>Subsurface_Inputs!$C$19+Subsurface_Inputs!$C$20*SIN(2*PI()*(A90-Subsurface_Inputs!$C$21)/Subsurface_Inputs!$C$22)-Subsurface_Inputs!$C$23*H90</f>
        <v/>
      </c>
      <c r="J90" s="47">
        <f>B90-I90</f>
        <v/>
      </c>
      <c r="K90" s="47">
        <f>Subsurface_Inputs!$C$25+Subsurface_Inputs!$C$26*SIN(2*PI()*(A90+Subsurface_Inputs!$C$27)/Subsurface_Inputs!$C$28)+Subsurface_Inputs!$C$29*COS(2*PI()*(A90-Subsurface_Inputs!$C$30)/Subsurface_Inputs!$C$31)-Subsurface_Inputs!$C$32*(B90-AVERAGE($B$2:$B$242))</f>
        <v/>
      </c>
      <c r="L90" s="47">
        <f>B90-K90</f>
        <v/>
      </c>
      <c r="M90" s="47">
        <f>2*Subsurface_Inputs!$C$34*F90/Subsurface_Inputs!$C$35*1000000</f>
        <v/>
      </c>
      <c r="N90" s="47">
        <f>2*Subsurface_Inputs!$C$34*I90/Subsurface_Inputs!$C$35*1000000</f>
        <v/>
      </c>
      <c r="O90" s="47">
        <f>2*Subsurface_Inputs!$C$34*K90/Subsurface_Inputs!$C$35*1000000</f>
        <v/>
      </c>
      <c r="P90" s="47">
        <f>Subsurface_Inputs!$C$37-2*Subsurface_Inputs!$C$36*(F90/1000)</f>
        <v/>
      </c>
      <c r="Q90" s="47">
        <f>Subsurface_Inputs!$C$38+Subsurface_Inputs!$C$39*H90-2*Subsurface_Inputs!$C$36*(I90/1000)</f>
        <v/>
      </c>
      <c r="R90" s="47">
        <f>Subsurface_Inputs!$C$40-2*Subsurface_Inputs!$C$36*(K90/1000)-Subsurface_Inputs!$C$41*ABS(L90-AVERAGE($L$2:$L$242))</f>
        <v/>
      </c>
      <c r="S90" s="47">
        <f>K90-AVERAGE($K$2:$K$242)</f>
        <v/>
      </c>
      <c r="T90" s="47">
        <f>K90/F90</f>
        <v/>
      </c>
      <c r="U90" s="50">
        <f>IF(H90&gt;=Subsurface_Inputs!$C$42,"Lens visible","Weak/no lens")</f>
        <v/>
      </c>
      <c r="V90" s="50">
        <f>IF(R90&gt;=W90,"Likely visible","Weak")</f>
        <v/>
      </c>
      <c r="W90" s="47">
        <f>Subsurface_Inputs!$C$43</f>
        <v/>
      </c>
      <c r="X90" s="47">
        <f>Q90-W90</f>
        <v/>
      </c>
      <c r="Y90" s="47">
        <f>R90-W90</f>
        <v/>
      </c>
      <c r="Z90" s="47">
        <f>MAX(Q90,R90)-W90</f>
        <v/>
      </c>
      <c r="AA90" s="47" t="n">
        <v>0</v>
      </c>
    </row>
    <row r="91">
      <c r="A91" s="47">
        <f>Model_Data!A91</f>
        <v/>
      </c>
      <c r="B91" s="47">
        <f>Model_Data!Y91</f>
        <v/>
      </c>
      <c r="C91" s="47">
        <f>Model_Data!X91</f>
        <v/>
      </c>
      <c r="D91" s="47">
        <f>Model_Data!B91</f>
        <v/>
      </c>
      <c r="E91" s="47">
        <f>Inputs!$C$6</f>
        <v/>
      </c>
      <c r="F91" s="47">
        <f>Subsurface_Inputs!$C$5+Subsurface_Inputs!$C$6*SIN(2*PI()*(A91+Subsurface_Inputs!$C$7)/Subsurface_Inputs!$C$8)+Subsurface_Inputs!$C$9*COS(2*PI()*A91/Subsurface_Inputs!$C$10)+Subsurface_Inputs!$C$11*(B91-AVERAGE($B$2:$B$242))</f>
        <v/>
      </c>
      <c r="G91" s="47">
        <f>B91-F91</f>
        <v/>
      </c>
      <c r="H91" s="47">
        <f>MIN(1,MAX(0,Subsurface_Inputs!$C$13*EXP(-0.5*((A91-Subsurface_Inputs!$C$14)/Subsurface_Inputs!$C$15)^2)+Subsurface_Inputs!$C$16*EXP(-0.5*((A91-Subsurface_Inputs!$C$17)/Subsurface_Inputs!$C$18)^2)))</f>
        <v/>
      </c>
      <c r="I91" s="47">
        <f>Subsurface_Inputs!$C$19+Subsurface_Inputs!$C$20*SIN(2*PI()*(A91-Subsurface_Inputs!$C$21)/Subsurface_Inputs!$C$22)-Subsurface_Inputs!$C$23*H91</f>
        <v/>
      </c>
      <c r="J91" s="47">
        <f>B91-I91</f>
        <v/>
      </c>
      <c r="K91" s="47">
        <f>Subsurface_Inputs!$C$25+Subsurface_Inputs!$C$26*SIN(2*PI()*(A91+Subsurface_Inputs!$C$27)/Subsurface_Inputs!$C$28)+Subsurface_Inputs!$C$29*COS(2*PI()*(A91-Subsurface_Inputs!$C$30)/Subsurface_Inputs!$C$31)-Subsurface_Inputs!$C$32*(B91-AVERAGE($B$2:$B$242))</f>
        <v/>
      </c>
      <c r="L91" s="47">
        <f>B91-K91</f>
        <v/>
      </c>
      <c r="M91" s="47">
        <f>2*Subsurface_Inputs!$C$34*F91/Subsurface_Inputs!$C$35*1000000</f>
        <v/>
      </c>
      <c r="N91" s="47">
        <f>2*Subsurface_Inputs!$C$34*I91/Subsurface_Inputs!$C$35*1000000</f>
        <v/>
      </c>
      <c r="O91" s="47">
        <f>2*Subsurface_Inputs!$C$34*K91/Subsurface_Inputs!$C$35*1000000</f>
        <v/>
      </c>
      <c r="P91" s="47">
        <f>Subsurface_Inputs!$C$37-2*Subsurface_Inputs!$C$36*(F91/1000)</f>
        <v/>
      </c>
      <c r="Q91" s="47">
        <f>Subsurface_Inputs!$C$38+Subsurface_Inputs!$C$39*H91-2*Subsurface_Inputs!$C$36*(I91/1000)</f>
        <v/>
      </c>
      <c r="R91" s="47">
        <f>Subsurface_Inputs!$C$40-2*Subsurface_Inputs!$C$36*(K91/1000)-Subsurface_Inputs!$C$41*ABS(L91-AVERAGE($L$2:$L$242))</f>
        <v/>
      </c>
      <c r="S91" s="47">
        <f>K91-AVERAGE($K$2:$K$242)</f>
        <v/>
      </c>
      <c r="T91" s="47">
        <f>K91/F91</f>
        <v/>
      </c>
      <c r="U91" s="50">
        <f>IF(H91&gt;=Subsurface_Inputs!$C$42,"Lens visible","Weak/no lens")</f>
        <v/>
      </c>
      <c r="V91" s="50">
        <f>IF(R91&gt;=W91,"Likely visible","Weak")</f>
        <v/>
      </c>
      <c r="W91" s="47">
        <f>Subsurface_Inputs!$C$43</f>
        <v/>
      </c>
      <c r="X91" s="47">
        <f>Q91-W91</f>
        <v/>
      </c>
      <c r="Y91" s="47">
        <f>R91-W91</f>
        <v/>
      </c>
      <c r="Z91" s="47">
        <f>MAX(Q91,R91)-W91</f>
        <v/>
      </c>
      <c r="AA91" s="47" t="n">
        <v>0</v>
      </c>
    </row>
    <row r="92">
      <c r="A92" s="47">
        <f>Model_Data!A92</f>
        <v/>
      </c>
      <c r="B92" s="47">
        <f>Model_Data!Y92</f>
        <v/>
      </c>
      <c r="C92" s="47">
        <f>Model_Data!X92</f>
        <v/>
      </c>
      <c r="D92" s="47">
        <f>Model_Data!B92</f>
        <v/>
      </c>
      <c r="E92" s="47">
        <f>Inputs!$C$6</f>
        <v/>
      </c>
      <c r="F92" s="47">
        <f>Subsurface_Inputs!$C$5+Subsurface_Inputs!$C$6*SIN(2*PI()*(A92+Subsurface_Inputs!$C$7)/Subsurface_Inputs!$C$8)+Subsurface_Inputs!$C$9*COS(2*PI()*A92/Subsurface_Inputs!$C$10)+Subsurface_Inputs!$C$11*(B92-AVERAGE($B$2:$B$242))</f>
        <v/>
      </c>
      <c r="G92" s="47">
        <f>B92-F92</f>
        <v/>
      </c>
      <c r="H92" s="47">
        <f>MIN(1,MAX(0,Subsurface_Inputs!$C$13*EXP(-0.5*((A92-Subsurface_Inputs!$C$14)/Subsurface_Inputs!$C$15)^2)+Subsurface_Inputs!$C$16*EXP(-0.5*((A92-Subsurface_Inputs!$C$17)/Subsurface_Inputs!$C$18)^2)))</f>
        <v/>
      </c>
      <c r="I92" s="47">
        <f>Subsurface_Inputs!$C$19+Subsurface_Inputs!$C$20*SIN(2*PI()*(A92-Subsurface_Inputs!$C$21)/Subsurface_Inputs!$C$22)-Subsurface_Inputs!$C$23*H92</f>
        <v/>
      </c>
      <c r="J92" s="47">
        <f>B92-I92</f>
        <v/>
      </c>
      <c r="K92" s="47">
        <f>Subsurface_Inputs!$C$25+Subsurface_Inputs!$C$26*SIN(2*PI()*(A92+Subsurface_Inputs!$C$27)/Subsurface_Inputs!$C$28)+Subsurface_Inputs!$C$29*COS(2*PI()*(A92-Subsurface_Inputs!$C$30)/Subsurface_Inputs!$C$31)-Subsurface_Inputs!$C$32*(B92-AVERAGE($B$2:$B$242))</f>
        <v/>
      </c>
      <c r="L92" s="47">
        <f>B92-K92</f>
        <v/>
      </c>
      <c r="M92" s="47">
        <f>2*Subsurface_Inputs!$C$34*F92/Subsurface_Inputs!$C$35*1000000</f>
        <v/>
      </c>
      <c r="N92" s="47">
        <f>2*Subsurface_Inputs!$C$34*I92/Subsurface_Inputs!$C$35*1000000</f>
        <v/>
      </c>
      <c r="O92" s="47">
        <f>2*Subsurface_Inputs!$C$34*K92/Subsurface_Inputs!$C$35*1000000</f>
        <v/>
      </c>
      <c r="P92" s="47">
        <f>Subsurface_Inputs!$C$37-2*Subsurface_Inputs!$C$36*(F92/1000)</f>
        <v/>
      </c>
      <c r="Q92" s="47">
        <f>Subsurface_Inputs!$C$38+Subsurface_Inputs!$C$39*H92-2*Subsurface_Inputs!$C$36*(I92/1000)</f>
        <v/>
      </c>
      <c r="R92" s="47">
        <f>Subsurface_Inputs!$C$40-2*Subsurface_Inputs!$C$36*(K92/1000)-Subsurface_Inputs!$C$41*ABS(L92-AVERAGE($L$2:$L$242))</f>
        <v/>
      </c>
      <c r="S92" s="47">
        <f>K92-AVERAGE($K$2:$K$242)</f>
        <v/>
      </c>
      <c r="T92" s="47">
        <f>K92/F92</f>
        <v/>
      </c>
      <c r="U92" s="50">
        <f>IF(H92&gt;=Subsurface_Inputs!$C$42,"Lens visible","Weak/no lens")</f>
        <v/>
      </c>
      <c r="V92" s="50">
        <f>IF(R92&gt;=W92,"Likely visible","Weak")</f>
        <v/>
      </c>
      <c r="W92" s="47">
        <f>Subsurface_Inputs!$C$43</f>
        <v/>
      </c>
      <c r="X92" s="47">
        <f>Q92-W92</f>
        <v/>
      </c>
      <c r="Y92" s="47">
        <f>R92-W92</f>
        <v/>
      </c>
      <c r="Z92" s="47">
        <f>MAX(Q92,R92)-W92</f>
        <v/>
      </c>
      <c r="AA92" s="47" t="n">
        <v>0</v>
      </c>
    </row>
    <row r="93">
      <c r="A93" s="47">
        <f>Model_Data!A93</f>
        <v/>
      </c>
      <c r="B93" s="47">
        <f>Model_Data!Y93</f>
        <v/>
      </c>
      <c r="C93" s="47">
        <f>Model_Data!X93</f>
        <v/>
      </c>
      <c r="D93" s="47">
        <f>Model_Data!B93</f>
        <v/>
      </c>
      <c r="E93" s="47">
        <f>Inputs!$C$6</f>
        <v/>
      </c>
      <c r="F93" s="47">
        <f>Subsurface_Inputs!$C$5+Subsurface_Inputs!$C$6*SIN(2*PI()*(A93+Subsurface_Inputs!$C$7)/Subsurface_Inputs!$C$8)+Subsurface_Inputs!$C$9*COS(2*PI()*A93/Subsurface_Inputs!$C$10)+Subsurface_Inputs!$C$11*(B93-AVERAGE($B$2:$B$242))</f>
        <v/>
      </c>
      <c r="G93" s="47">
        <f>B93-F93</f>
        <v/>
      </c>
      <c r="H93" s="47">
        <f>MIN(1,MAX(0,Subsurface_Inputs!$C$13*EXP(-0.5*((A93-Subsurface_Inputs!$C$14)/Subsurface_Inputs!$C$15)^2)+Subsurface_Inputs!$C$16*EXP(-0.5*((A93-Subsurface_Inputs!$C$17)/Subsurface_Inputs!$C$18)^2)))</f>
        <v/>
      </c>
      <c r="I93" s="47">
        <f>Subsurface_Inputs!$C$19+Subsurface_Inputs!$C$20*SIN(2*PI()*(A93-Subsurface_Inputs!$C$21)/Subsurface_Inputs!$C$22)-Subsurface_Inputs!$C$23*H93</f>
        <v/>
      </c>
      <c r="J93" s="47">
        <f>B93-I93</f>
        <v/>
      </c>
      <c r="K93" s="47">
        <f>Subsurface_Inputs!$C$25+Subsurface_Inputs!$C$26*SIN(2*PI()*(A93+Subsurface_Inputs!$C$27)/Subsurface_Inputs!$C$28)+Subsurface_Inputs!$C$29*COS(2*PI()*(A93-Subsurface_Inputs!$C$30)/Subsurface_Inputs!$C$31)-Subsurface_Inputs!$C$32*(B93-AVERAGE($B$2:$B$242))</f>
        <v/>
      </c>
      <c r="L93" s="47">
        <f>B93-K93</f>
        <v/>
      </c>
      <c r="M93" s="47">
        <f>2*Subsurface_Inputs!$C$34*F93/Subsurface_Inputs!$C$35*1000000</f>
        <v/>
      </c>
      <c r="N93" s="47">
        <f>2*Subsurface_Inputs!$C$34*I93/Subsurface_Inputs!$C$35*1000000</f>
        <v/>
      </c>
      <c r="O93" s="47">
        <f>2*Subsurface_Inputs!$C$34*K93/Subsurface_Inputs!$C$35*1000000</f>
        <v/>
      </c>
      <c r="P93" s="47">
        <f>Subsurface_Inputs!$C$37-2*Subsurface_Inputs!$C$36*(F93/1000)</f>
        <v/>
      </c>
      <c r="Q93" s="47">
        <f>Subsurface_Inputs!$C$38+Subsurface_Inputs!$C$39*H93-2*Subsurface_Inputs!$C$36*(I93/1000)</f>
        <v/>
      </c>
      <c r="R93" s="47">
        <f>Subsurface_Inputs!$C$40-2*Subsurface_Inputs!$C$36*(K93/1000)-Subsurface_Inputs!$C$41*ABS(L93-AVERAGE($L$2:$L$242))</f>
        <v/>
      </c>
      <c r="S93" s="47">
        <f>K93-AVERAGE($K$2:$K$242)</f>
        <v/>
      </c>
      <c r="T93" s="47">
        <f>K93/F93</f>
        <v/>
      </c>
      <c r="U93" s="50">
        <f>IF(H93&gt;=Subsurface_Inputs!$C$42,"Lens visible","Weak/no lens")</f>
        <v/>
      </c>
      <c r="V93" s="50">
        <f>IF(R93&gt;=W93,"Likely visible","Weak")</f>
        <v/>
      </c>
      <c r="W93" s="47">
        <f>Subsurface_Inputs!$C$43</f>
        <v/>
      </c>
      <c r="X93" s="47">
        <f>Q93-W93</f>
        <v/>
      </c>
      <c r="Y93" s="47">
        <f>R93-W93</f>
        <v/>
      </c>
      <c r="Z93" s="47">
        <f>MAX(Q93,R93)-W93</f>
        <v/>
      </c>
      <c r="AA93" s="47" t="n">
        <v>0</v>
      </c>
    </row>
    <row r="94">
      <c r="A94" s="47">
        <f>Model_Data!A94</f>
        <v/>
      </c>
      <c r="B94" s="47">
        <f>Model_Data!Y94</f>
        <v/>
      </c>
      <c r="C94" s="47">
        <f>Model_Data!X94</f>
        <v/>
      </c>
      <c r="D94" s="47">
        <f>Model_Data!B94</f>
        <v/>
      </c>
      <c r="E94" s="47">
        <f>Inputs!$C$6</f>
        <v/>
      </c>
      <c r="F94" s="47">
        <f>Subsurface_Inputs!$C$5+Subsurface_Inputs!$C$6*SIN(2*PI()*(A94+Subsurface_Inputs!$C$7)/Subsurface_Inputs!$C$8)+Subsurface_Inputs!$C$9*COS(2*PI()*A94/Subsurface_Inputs!$C$10)+Subsurface_Inputs!$C$11*(B94-AVERAGE($B$2:$B$242))</f>
        <v/>
      </c>
      <c r="G94" s="47">
        <f>B94-F94</f>
        <v/>
      </c>
      <c r="H94" s="47">
        <f>MIN(1,MAX(0,Subsurface_Inputs!$C$13*EXP(-0.5*((A94-Subsurface_Inputs!$C$14)/Subsurface_Inputs!$C$15)^2)+Subsurface_Inputs!$C$16*EXP(-0.5*((A94-Subsurface_Inputs!$C$17)/Subsurface_Inputs!$C$18)^2)))</f>
        <v/>
      </c>
      <c r="I94" s="47">
        <f>Subsurface_Inputs!$C$19+Subsurface_Inputs!$C$20*SIN(2*PI()*(A94-Subsurface_Inputs!$C$21)/Subsurface_Inputs!$C$22)-Subsurface_Inputs!$C$23*H94</f>
        <v/>
      </c>
      <c r="J94" s="47">
        <f>B94-I94</f>
        <v/>
      </c>
      <c r="K94" s="47">
        <f>Subsurface_Inputs!$C$25+Subsurface_Inputs!$C$26*SIN(2*PI()*(A94+Subsurface_Inputs!$C$27)/Subsurface_Inputs!$C$28)+Subsurface_Inputs!$C$29*COS(2*PI()*(A94-Subsurface_Inputs!$C$30)/Subsurface_Inputs!$C$31)-Subsurface_Inputs!$C$32*(B94-AVERAGE($B$2:$B$242))</f>
        <v/>
      </c>
      <c r="L94" s="47">
        <f>B94-K94</f>
        <v/>
      </c>
      <c r="M94" s="47">
        <f>2*Subsurface_Inputs!$C$34*F94/Subsurface_Inputs!$C$35*1000000</f>
        <v/>
      </c>
      <c r="N94" s="47">
        <f>2*Subsurface_Inputs!$C$34*I94/Subsurface_Inputs!$C$35*1000000</f>
        <v/>
      </c>
      <c r="O94" s="47">
        <f>2*Subsurface_Inputs!$C$34*K94/Subsurface_Inputs!$C$35*1000000</f>
        <v/>
      </c>
      <c r="P94" s="47">
        <f>Subsurface_Inputs!$C$37-2*Subsurface_Inputs!$C$36*(F94/1000)</f>
        <v/>
      </c>
      <c r="Q94" s="47">
        <f>Subsurface_Inputs!$C$38+Subsurface_Inputs!$C$39*H94-2*Subsurface_Inputs!$C$36*(I94/1000)</f>
        <v/>
      </c>
      <c r="R94" s="47">
        <f>Subsurface_Inputs!$C$40-2*Subsurface_Inputs!$C$36*(K94/1000)-Subsurface_Inputs!$C$41*ABS(L94-AVERAGE($L$2:$L$242))</f>
        <v/>
      </c>
      <c r="S94" s="47">
        <f>K94-AVERAGE($K$2:$K$242)</f>
        <v/>
      </c>
      <c r="T94" s="47">
        <f>K94/F94</f>
        <v/>
      </c>
      <c r="U94" s="50">
        <f>IF(H94&gt;=Subsurface_Inputs!$C$42,"Lens visible","Weak/no lens")</f>
        <v/>
      </c>
      <c r="V94" s="50">
        <f>IF(R94&gt;=W94,"Likely visible","Weak")</f>
        <v/>
      </c>
      <c r="W94" s="47">
        <f>Subsurface_Inputs!$C$43</f>
        <v/>
      </c>
      <c r="X94" s="47">
        <f>Q94-W94</f>
        <v/>
      </c>
      <c r="Y94" s="47">
        <f>R94-W94</f>
        <v/>
      </c>
      <c r="Z94" s="47">
        <f>MAX(Q94,R94)-W94</f>
        <v/>
      </c>
      <c r="AA94" s="47" t="n">
        <v>0</v>
      </c>
    </row>
    <row r="95">
      <c r="A95" s="47">
        <f>Model_Data!A95</f>
        <v/>
      </c>
      <c r="B95" s="47">
        <f>Model_Data!Y95</f>
        <v/>
      </c>
      <c r="C95" s="47">
        <f>Model_Data!X95</f>
        <v/>
      </c>
      <c r="D95" s="47">
        <f>Model_Data!B95</f>
        <v/>
      </c>
      <c r="E95" s="47">
        <f>Inputs!$C$6</f>
        <v/>
      </c>
      <c r="F95" s="47">
        <f>Subsurface_Inputs!$C$5+Subsurface_Inputs!$C$6*SIN(2*PI()*(A95+Subsurface_Inputs!$C$7)/Subsurface_Inputs!$C$8)+Subsurface_Inputs!$C$9*COS(2*PI()*A95/Subsurface_Inputs!$C$10)+Subsurface_Inputs!$C$11*(B95-AVERAGE($B$2:$B$242))</f>
        <v/>
      </c>
      <c r="G95" s="47">
        <f>B95-F95</f>
        <v/>
      </c>
      <c r="H95" s="47">
        <f>MIN(1,MAX(0,Subsurface_Inputs!$C$13*EXP(-0.5*((A95-Subsurface_Inputs!$C$14)/Subsurface_Inputs!$C$15)^2)+Subsurface_Inputs!$C$16*EXP(-0.5*((A95-Subsurface_Inputs!$C$17)/Subsurface_Inputs!$C$18)^2)))</f>
        <v/>
      </c>
      <c r="I95" s="47">
        <f>Subsurface_Inputs!$C$19+Subsurface_Inputs!$C$20*SIN(2*PI()*(A95-Subsurface_Inputs!$C$21)/Subsurface_Inputs!$C$22)-Subsurface_Inputs!$C$23*H95</f>
        <v/>
      </c>
      <c r="J95" s="47">
        <f>B95-I95</f>
        <v/>
      </c>
      <c r="K95" s="47">
        <f>Subsurface_Inputs!$C$25+Subsurface_Inputs!$C$26*SIN(2*PI()*(A95+Subsurface_Inputs!$C$27)/Subsurface_Inputs!$C$28)+Subsurface_Inputs!$C$29*COS(2*PI()*(A95-Subsurface_Inputs!$C$30)/Subsurface_Inputs!$C$31)-Subsurface_Inputs!$C$32*(B95-AVERAGE($B$2:$B$242))</f>
        <v/>
      </c>
      <c r="L95" s="47">
        <f>B95-K95</f>
        <v/>
      </c>
      <c r="M95" s="47">
        <f>2*Subsurface_Inputs!$C$34*F95/Subsurface_Inputs!$C$35*1000000</f>
        <v/>
      </c>
      <c r="N95" s="47">
        <f>2*Subsurface_Inputs!$C$34*I95/Subsurface_Inputs!$C$35*1000000</f>
        <v/>
      </c>
      <c r="O95" s="47">
        <f>2*Subsurface_Inputs!$C$34*K95/Subsurface_Inputs!$C$35*1000000</f>
        <v/>
      </c>
      <c r="P95" s="47">
        <f>Subsurface_Inputs!$C$37-2*Subsurface_Inputs!$C$36*(F95/1000)</f>
        <v/>
      </c>
      <c r="Q95" s="47">
        <f>Subsurface_Inputs!$C$38+Subsurface_Inputs!$C$39*H95-2*Subsurface_Inputs!$C$36*(I95/1000)</f>
        <v/>
      </c>
      <c r="R95" s="47">
        <f>Subsurface_Inputs!$C$40-2*Subsurface_Inputs!$C$36*(K95/1000)-Subsurface_Inputs!$C$41*ABS(L95-AVERAGE($L$2:$L$242))</f>
        <v/>
      </c>
      <c r="S95" s="47">
        <f>K95-AVERAGE($K$2:$K$242)</f>
        <v/>
      </c>
      <c r="T95" s="47">
        <f>K95/F95</f>
        <v/>
      </c>
      <c r="U95" s="50">
        <f>IF(H95&gt;=Subsurface_Inputs!$C$42,"Lens visible","Weak/no lens")</f>
        <v/>
      </c>
      <c r="V95" s="50">
        <f>IF(R95&gt;=W95,"Likely visible","Weak")</f>
        <v/>
      </c>
      <c r="W95" s="47">
        <f>Subsurface_Inputs!$C$43</f>
        <v/>
      </c>
      <c r="X95" s="47">
        <f>Q95-W95</f>
        <v/>
      </c>
      <c r="Y95" s="47">
        <f>R95-W95</f>
        <v/>
      </c>
      <c r="Z95" s="47">
        <f>MAX(Q95,R95)-W95</f>
        <v/>
      </c>
      <c r="AA95" s="47" t="n">
        <v>0</v>
      </c>
    </row>
    <row r="96">
      <c r="A96" s="47">
        <f>Model_Data!A96</f>
        <v/>
      </c>
      <c r="B96" s="47">
        <f>Model_Data!Y96</f>
        <v/>
      </c>
      <c r="C96" s="47">
        <f>Model_Data!X96</f>
        <v/>
      </c>
      <c r="D96" s="47">
        <f>Model_Data!B96</f>
        <v/>
      </c>
      <c r="E96" s="47">
        <f>Inputs!$C$6</f>
        <v/>
      </c>
      <c r="F96" s="47">
        <f>Subsurface_Inputs!$C$5+Subsurface_Inputs!$C$6*SIN(2*PI()*(A96+Subsurface_Inputs!$C$7)/Subsurface_Inputs!$C$8)+Subsurface_Inputs!$C$9*COS(2*PI()*A96/Subsurface_Inputs!$C$10)+Subsurface_Inputs!$C$11*(B96-AVERAGE($B$2:$B$242))</f>
        <v/>
      </c>
      <c r="G96" s="47">
        <f>B96-F96</f>
        <v/>
      </c>
      <c r="H96" s="47">
        <f>MIN(1,MAX(0,Subsurface_Inputs!$C$13*EXP(-0.5*((A96-Subsurface_Inputs!$C$14)/Subsurface_Inputs!$C$15)^2)+Subsurface_Inputs!$C$16*EXP(-0.5*((A96-Subsurface_Inputs!$C$17)/Subsurface_Inputs!$C$18)^2)))</f>
        <v/>
      </c>
      <c r="I96" s="47">
        <f>Subsurface_Inputs!$C$19+Subsurface_Inputs!$C$20*SIN(2*PI()*(A96-Subsurface_Inputs!$C$21)/Subsurface_Inputs!$C$22)-Subsurface_Inputs!$C$23*H96</f>
        <v/>
      </c>
      <c r="J96" s="47">
        <f>B96-I96</f>
        <v/>
      </c>
      <c r="K96" s="47">
        <f>Subsurface_Inputs!$C$25+Subsurface_Inputs!$C$26*SIN(2*PI()*(A96+Subsurface_Inputs!$C$27)/Subsurface_Inputs!$C$28)+Subsurface_Inputs!$C$29*COS(2*PI()*(A96-Subsurface_Inputs!$C$30)/Subsurface_Inputs!$C$31)-Subsurface_Inputs!$C$32*(B96-AVERAGE($B$2:$B$242))</f>
        <v/>
      </c>
      <c r="L96" s="47">
        <f>B96-K96</f>
        <v/>
      </c>
      <c r="M96" s="47">
        <f>2*Subsurface_Inputs!$C$34*F96/Subsurface_Inputs!$C$35*1000000</f>
        <v/>
      </c>
      <c r="N96" s="47">
        <f>2*Subsurface_Inputs!$C$34*I96/Subsurface_Inputs!$C$35*1000000</f>
        <v/>
      </c>
      <c r="O96" s="47">
        <f>2*Subsurface_Inputs!$C$34*K96/Subsurface_Inputs!$C$35*1000000</f>
        <v/>
      </c>
      <c r="P96" s="47">
        <f>Subsurface_Inputs!$C$37-2*Subsurface_Inputs!$C$36*(F96/1000)</f>
        <v/>
      </c>
      <c r="Q96" s="47">
        <f>Subsurface_Inputs!$C$38+Subsurface_Inputs!$C$39*H96-2*Subsurface_Inputs!$C$36*(I96/1000)</f>
        <v/>
      </c>
      <c r="R96" s="47">
        <f>Subsurface_Inputs!$C$40-2*Subsurface_Inputs!$C$36*(K96/1000)-Subsurface_Inputs!$C$41*ABS(L96-AVERAGE($L$2:$L$242))</f>
        <v/>
      </c>
      <c r="S96" s="47">
        <f>K96-AVERAGE($K$2:$K$242)</f>
        <v/>
      </c>
      <c r="T96" s="47">
        <f>K96/F96</f>
        <v/>
      </c>
      <c r="U96" s="50">
        <f>IF(H96&gt;=Subsurface_Inputs!$C$42,"Lens visible","Weak/no lens")</f>
        <v/>
      </c>
      <c r="V96" s="50">
        <f>IF(R96&gt;=W96,"Likely visible","Weak")</f>
        <v/>
      </c>
      <c r="W96" s="47">
        <f>Subsurface_Inputs!$C$43</f>
        <v/>
      </c>
      <c r="X96" s="47">
        <f>Q96-W96</f>
        <v/>
      </c>
      <c r="Y96" s="47">
        <f>R96-W96</f>
        <v/>
      </c>
      <c r="Z96" s="47">
        <f>MAX(Q96,R96)-W96</f>
        <v/>
      </c>
      <c r="AA96" s="47" t="n">
        <v>0</v>
      </c>
    </row>
    <row r="97">
      <c r="A97" s="47">
        <f>Model_Data!A97</f>
        <v/>
      </c>
      <c r="B97" s="47">
        <f>Model_Data!Y97</f>
        <v/>
      </c>
      <c r="C97" s="47">
        <f>Model_Data!X97</f>
        <v/>
      </c>
      <c r="D97" s="47">
        <f>Model_Data!B97</f>
        <v/>
      </c>
      <c r="E97" s="47">
        <f>Inputs!$C$6</f>
        <v/>
      </c>
      <c r="F97" s="47">
        <f>Subsurface_Inputs!$C$5+Subsurface_Inputs!$C$6*SIN(2*PI()*(A97+Subsurface_Inputs!$C$7)/Subsurface_Inputs!$C$8)+Subsurface_Inputs!$C$9*COS(2*PI()*A97/Subsurface_Inputs!$C$10)+Subsurface_Inputs!$C$11*(B97-AVERAGE($B$2:$B$242))</f>
        <v/>
      </c>
      <c r="G97" s="47">
        <f>B97-F97</f>
        <v/>
      </c>
      <c r="H97" s="47">
        <f>MIN(1,MAX(0,Subsurface_Inputs!$C$13*EXP(-0.5*((A97-Subsurface_Inputs!$C$14)/Subsurface_Inputs!$C$15)^2)+Subsurface_Inputs!$C$16*EXP(-0.5*((A97-Subsurface_Inputs!$C$17)/Subsurface_Inputs!$C$18)^2)))</f>
        <v/>
      </c>
      <c r="I97" s="47">
        <f>Subsurface_Inputs!$C$19+Subsurface_Inputs!$C$20*SIN(2*PI()*(A97-Subsurface_Inputs!$C$21)/Subsurface_Inputs!$C$22)-Subsurface_Inputs!$C$23*H97</f>
        <v/>
      </c>
      <c r="J97" s="47">
        <f>B97-I97</f>
        <v/>
      </c>
      <c r="K97" s="47">
        <f>Subsurface_Inputs!$C$25+Subsurface_Inputs!$C$26*SIN(2*PI()*(A97+Subsurface_Inputs!$C$27)/Subsurface_Inputs!$C$28)+Subsurface_Inputs!$C$29*COS(2*PI()*(A97-Subsurface_Inputs!$C$30)/Subsurface_Inputs!$C$31)-Subsurface_Inputs!$C$32*(B97-AVERAGE($B$2:$B$242))</f>
        <v/>
      </c>
      <c r="L97" s="47">
        <f>B97-K97</f>
        <v/>
      </c>
      <c r="M97" s="47">
        <f>2*Subsurface_Inputs!$C$34*F97/Subsurface_Inputs!$C$35*1000000</f>
        <v/>
      </c>
      <c r="N97" s="47">
        <f>2*Subsurface_Inputs!$C$34*I97/Subsurface_Inputs!$C$35*1000000</f>
        <v/>
      </c>
      <c r="O97" s="47">
        <f>2*Subsurface_Inputs!$C$34*K97/Subsurface_Inputs!$C$35*1000000</f>
        <v/>
      </c>
      <c r="P97" s="47">
        <f>Subsurface_Inputs!$C$37-2*Subsurface_Inputs!$C$36*(F97/1000)</f>
        <v/>
      </c>
      <c r="Q97" s="47">
        <f>Subsurface_Inputs!$C$38+Subsurface_Inputs!$C$39*H97-2*Subsurface_Inputs!$C$36*(I97/1000)</f>
        <v/>
      </c>
      <c r="R97" s="47">
        <f>Subsurface_Inputs!$C$40-2*Subsurface_Inputs!$C$36*(K97/1000)-Subsurface_Inputs!$C$41*ABS(L97-AVERAGE($L$2:$L$242))</f>
        <v/>
      </c>
      <c r="S97" s="47">
        <f>K97-AVERAGE($K$2:$K$242)</f>
        <v/>
      </c>
      <c r="T97" s="47">
        <f>K97/F97</f>
        <v/>
      </c>
      <c r="U97" s="50">
        <f>IF(H97&gt;=Subsurface_Inputs!$C$42,"Lens visible","Weak/no lens")</f>
        <v/>
      </c>
      <c r="V97" s="50">
        <f>IF(R97&gt;=W97,"Likely visible","Weak")</f>
        <v/>
      </c>
      <c r="W97" s="47">
        <f>Subsurface_Inputs!$C$43</f>
        <v/>
      </c>
      <c r="X97" s="47">
        <f>Q97-W97</f>
        <v/>
      </c>
      <c r="Y97" s="47">
        <f>R97-W97</f>
        <v/>
      </c>
      <c r="Z97" s="47">
        <f>MAX(Q97,R97)-W97</f>
        <v/>
      </c>
      <c r="AA97" s="47" t="n">
        <v>0</v>
      </c>
    </row>
    <row r="98">
      <c r="A98" s="47">
        <f>Model_Data!A98</f>
        <v/>
      </c>
      <c r="B98" s="47">
        <f>Model_Data!Y98</f>
        <v/>
      </c>
      <c r="C98" s="47">
        <f>Model_Data!X98</f>
        <v/>
      </c>
      <c r="D98" s="47">
        <f>Model_Data!B98</f>
        <v/>
      </c>
      <c r="E98" s="47">
        <f>Inputs!$C$6</f>
        <v/>
      </c>
      <c r="F98" s="47">
        <f>Subsurface_Inputs!$C$5+Subsurface_Inputs!$C$6*SIN(2*PI()*(A98+Subsurface_Inputs!$C$7)/Subsurface_Inputs!$C$8)+Subsurface_Inputs!$C$9*COS(2*PI()*A98/Subsurface_Inputs!$C$10)+Subsurface_Inputs!$C$11*(B98-AVERAGE($B$2:$B$242))</f>
        <v/>
      </c>
      <c r="G98" s="47">
        <f>B98-F98</f>
        <v/>
      </c>
      <c r="H98" s="47">
        <f>MIN(1,MAX(0,Subsurface_Inputs!$C$13*EXP(-0.5*((A98-Subsurface_Inputs!$C$14)/Subsurface_Inputs!$C$15)^2)+Subsurface_Inputs!$C$16*EXP(-0.5*((A98-Subsurface_Inputs!$C$17)/Subsurface_Inputs!$C$18)^2)))</f>
        <v/>
      </c>
      <c r="I98" s="47">
        <f>Subsurface_Inputs!$C$19+Subsurface_Inputs!$C$20*SIN(2*PI()*(A98-Subsurface_Inputs!$C$21)/Subsurface_Inputs!$C$22)-Subsurface_Inputs!$C$23*H98</f>
        <v/>
      </c>
      <c r="J98" s="47">
        <f>B98-I98</f>
        <v/>
      </c>
      <c r="K98" s="47">
        <f>Subsurface_Inputs!$C$25+Subsurface_Inputs!$C$26*SIN(2*PI()*(A98+Subsurface_Inputs!$C$27)/Subsurface_Inputs!$C$28)+Subsurface_Inputs!$C$29*COS(2*PI()*(A98-Subsurface_Inputs!$C$30)/Subsurface_Inputs!$C$31)-Subsurface_Inputs!$C$32*(B98-AVERAGE($B$2:$B$242))</f>
        <v/>
      </c>
      <c r="L98" s="47">
        <f>B98-K98</f>
        <v/>
      </c>
      <c r="M98" s="47">
        <f>2*Subsurface_Inputs!$C$34*F98/Subsurface_Inputs!$C$35*1000000</f>
        <v/>
      </c>
      <c r="N98" s="47">
        <f>2*Subsurface_Inputs!$C$34*I98/Subsurface_Inputs!$C$35*1000000</f>
        <v/>
      </c>
      <c r="O98" s="47">
        <f>2*Subsurface_Inputs!$C$34*K98/Subsurface_Inputs!$C$35*1000000</f>
        <v/>
      </c>
      <c r="P98" s="47">
        <f>Subsurface_Inputs!$C$37-2*Subsurface_Inputs!$C$36*(F98/1000)</f>
        <v/>
      </c>
      <c r="Q98" s="47">
        <f>Subsurface_Inputs!$C$38+Subsurface_Inputs!$C$39*H98-2*Subsurface_Inputs!$C$36*(I98/1000)</f>
        <v/>
      </c>
      <c r="R98" s="47">
        <f>Subsurface_Inputs!$C$40-2*Subsurface_Inputs!$C$36*(K98/1000)-Subsurface_Inputs!$C$41*ABS(L98-AVERAGE($L$2:$L$242))</f>
        <v/>
      </c>
      <c r="S98" s="47">
        <f>K98-AVERAGE($K$2:$K$242)</f>
        <v/>
      </c>
      <c r="T98" s="47">
        <f>K98/F98</f>
        <v/>
      </c>
      <c r="U98" s="50">
        <f>IF(H98&gt;=Subsurface_Inputs!$C$42,"Lens visible","Weak/no lens")</f>
        <v/>
      </c>
      <c r="V98" s="50">
        <f>IF(R98&gt;=W98,"Likely visible","Weak")</f>
        <v/>
      </c>
      <c r="W98" s="47">
        <f>Subsurface_Inputs!$C$43</f>
        <v/>
      </c>
      <c r="X98" s="47">
        <f>Q98-W98</f>
        <v/>
      </c>
      <c r="Y98" s="47">
        <f>R98-W98</f>
        <v/>
      </c>
      <c r="Z98" s="47">
        <f>MAX(Q98,R98)-W98</f>
        <v/>
      </c>
      <c r="AA98" s="47" t="n">
        <v>0</v>
      </c>
    </row>
    <row r="99">
      <c r="A99" s="47">
        <f>Model_Data!A99</f>
        <v/>
      </c>
      <c r="B99" s="47">
        <f>Model_Data!Y99</f>
        <v/>
      </c>
      <c r="C99" s="47">
        <f>Model_Data!X99</f>
        <v/>
      </c>
      <c r="D99" s="47">
        <f>Model_Data!B99</f>
        <v/>
      </c>
      <c r="E99" s="47">
        <f>Inputs!$C$6</f>
        <v/>
      </c>
      <c r="F99" s="47">
        <f>Subsurface_Inputs!$C$5+Subsurface_Inputs!$C$6*SIN(2*PI()*(A99+Subsurface_Inputs!$C$7)/Subsurface_Inputs!$C$8)+Subsurface_Inputs!$C$9*COS(2*PI()*A99/Subsurface_Inputs!$C$10)+Subsurface_Inputs!$C$11*(B99-AVERAGE($B$2:$B$242))</f>
        <v/>
      </c>
      <c r="G99" s="47">
        <f>B99-F99</f>
        <v/>
      </c>
      <c r="H99" s="47">
        <f>MIN(1,MAX(0,Subsurface_Inputs!$C$13*EXP(-0.5*((A99-Subsurface_Inputs!$C$14)/Subsurface_Inputs!$C$15)^2)+Subsurface_Inputs!$C$16*EXP(-0.5*((A99-Subsurface_Inputs!$C$17)/Subsurface_Inputs!$C$18)^2)))</f>
        <v/>
      </c>
      <c r="I99" s="47">
        <f>Subsurface_Inputs!$C$19+Subsurface_Inputs!$C$20*SIN(2*PI()*(A99-Subsurface_Inputs!$C$21)/Subsurface_Inputs!$C$22)-Subsurface_Inputs!$C$23*H99</f>
        <v/>
      </c>
      <c r="J99" s="47">
        <f>B99-I99</f>
        <v/>
      </c>
      <c r="K99" s="47">
        <f>Subsurface_Inputs!$C$25+Subsurface_Inputs!$C$26*SIN(2*PI()*(A99+Subsurface_Inputs!$C$27)/Subsurface_Inputs!$C$28)+Subsurface_Inputs!$C$29*COS(2*PI()*(A99-Subsurface_Inputs!$C$30)/Subsurface_Inputs!$C$31)-Subsurface_Inputs!$C$32*(B99-AVERAGE($B$2:$B$242))</f>
        <v/>
      </c>
      <c r="L99" s="47">
        <f>B99-K99</f>
        <v/>
      </c>
      <c r="M99" s="47">
        <f>2*Subsurface_Inputs!$C$34*F99/Subsurface_Inputs!$C$35*1000000</f>
        <v/>
      </c>
      <c r="N99" s="47">
        <f>2*Subsurface_Inputs!$C$34*I99/Subsurface_Inputs!$C$35*1000000</f>
        <v/>
      </c>
      <c r="O99" s="47">
        <f>2*Subsurface_Inputs!$C$34*K99/Subsurface_Inputs!$C$35*1000000</f>
        <v/>
      </c>
      <c r="P99" s="47">
        <f>Subsurface_Inputs!$C$37-2*Subsurface_Inputs!$C$36*(F99/1000)</f>
        <v/>
      </c>
      <c r="Q99" s="47">
        <f>Subsurface_Inputs!$C$38+Subsurface_Inputs!$C$39*H99-2*Subsurface_Inputs!$C$36*(I99/1000)</f>
        <v/>
      </c>
      <c r="R99" s="47">
        <f>Subsurface_Inputs!$C$40-2*Subsurface_Inputs!$C$36*(K99/1000)-Subsurface_Inputs!$C$41*ABS(L99-AVERAGE($L$2:$L$242))</f>
        <v/>
      </c>
      <c r="S99" s="47">
        <f>K99-AVERAGE($K$2:$K$242)</f>
        <v/>
      </c>
      <c r="T99" s="47">
        <f>K99/F99</f>
        <v/>
      </c>
      <c r="U99" s="50">
        <f>IF(H99&gt;=Subsurface_Inputs!$C$42,"Lens visible","Weak/no lens")</f>
        <v/>
      </c>
      <c r="V99" s="50">
        <f>IF(R99&gt;=W99,"Likely visible","Weak")</f>
        <v/>
      </c>
      <c r="W99" s="47">
        <f>Subsurface_Inputs!$C$43</f>
        <v/>
      </c>
      <c r="X99" s="47">
        <f>Q99-W99</f>
        <v/>
      </c>
      <c r="Y99" s="47">
        <f>R99-W99</f>
        <v/>
      </c>
      <c r="Z99" s="47">
        <f>MAX(Q99,R99)-W99</f>
        <v/>
      </c>
      <c r="AA99" s="47" t="n">
        <v>0</v>
      </c>
    </row>
    <row r="100">
      <c r="A100" s="47">
        <f>Model_Data!A100</f>
        <v/>
      </c>
      <c r="B100" s="47">
        <f>Model_Data!Y100</f>
        <v/>
      </c>
      <c r="C100" s="47">
        <f>Model_Data!X100</f>
        <v/>
      </c>
      <c r="D100" s="47">
        <f>Model_Data!B100</f>
        <v/>
      </c>
      <c r="E100" s="47">
        <f>Inputs!$C$6</f>
        <v/>
      </c>
      <c r="F100" s="47">
        <f>Subsurface_Inputs!$C$5+Subsurface_Inputs!$C$6*SIN(2*PI()*(A100+Subsurface_Inputs!$C$7)/Subsurface_Inputs!$C$8)+Subsurface_Inputs!$C$9*COS(2*PI()*A100/Subsurface_Inputs!$C$10)+Subsurface_Inputs!$C$11*(B100-AVERAGE($B$2:$B$242))</f>
        <v/>
      </c>
      <c r="G100" s="47">
        <f>B100-F100</f>
        <v/>
      </c>
      <c r="H100" s="47">
        <f>MIN(1,MAX(0,Subsurface_Inputs!$C$13*EXP(-0.5*((A100-Subsurface_Inputs!$C$14)/Subsurface_Inputs!$C$15)^2)+Subsurface_Inputs!$C$16*EXP(-0.5*((A100-Subsurface_Inputs!$C$17)/Subsurface_Inputs!$C$18)^2)))</f>
        <v/>
      </c>
      <c r="I100" s="47">
        <f>Subsurface_Inputs!$C$19+Subsurface_Inputs!$C$20*SIN(2*PI()*(A100-Subsurface_Inputs!$C$21)/Subsurface_Inputs!$C$22)-Subsurface_Inputs!$C$23*H100</f>
        <v/>
      </c>
      <c r="J100" s="47">
        <f>B100-I100</f>
        <v/>
      </c>
      <c r="K100" s="47">
        <f>Subsurface_Inputs!$C$25+Subsurface_Inputs!$C$26*SIN(2*PI()*(A100+Subsurface_Inputs!$C$27)/Subsurface_Inputs!$C$28)+Subsurface_Inputs!$C$29*COS(2*PI()*(A100-Subsurface_Inputs!$C$30)/Subsurface_Inputs!$C$31)-Subsurface_Inputs!$C$32*(B100-AVERAGE($B$2:$B$242))</f>
        <v/>
      </c>
      <c r="L100" s="47">
        <f>B100-K100</f>
        <v/>
      </c>
      <c r="M100" s="47">
        <f>2*Subsurface_Inputs!$C$34*F100/Subsurface_Inputs!$C$35*1000000</f>
        <v/>
      </c>
      <c r="N100" s="47">
        <f>2*Subsurface_Inputs!$C$34*I100/Subsurface_Inputs!$C$35*1000000</f>
        <v/>
      </c>
      <c r="O100" s="47">
        <f>2*Subsurface_Inputs!$C$34*K100/Subsurface_Inputs!$C$35*1000000</f>
        <v/>
      </c>
      <c r="P100" s="47">
        <f>Subsurface_Inputs!$C$37-2*Subsurface_Inputs!$C$36*(F100/1000)</f>
        <v/>
      </c>
      <c r="Q100" s="47">
        <f>Subsurface_Inputs!$C$38+Subsurface_Inputs!$C$39*H100-2*Subsurface_Inputs!$C$36*(I100/1000)</f>
        <v/>
      </c>
      <c r="R100" s="47">
        <f>Subsurface_Inputs!$C$40-2*Subsurface_Inputs!$C$36*(K100/1000)-Subsurface_Inputs!$C$41*ABS(L100-AVERAGE($L$2:$L$242))</f>
        <v/>
      </c>
      <c r="S100" s="47">
        <f>K100-AVERAGE($K$2:$K$242)</f>
        <v/>
      </c>
      <c r="T100" s="47">
        <f>K100/F100</f>
        <v/>
      </c>
      <c r="U100" s="50">
        <f>IF(H100&gt;=Subsurface_Inputs!$C$42,"Lens visible","Weak/no lens")</f>
        <v/>
      </c>
      <c r="V100" s="50">
        <f>IF(R100&gt;=W100,"Likely visible","Weak")</f>
        <v/>
      </c>
      <c r="W100" s="47">
        <f>Subsurface_Inputs!$C$43</f>
        <v/>
      </c>
      <c r="X100" s="47">
        <f>Q100-W100</f>
        <v/>
      </c>
      <c r="Y100" s="47">
        <f>R100-W100</f>
        <v/>
      </c>
      <c r="Z100" s="47">
        <f>MAX(Q100,R100)-W100</f>
        <v/>
      </c>
      <c r="AA100" s="47" t="n">
        <v>0</v>
      </c>
    </row>
    <row r="101">
      <c r="A101" s="47">
        <f>Model_Data!A101</f>
        <v/>
      </c>
      <c r="B101" s="47">
        <f>Model_Data!Y101</f>
        <v/>
      </c>
      <c r="C101" s="47">
        <f>Model_Data!X101</f>
        <v/>
      </c>
      <c r="D101" s="47">
        <f>Model_Data!B101</f>
        <v/>
      </c>
      <c r="E101" s="47">
        <f>Inputs!$C$6</f>
        <v/>
      </c>
      <c r="F101" s="47">
        <f>Subsurface_Inputs!$C$5+Subsurface_Inputs!$C$6*SIN(2*PI()*(A101+Subsurface_Inputs!$C$7)/Subsurface_Inputs!$C$8)+Subsurface_Inputs!$C$9*COS(2*PI()*A101/Subsurface_Inputs!$C$10)+Subsurface_Inputs!$C$11*(B101-AVERAGE($B$2:$B$242))</f>
        <v/>
      </c>
      <c r="G101" s="47">
        <f>B101-F101</f>
        <v/>
      </c>
      <c r="H101" s="47">
        <f>MIN(1,MAX(0,Subsurface_Inputs!$C$13*EXP(-0.5*((A101-Subsurface_Inputs!$C$14)/Subsurface_Inputs!$C$15)^2)+Subsurface_Inputs!$C$16*EXP(-0.5*((A101-Subsurface_Inputs!$C$17)/Subsurface_Inputs!$C$18)^2)))</f>
        <v/>
      </c>
      <c r="I101" s="47">
        <f>Subsurface_Inputs!$C$19+Subsurface_Inputs!$C$20*SIN(2*PI()*(A101-Subsurface_Inputs!$C$21)/Subsurface_Inputs!$C$22)-Subsurface_Inputs!$C$23*H101</f>
        <v/>
      </c>
      <c r="J101" s="47">
        <f>B101-I101</f>
        <v/>
      </c>
      <c r="K101" s="47">
        <f>Subsurface_Inputs!$C$25+Subsurface_Inputs!$C$26*SIN(2*PI()*(A101+Subsurface_Inputs!$C$27)/Subsurface_Inputs!$C$28)+Subsurface_Inputs!$C$29*COS(2*PI()*(A101-Subsurface_Inputs!$C$30)/Subsurface_Inputs!$C$31)-Subsurface_Inputs!$C$32*(B101-AVERAGE($B$2:$B$242))</f>
        <v/>
      </c>
      <c r="L101" s="47">
        <f>B101-K101</f>
        <v/>
      </c>
      <c r="M101" s="47">
        <f>2*Subsurface_Inputs!$C$34*F101/Subsurface_Inputs!$C$35*1000000</f>
        <v/>
      </c>
      <c r="N101" s="47">
        <f>2*Subsurface_Inputs!$C$34*I101/Subsurface_Inputs!$C$35*1000000</f>
        <v/>
      </c>
      <c r="O101" s="47">
        <f>2*Subsurface_Inputs!$C$34*K101/Subsurface_Inputs!$C$35*1000000</f>
        <v/>
      </c>
      <c r="P101" s="47">
        <f>Subsurface_Inputs!$C$37-2*Subsurface_Inputs!$C$36*(F101/1000)</f>
        <v/>
      </c>
      <c r="Q101" s="47">
        <f>Subsurface_Inputs!$C$38+Subsurface_Inputs!$C$39*H101-2*Subsurface_Inputs!$C$36*(I101/1000)</f>
        <v/>
      </c>
      <c r="R101" s="47">
        <f>Subsurface_Inputs!$C$40-2*Subsurface_Inputs!$C$36*(K101/1000)-Subsurface_Inputs!$C$41*ABS(L101-AVERAGE($L$2:$L$242))</f>
        <v/>
      </c>
      <c r="S101" s="47">
        <f>K101-AVERAGE($K$2:$K$242)</f>
        <v/>
      </c>
      <c r="T101" s="47">
        <f>K101/F101</f>
        <v/>
      </c>
      <c r="U101" s="50">
        <f>IF(H101&gt;=Subsurface_Inputs!$C$42,"Lens visible","Weak/no lens")</f>
        <v/>
      </c>
      <c r="V101" s="50">
        <f>IF(R101&gt;=W101,"Likely visible","Weak")</f>
        <v/>
      </c>
      <c r="W101" s="47">
        <f>Subsurface_Inputs!$C$43</f>
        <v/>
      </c>
      <c r="X101" s="47">
        <f>Q101-W101</f>
        <v/>
      </c>
      <c r="Y101" s="47">
        <f>R101-W101</f>
        <v/>
      </c>
      <c r="Z101" s="47">
        <f>MAX(Q101,R101)-W101</f>
        <v/>
      </c>
      <c r="AA101" s="47" t="n">
        <v>0</v>
      </c>
    </row>
    <row r="102">
      <c r="A102" s="47">
        <f>Model_Data!A102</f>
        <v/>
      </c>
      <c r="B102" s="47">
        <f>Model_Data!Y102</f>
        <v/>
      </c>
      <c r="C102" s="47">
        <f>Model_Data!X102</f>
        <v/>
      </c>
      <c r="D102" s="47">
        <f>Model_Data!B102</f>
        <v/>
      </c>
      <c r="E102" s="47">
        <f>Inputs!$C$6</f>
        <v/>
      </c>
      <c r="F102" s="47">
        <f>Subsurface_Inputs!$C$5+Subsurface_Inputs!$C$6*SIN(2*PI()*(A102+Subsurface_Inputs!$C$7)/Subsurface_Inputs!$C$8)+Subsurface_Inputs!$C$9*COS(2*PI()*A102/Subsurface_Inputs!$C$10)+Subsurface_Inputs!$C$11*(B102-AVERAGE($B$2:$B$242))</f>
        <v/>
      </c>
      <c r="G102" s="47">
        <f>B102-F102</f>
        <v/>
      </c>
      <c r="H102" s="47">
        <f>MIN(1,MAX(0,Subsurface_Inputs!$C$13*EXP(-0.5*((A102-Subsurface_Inputs!$C$14)/Subsurface_Inputs!$C$15)^2)+Subsurface_Inputs!$C$16*EXP(-0.5*((A102-Subsurface_Inputs!$C$17)/Subsurface_Inputs!$C$18)^2)))</f>
        <v/>
      </c>
      <c r="I102" s="47">
        <f>Subsurface_Inputs!$C$19+Subsurface_Inputs!$C$20*SIN(2*PI()*(A102-Subsurface_Inputs!$C$21)/Subsurface_Inputs!$C$22)-Subsurface_Inputs!$C$23*H102</f>
        <v/>
      </c>
      <c r="J102" s="47">
        <f>B102-I102</f>
        <v/>
      </c>
      <c r="K102" s="47">
        <f>Subsurface_Inputs!$C$25+Subsurface_Inputs!$C$26*SIN(2*PI()*(A102+Subsurface_Inputs!$C$27)/Subsurface_Inputs!$C$28)+Subsurface_Inputs!$C$29*COS(2*PI()*(A102-Subsurface_Inputs!$C$30)/Subsurface_Inputs!$C$31)-Subsurface_Inputs!$C$32*(B102-AVERAGE($B$2:$B$242))</f>
        <v/>
      </c>
      <c r="L102" s="47">
        <f>B102-K102</f>
        <v/>
      </c>
      <c r="M102" s="47">
        <f>2*Subsurface_Inputs!$C$34*F102/Subsurface_Inputs!$C$35*1000000</f>
        <v/>
      </c>
      <c r="N102" s="47">
        <f>2*Subsurface_Inputs!$C$34*I102/Subsurface_Inputs!$C$35*1000000</f>
        <v/>
      </c>
      <c r="O102" s="47">
        <f>2*Subsurface_Inputs!$C$34*K102/Subsurface_Inputs!$C$35*1000000</f>
        <v/>
      </c>
      <c r="P102" s="47">
        <f>Subsurface_Inputs!$C$37-2*Subsurface_Inputs!$C$36*(F102/1000)</f>
        <v/>
      </c>
      <c r="Q102" s="47">
        <f>Subsurface_Inputs!$C$38+Subsurface_Inputs!$C$39*H102-2*Subsurface_Inputs!$C$36*(I102/1000)</f>
        <v/>
      </c>
      <c r="R102" s="47">
        <f>Subsurface_Inputs!$C$40-2*Subsurface_Inputs!$C$36*(K102/1000)-Subsurface_Inputs!$C$41*ABS(L102-AVERAGE($L$2:$L$242))</f>
        <v/>
      </c>
      <c r="S102" s="47">
        <f>K102-AVERAGE($K$2:$K$242)</f>
        <v/>
      </c>
      <c r="T102" s="47">
        <f>K102/F102</f>
        <v/>
      </c>
      <c r="U102" s="50">
        <f>IF(H102&gt;=Subsurface_Inputs!$C$42,"Lens visible","Weak/no lens")</f>
        <v/>
      </c>
      <c r="V102" s="50">
        <f>IF(R102&gt;=W102,"Likely visible","Weak")</f>
        <v/>
      </c>
      <c r="W102" s="47">
        <f>Subsurface_Inputs!$C$43</f>
        <v/>
      </c>
      <c r="X102" s="47">
        <f>Q102-W102</f>
        <v/>
      </c>
      <c r="Y102" s="47">
        <f>R102-W102</f>
        <v/>
      </c>
      <c r="Z102" s="47">
        <f>MAX(Q102,R102)-W102</f>
        <v/>
      </c>
      <c r="AA102" s="47" t="n">
        <v>0</v>
      </c>
    </row>
    <row r="103">
      <c r="A103" s="47">
        <f>Model_Data!A103</f>
        <v/>
      </c>
      <c r="B103" s="47">
        <f>Model_Data!Y103</f>
        <v/>
      </c>
      <c r="C103" s="47">
        <f>Model_Data!X103</f>
        <v/>
      </c>
      <c r="D103" s="47">
        <f>Model_Data!B103</f>
        <v/>
      </c>
      <c r="E103" s="47">
        <f>Inputs!$C$6</f>
        <v/>
      </c>
      <c r="F103" s="47">
        <f>Subsurface_Inputs!$C$5+Subsurface_Inputs!$C$6*SIN(2*PI()*(A103+Subsurface_Inputs!$C$7)/Subsurface_Inputs!$C$8)+Subsurface_Inputs!$C$9*COS(2*PI()*A103/Subsurface_Inputs!$C$10)+Subsurface_Inputs!$C$11*(B103-AVERAGE($B$2:$B$242))</f>
        <v/>
      </c>
      <c r="G103" s="47">
        <f>B103-F103</f>
        <v/>
      </c>
      <c r="H103" s="47">
        <f>MIN(1,MAX(0,Subsurface_Inputs!$C$13*EXP(-0.5*((A103-Subsurface_Inputs!$C$14)/Subsurface_Inputs!$C$15)^2)+Subsurface_Inputs!$C$16*EXP(-0.5*((A103-Subsurface_Inputs!$C$17)/Subsurface_Inputs!$C$18)^2)))</f>
        <v/>
      </c>
      <c r="I103" s="47">
        <f>Subsurface_Inputs!$C$19+Subsurface_Inputs!$C$20*SIN(2*PI()*(A103-Subsurface_Inputs!$C$21)/Subsurface_Inputs!$C$22)-Subsurface_Inputs!$C$23*H103</f>
        <v/>
      </c>
      <c r="J103" s="47">
        <f>B103-I103</f>
        <v/>
      </c>
      <c r="K103" s="47">
        <f>Subsurface_Inputs!$C$25+Subsurface_Inputs!$C$26*SIN(2*PI()*(A103+Subsurface_Inputs!$C$27)/Subsurface_Inputs!$C$28)+Subsurface_Inputs!$C$29*COS(2*PI()*(A103-Subsurface_Inputs!$C$30)/Subsurface_Inputs!$C$31)-Subsurface_Inputs!$C$32*(B103-AVERAGE($B$2:$B$242))</f>
        <v/>
      </c>
      <c r="L103" s="47">
        <f>B103-K103</f>
        <v/>
      </c>
      <c r="M103" s="47">
        <f>2*Subsurface_Inputs!$C$34*F103/Subsurface_Inputs!$C$35*1000000</f>
        <v/>
      </c>
      <c r="N103" s="47">
        <f>2*Subsurface_Inputs!$C$34*I103/Subsurface_Inputs!$C$35*1000000</f>
        <v/>
      </c>
      <c r="O103" s="47">
        <f>2*Subsurface_Inputs!$C$34*K103/Subsurface_Inputs!$C$35*1000000</f>
        <v/>
      </c>
      <c r="P103" s="47">
        <f>Subsurface_Inputs!$C$37-2*Subsurface_Inputs!$C$36*(F103/1000)</f>
        <v/>
      </c>
      <c r="Q103" s="47">
        <f>Subsurface_Inputs!$C$38+Subsurface_Inputs!$C$39*H103-2*Subsurface_Inputs!$C$36*(I103/1000)</f>
        <v/>
      </c>
      <c r="R103" s="47">
        <f>Subsurface_Inputs!$C$40-2*Subsurface_Inputs!$C$36*(K103/1000)-Subsurface_Inputs!$C$41*ABS(L103-AVERAGE($L$2:$L$242))</f>
        <v/>
      </c>
      <c r="S103" s="47">
        <f>K103-AVERAGE($K$2:$K$242)</f>
        <v/>
      </c>
      <c r="T103" s="47">
        <f>K103/F103</f>
        <v/>
      </c>
      <c r="U103" s="50">
        <f>IF(H103&gt;=Subsurface_Inputs!$C$42,"Lens visible","Weak/no lens")</f>
        <v/>
      </c>
      <c r="V103" s="50">
        <f>IF(R103&gt;=W103,"Likely visible","Weak")</f>
        <v/>
      </c>
      <c r="W103" s="47">
        <f>Subsurface_Inputs!$C$43</f>
        <v/>
      </c>
      <c r="X103" s="47">
        <f>Q103-W103</f>
        <v/>
      </c>
      <c r="Y103" s="47">
        <f>R103-W103</f>
        <v/>
      </c>
      <c r="Z103" s="47">
        <f>MAX(Q103,R103)-W103</f>
        <v/>
      </c>
      <c r="AA103" s="47" t="n">
        <v>0</v>
      </c>
    </row>
    <row r="104">
      <c r="A104" s="47">
        <f>Model_Data!A104</f>
        <v/>
      </c>
      <c r="B104" s="47">
        <f>Model_Data!Y104</f>
        <v/>
      </c>
      <c r="C104" s="47">
        <f>Model_Data!X104</f>
        <v/>
      </c>
      <c r="D104" s="47">
        <f>Model_Data!B104</f>
        <v/>
      </c>
      <c r="E104" s="47">
        <f>Inputs!$C$6</f>
        <v/>
      </c>
      <c r="F104" s="47">
        <f>Subsurface_Inputs!$C$5+Subsurface_Inputs!$C$6*SIN(2*PI()*(A104+Subsurface_Inputs!$C$7)/Subsurface_Inputs!$C$8)+Subsurface_Inputs!$C$9*COS(2*PI()*A104/Subsurface_Inputs!$C$10)+Subsurface_Inputs!$C$11*(B104-AVERAGE($B$2:$B$242))</f>
        <v/>
      </c>
      <c r="G104" s="47">
        <f>B104-F104</f>
        <v/>
      </c>
      <c r="H104" s="47">
        <f>MIN(1,MAX(0,Subsurface_Inputs!$C$13*EXP(-0.5*((A104-Subsurface_Inputs!$C$14)/Subsurface_Inputs!$C$15)^2)+Subsurface_Inputs!$C$16*EXP(-0.5*((A104-Subsurface_Inputs!$C$17)/Subsurface_Inputs!$C$18)^2)))</f>
        <v/>
      </c>
      <c r="I104" s="47">
        <f>Subsurface_Inputs!$C$19+Subsurface_Inputs!$C$20*SIN(2*PI()*(A104-Subsurface_Inputs!$C$21)/Subsurface_Inputs!$C$22)-Subsurface_Inputs!$C$23*H104</f>
        <v/>
      </c>
      <c r="J104" s="47">
        <f>B104-I104</f>
        <v/>
      </c>
      <c r="K104" s="47">
        <f>Subsurface_Inputs!$C$25+Subsurface_Inputs!$C$26*SIN(2*PI()*(A104+Subsurface_Inputs!$C$27)/Subsurface_Inputs!$C$28)+Subsurface_Inputs!$C$29*COS(2*PI()*(A104-Subsurface_Inputs!$C$30)/Subsurface_Inputs!$C$31)-Subsurface_Inputs!$C$32*(B104-AVERAGE($B$2:$B$242))</f>
        <v/>
      </c>
      <c r="L104" s="47">
        <f>B104-K104</f>
        <v/>
      </c>
      <c r="M104" s="47">
        <f>2*Subsurface_Inputs!$C$34*F104/Subsurface_Inputs!$C$35*1000000</f>
        <v/>
      </c>
      <c r="N104" s="47">
        <f>2*Subsurface_Inputs!$C$34*I104/Subsurface_Inputs!$C$35*1000000</f>
        <v/>
      </c>
      <c r="O104" s="47">
        <f>2*Subsurface_Inputs!$C$34*K104/Subsurface_Inputs!$C$35*1000000</f>
        <v/>
      </c>
      <c r="P104" s="47">
        <f>Subsurface_Inputs!$C$37-2*Subsurface_Inputs!$C$36*(F104/1000)</f>
        <v/>
      </c>
      <c r="Q104" s="47">
        <f>Subsurface_Inputs!$C$38+Subsurface_Inputs!$C$39*H104-2*Subsurface_Inputs!$C$36*(I104/1000)</f>
        <v/>
      </c>
      <c r="R104" s="47">
        <f>Subsurface_Inputs!$C$40-2*Subsurface_Inputs!$C$36*(K104/1000)-Subsurface_Inputs!$C$41*ABS(L104-AVERAGE($L$2:$L$242))</f>
        <v/>
      </c>
      <c r="S104" s="47">
        <f>K104-AVERAGE($K$2:$K$242)</f>
        <v/>
      </c>
      <c r="T104" s="47">
        <f>K104/F104</f>
        <v/>
      </c>
      <c r="U104" s="50">
        <f>IF(H104&gt;=Subsurface_Inputs!$C$42,"Lens visible","Weak/no lens")</f>
        <v/>
      </c>
      <c r="V104" s="50">
        <f>IF(R104&gt;=W104,"Likely visible","Weak")</f>
        <v/>
      </c>
      <c r="W104" s="47">
        <f>Subsurface_Inputs!$C$43</f>
        <v/>
      </c>
      <c r="X104" s="47">
        <f>Q104-W104</f>
        <v/>
      </c>
      <c r="Y104" s="47">
        <f>R104-W104</f>
        <v/>
      </c>
      <c r="Z104" s="47">
        <f>MAX(Q104,R104)-W104</f>
        <v/>
      </c>
      <c r="AA104" s="47" t="n">
        <v>0</v>
      </c>
    </row>
    <row r="105">
      <c r="A105" s="47">
        <f>Model_Data!A105</f>
        <v/>
      </c>
      <c r="B105" s="47">
        <f>Model_Data!Y105</f>
        <v/>
      </c>
      <c r="C105" s="47">
        <f>Model_Data!X105</f>
        <v/>
      </c>
      <c r="D105" s="47">
        <f>Model_Data!B105</f>
        <v/>
      </c>
      <c r="E105" s="47">
        <f>Inputs!$C$6</f>
        <v/>
      </c>
      <c r="F105" s="47">
        <f>Subsurface_Inputs!$C$5+Subsurface_Inputs!$C$6*SIN(2*PI()*(A105+Subsurface_Inputs!$C$7)/Subsurface_Inputs!$C$8)+Subsurface_Inputs!$C$9*COS(2*PI()*A105/Subsurface_Inputs!$C$10)+Subsurface_Inputs!$C$11*(B105-AVERAGE($B$2:$B$242))</f>
        <v/>
      </c>
      <c r="G105" s="47">
        <f>B105-F105</f>
        <v/>
      </c>
      <c r="H105" s="47">
        <f>MIN(1,MAX(0,Subsurface_Inputs!$C$13*EXP(-0.5*((A105-Subsurface_Inputs!$C$14)/Subsurface_Inputs!$C$15)^2)+Subsurface_Inputs!$C$16*EXP(-0.5*((A105-Subsurface_Inputs!$C$17)/Subsurface_Inputs!$C$18)^2)))</f>
        <v/>
      </c>
      <c r="I105" s="47">
        <f>Subsurface_Inputs!$C$19+Subsurface_Inputs!$C$20*SIN(2*PI()*(A105-Subsurface_Inputs!$C$21)/Subsurface_Inputs!$C$22)-Subsurface_Inputs!$C$23*H105</f>
        <v/>
      </c>
      <c r="J105" s="47">
        <f>B105-I105</f>
        <v/>
      </c>
      <c r="K105" s="47">
        <f>Subsurface_Inputs!$C$25+Subsurface_Inputs!$C$26*SIN(2*PI()*(A105+Subsurface_Inputs!$C$27)/Subsurface_Inputs!$C$28)+Subsurface_Inputs!$C$29*COS(2*PI()*(A105-Subsurface_Inputs!$C$30)/Subsurface_Inputs!$C$31)-Subsurface_Inputs!$C$32*(B105-AVERAGE($B$2:$B$242))</f>
        <v/>
      </c>
      <c r="L105" s="47">
        <f>B105-K105</f>
        <v/>
      </c>
      <c r="M105" s="47">
        <f>2*Subsurface_Inputs!$C$34*F105/Subsurface_Inputs!$C$35*1000000</f>
        <v/>
      </c>
      <c r="N105" s="47">
        <f>2*Subsurface_Inputs!$C$34*I105/Subsurface_Inputs!$C$35*1000000</f>
        <v/>
      </c>
      <c r="O105" s="47">
        <f>2*Subsurface_Inputs!$C$34*K105/Subsurface_Inputs!$C$35*1000000</f>
        <v/>
      </c>
      <c r="P105" s="47">
        <f>Subsurface_Inputs!$C$37-2*Subsurface_Inputs!$C$36*(F105/1000)</f>
        <v/>
      </c>
      <c r="Q105" s="47">
        <f>Subsurface_Inputs!$C$38+Subsurface_Inputs!$C$39*H105-2*Subsurface_Inputs!$C$36*(I105/1000)</f>
        <v/>
      </c>
      <c r="R105" s="47">
        <f>Subsurface_Inputs!$C$40-2*Subsurface_Inputs!$C$36*(K105/1000)-Subsurface_Inputs!$C$41*ABS(L105-AVERAGE($L$2:$L$242))</f>
        <v/>
      </c>
      <c r="S105" s="47">
        <f>K105-AVERAGE($K$2:$K$242)</f>
        <v/>
      </c>
      <c r="T105" s="47">
        <f>K105/F105</f>
        <v/>
      </c>
      <c r="U105" s="50">
        <f>IF(H105&gt;=Subsurface_Inputs!$C$42,"Lens visible","Weak/no lens")</f>
        <v/>
      </c>
      <c r="V105" s="50">
        <f>IF(R105&gt;=W105,"Likely visible","Weak")</f>
        <v/>
      </c>
      <c r="W105" s="47">
        <f>Subsurface_Inputs!$C$43</f>
        <v/>
      </c>
      <c r="X105" s="47">
        <f>Q105-W105</f>
        <v/>
      </c>
      <c r="Y105" s="47">
        <f>R105-W105</f>
        <v/>
      </c>
      <c r="Z105" s="47">
        <f>MAX(Q105,R105)-W105</f>
        <v/>
      </c>
      <c r="AA105" s="47" t="n">
        <v>0</v>
      </c>
    </row>
    <row r="106">
      <c r="A106" s="47">
        <f>Model_Data!A106</f>
        <v/>
      </c>
      <c r="B106" s="47">
        <f>Model_Data!Y106</f>
        <v/>
      </c>
      <c r="C106" s="47">
        <f>Model_Data!X106</f>
        <v/>
      </c>
      <c r="D106" s="47">
        <f>Model_Data!B106</f>
        <v/>
      </c>
      <c r="E106" s="47">
        <f>Inputs!$C$6</f>
        <v/>
      </c>
      <c r="F106" s="47">
        <f>Subsurface_Inputs!$C$5+Subsurface_Inputs!$C$6*SIN(2*PI()*(A106+Subsurface_Inputs!$C$7)/Subsurface_Inputs!$C$8)+Subsurface_Inputs!$C$9*COS(2*PI()*A106/Subsurface_Inputs!$C$10)+Subsurface_Inputs!$C$11*(B106-AVERAGE($B$2:$B$242))</f>
        <v/>
      </c>
      <c r="G106" s="47">
        <f>B106-F106</f>
        <v/>
      </c>
      <c r="H106" s="47">
        <f>MIN(1,MAX(0,Subsurface_Inputs!$C$13*EXP(-0.5*((A106-Subsurface_Inputs!$C$14)/Subsurface_Inputs!$C$15)^2)+Subsurface_Inputs!$C$16*EXP(-0.5*((A106-Subsurface_Inputs!$C$17)/Subsurface_Inputs!$C$18)^2)))</f>
        <v/>
      </c>
      <c r="I106" s="47">
        <f>Subsurface_Inputs!$C$19+Subsurface_Inputs!$C$20*SIN(2*PI()*(A106-Subsurface_Inputs!$C$21)/Subsurface_Inputs!$C$22)-Subsurface_Inputs!$C$23*H106</f>
        <v/>
      </c>
      <c r="J106" s="47">
        <f>B106-I106</f>
        <v/>
      </c>
      <c r="K106" s="47">
        <f>Subsurface_Inputs!$C$25+Subsurface_Inputs!$C$26*SIN(2*PI()*(A106+Subsurface_Inputs!$C$27)/Subsurface_Inputs!$C$28)+Subsurface_Inputs!$C$29*COS(2*PI()*(A106-Subsurface_Inputs!$C$30)/Subsurface_Inputs!$C$31)-Subsurface_Inputs!$C$32*(B106-AVERAGE($B$2:$B$242))</f>
        <v/>
      </c>
      <c r="L106" s="47">
        <f>B106-K106</f>
        <v/>
      </c>
      <c r="M106" s="47">
        <f>2*Subsurface_Inputs!$C$34*F106/Subsurface_Inputs!$C$35*1000000</f>
        <v/>
      </c>
      <c r="N106" s="47">
        <f>2*Subsurface_Inputs!$C$34*I106/Subsurface_Inputs!$C$35*1000000</f>
        <v/>
      </c>
      <c r="O106" s="47">
        <f>2*Subsurface_Inputs!$C$34*K106/Subsurface_Inputs!$C$35*1000000</f>
        <v/>
      </c>
      <c r="P106" s="47">
        <f>Subsurface_Inputs!$C$37-2*Subsurface_Inputs!$C$36*(F106/1000)</f>
        <v/>
      </c>
      <c r="Q106" s="47">
        <f>Subsurface_Inputs!$C$38+Subsurface_Inputs!$C$39*H106-2*Subsurface_Inputs!$C$36*(I106/1000)</f>
        <v/>
      </c>
      <c r="R106" s="47">
        <f>Subsurface_Inputs!$C$40-2*Subsurface_Inputs!$C$36*(K106/1000)-Subsurface_Inputs!$C$41*ABS(L106-AVERAGE($L$2:$L$242))</f>
        <v/>
      </c>
      <c r="S106" s="47">
        <f>K106-AVERAGE($K$2:$K$242)</f>
        <v/>
      </c>
      <c r="T106" s="47">
        <f>K106/F106</f>
        <v/>
      </c>
      <c r="U106" s="50">
        <f>IF(H106&gt;=Subsurface_Inputs!$C$42,"Lens visible","Weak/no lens")</f>
        <v/>
      </c>
      <c r="V106" s="50">
        <f>IF(R106&gt;=W106,"Likely visible","Weak")</f>
        <v/>
      </c>
      <c r="W106" s="47">
        <f>Subsurface_Inputs!$C$43</f>
        <v/>
      </c>
      <c r="X106" s="47">
        <f>Q106-W106</f>
        <v/>
      </c>
      <c r="Y106" s="47">
        <f>R106-W106</f>
        <v/>
      </c>
      <c r="Z106" s="47">
        <f>MAX(Q106,R106)-W106</f>
        <v/>
      </c>
      <c r="AA106" s="47" t="n">
        <v>0</v>
      </c>
    </row>
    <row r="107">
      <c r="A107" s="47">
        <f>Model_Data!A107</f>
        <v/>
      </c>
      <c r="B107" s="47">
        <f>Model_Data!Y107</f>
        <v/>
      </c>
      <c r="C107" s="47">
        <f>Model_Data!X107</f>
        <v/>
      </c>
      <c r="D107" s="47">
        <f>Model_Data!B107</f>
        <v/>
      </c>
      <c r="E107" s="47">
        <f>Inputs!$C$6</f>
        <v/>
      </c>
      <c r="F107" s="47">
        <f>Subsurface_Inputs!$C$5+Subsurface_Inputs!$C$6*SIN(2*PI()*(A107+Subsurface_Inputs!$C$7)/Subsurface_Inputs!$C$8)+Subsurface_Inputs!$C$9*COS(2*PI()*A107/Subsurface_Inputs!$C$10)+Subsurface_Inputs!$C$11*(B107-AVERAGE($B$2:$B$242))</f>
        <v/>
      </c>
      <c r="G107" s="47">
        <f>B107-F107</f>
        <v/>
      </c>
      <c r="H107" s="47">
        <f>MIN(1,MAX(0,Subsurface_Inputs!$C$13*EXP(-0.5*((A107-Subsurface_Inputs!$C$14)/Subsurface_Inputs!$C$15)^2)+Subsurface_Inputs!$C$16*EXP(-0.5*((A107-Subsurface_Inputs!$C$17)/Subsurface_Inputs!$C$18)^2)))</f>
        <v/>
      </c>
      <c r="I107" s="47">
        <f>Subsurface_Inputs!$C$19+Subsurface_Inputs!$C$20*SIN(2*PI()*(A107-Subsurface_Inputs!$C$21)/Subsurface_Inputs!$C$22)-Subsurface_Inputs!$C$23*H107</f>
        <v/>
      </c>
      <c r="J107" s="47">
        <f>B107-I107</f>
        <v/>
      </c>
      <c r="K107" s="47">
        <f>Subsurface_Inputs!$C$25+Subsurface_Inputs!$C$26*SIN(2*PI()*(A107+Subsurface_Inputs!$C$27)/Subsurface_Inputs!$C$28)+Subsurface_Inputs!$C$29*COS(2*PI()*(A107-Subsurface_Inputs!$C$30)/Subsurface_Inputs!$C$31)-Subsurface_Inputs!$C$32*(B107-AVERAGE($B$2:$B$242))</f>
        <v/>
      </c>
      <c r="L107" s="47">
        <f>B107-K107</f>
        <v/>
      </c>
      <c r="M107" s="47">
        <f>2*Subsurface_Inputs!$C$34*F107/Subsurface_Inputs!$C$35*1000000</f>
        <v/>
      </c>
      <c r="N107" s="47">
        <f>2*Subsurface_Inputs!$C$34*I107/Subsurface_Inputs!$C$35*1000000</f>
        <v/>
      </c>
      <c r="O107" s="47">
        <f>2*Subsurface_Inputs!$C$34*K107/Subsurface_Inputs!$C$35*1000000</f>
        <v/>
      </c>
      <c r="P107" s="47">
        <f>Subsurface_Inputs!$C$37-2*Subsurface_Inputs!$C$36*(F107/1000)</f>
        <v/>
      </c>
      <c r="Q107" s="47">
        <f>Subsurface_Inputs!$C$38+Subsurface_Inputs!$C$39*H107-2*Subsurface_Inputs!$C$36*(I107/1000)</f>
        <v/>
      </c>
      <c r="R107" s="47">
        <f>Subsurface_Inputs!$C$40-2*Subsurface_Inputs!$C$36*(K107/1000)-Subsurface_Inputs!$C$41*ABS(L107-AVERAGE($L$2:$L$242))</f>
        <v/>
      </c>
      <c r="S107" s="47">
        <f>K107-AVERAGE($K$2:$K$242)</f>
        <v/>
      </c>
      <c r="T107" s="47">
        <f>K107/F107</f>
        <v/>
      </c>
      <c r="U107" s="50">
        <f>IF(H107&gt;=Subsurface_Inputs!$C$42,"Lens visible","Weak/no lens")</f>
        <v/>
      </c>
      <c r="V107" s="50">
        <f>IF(R107&gt;=W107,"Likely visible","Weak")</f>
        <v/>
      </c>
      <c r="W107" s="47">
        <f>Subsurface_Inputs!$C$43</f>
        <v/>
      </c>
      <c r="X107" s="47">
        <f>Q107-W107</f>
        <v/>
      </c>
      <c r="Y107" s="47">
        <f>R107-W107</f>
        <v/>
      </c>
      <c r="Z107" s="47">
        <f>MAX(Q107,R107)-W107</f>
        <v/>
      </c>
      <c r="AA107" s="47" t="n">
        <v>0</v>
      </c>
    </row>
    <row r="108">
      <c r="A108" s="47">
        <f>Model_Data!A108</f>
        <v/>
      </c>
      <c r="B108" s="47">
        <f>Model_Data!Y108</f>
        <v/>
      </c>
      <c r="C108" s="47">
        <f>Model_Data!X108</f>
        <v/>
      </c>
      <c r="D108" s="47">
        <f>Model_Data!B108</f>
        <v/>
      </c>
      <c r="E108" s="47">
        <f>Inputs!$C$6</f>
        <v/>
      </c>
      <c r="F108" s="47">
        <f>Subsurface_Inputs!$C$5+Subsurface_Inputs!$C$6*SIN(2*PI()*(A108+Subsurface_Inputs!$C$7)/Subsurface_Inputs!$C$8)+Subsurface_Inputs!$C$9*COS(2*PI()*A108/Subsurface_Inputs!$C$10)+Subsurface_Inputs!$C$11*(B108-AVERAGE($B$2:$B$242))</f>
        <v/>
      </c>
      <c r="G108" s="47">
        <f>B108-F108</f>
        <v/>
      </c>
      <c r="H108" s="47">
        <f>MIN(1,MAX(0,Subsurface_Inputs!$C$13*EXP(-0.5*((A108-Subsurface_Inputs!$C$14)/Subsurface_Inputs!$C$15)^2)+Subsurface_Inputs!$C$16*EXP(-0.5*((A108-Subsurface_Inputs!$C$17)/Subsurface_Inputs!$C$18)^2)))</f>
        <v/>
      </c>
      <c r="I108" s="47">
        <f>Subsurface_Inputs!$C$19+Subsurface_Inputs!$C$20*SIN(2*PI()*(A108-Subsurface_Inputs!$C$21)/Subsurface_Inputs!$C$22)-Subsurface_Inputs!$C$23*H108</f>
        <v/>
      </c>
      <c r="J108" s="47">
        <f>B108-I108</f>
        <v/>
      </c>
      <c r="K108" s="47">
        <f>Subsurface_Inputs!$C$25+Subsurface_Inputs!$C$26*SIN(2*PI()*(A108+Subsurface_Inputs!$C$27)/Subsurface_Inputs!$C$28)+Subsurface_Inputs!$C$29*COS(2*PI()*(A108-Subsurface_Inputs!$C$30)/Subsurface_Inputs!$C$31)-Subsurface_Inputs!$C$32*(B108-AVERAGE($B$2:$B$242))</f>
        <v/>
      </c>
      <c r="L108" s="47">
        <f>B108-K108</f>
        <v/>
      </c>
      <c r="M108" s="47">
        <f>2*Subsurface_Inputs!$C$34*F108/Subsurface_Inputs!$C$35*1000000</f>
        <v/>
      </c>
      <c r="N108" s="47">
        <f>2*Subsurface_Inputs!$C$34*I108/Subsurface_Inputs!$C$35*1000000</f>
        <v/>
      </c>
      <c r="O108" s="47">
        <f>2*Subsurface_Inputs!$C$34*K108/Subsurface_Inputs!$C$35*1000000</f>
        <v/>
      </c>
      <c r="P108" s="47">
        <f>Subsurface_Inputs!$C$37-2*Subsurface_Inputs!$C$36*(F108/1000)</f>
        <v/>
      </c>
      <c r="Q108" s="47">
        <f>Subsurface_Inputs!$C$38+Subsurface_Inputs!$C$39*H108-2*Subsurface_Inputs!$C$36*(I108/1000)</f>
        <v/>
      </c>
      <c r="R108" s="47">
        <f>Subsurface_Inputs!$C$40-2*Subsurface_Inputs!$C$36*(K108/1000)-Subsurface_Inputs!$C$41*ABS(L108-AVERAGE($L$2:$L$242))</f>
        <v/>
      </c>
      <c r="S108" s="47">
        <f>K108-AVERAGE($K$2:$K$242)</f>
        <v/>
      </c>
      <c r="T108" s="47">
        <f>K108/F108</f>
        <v/>
      </c>
      <c r="U108" s="50">
        <f>IF(H108&gt;=Subsurface_Inputs!$C$42,"Lens visible","Weak/no lens")</f>
        <v/>
      </c>
      <c r="V108" s="50">
        <f>IF(R108&gt;=W108,"Likely visible","Weak")</f>
        <v/>
      </c>
      <c r="W108" s="47">
        <f>Subsurface_Inputs!$C$43</f>
        <v/>
      </c>
      <c r="X108" s="47">
        <f>Q108-W108</f>
        <v/>
      </c>
      <c r="Y108" s="47">
        <f>R108-W108</f>
        <v/>
      </c>
      <c r="Z108" s="47">
        <f>MAX(Q108,R108)-W108</f>
        <v/>
      </c>
      <c r="AA108" s="47" t="n">
        <v>0</v>
      </c>
    </row>
    <row r="109">
      <c r="A109" s="47">
        <f>Model_Data!A109</f>
        <v/>
      </c>
      <c r="B109" s="47">
        <f>Model_Data!Y109</f>
        <v/>
      </c>
      <c r="C109" s="47">
        <f>Model_Data!X109</f>
        <v/>
      </c>
      <c r="D109" s="47">
        <f>Model_Data!B109</f>
        <v/>
      </c>
      <c r="E109" s="47">
        <f>Inputs!$C$6</f>
        <v/>
      </c>
      <c r="F109" s="47">
        <f>Subsurface_Inputs!$C$5+Subsurface_Inputs!$C$6*SIN(2*PI()*(A109+Subsurface_Inputs!$C$7)/Subsurface_Inputs!$C$8)+Subsurface_Inputs!$C$9*COS(2*PI()*A109/Subsurface_Inputs!$C$10)+Subsurface_Inputs!$C$11*(B109-AVERAGE($B$2:$B$242))</f>
        <v/>
      </c>
      <c r="G109" s="47">
        <f>B109-F109</f>
        <v/>
      </c>
      <c r="H109" s="47">
        <f>MIN(1,MAX(0,Subsurface_Inputs!$C$13*EXP(-0.5*((A109-Subsurface_Inputs!$C$14)/Subsurface_Inputs!$C$15)^2)+Subsurface_Inputs!$C$16*EXP(-0.5*((A109-Subsurface_Inputs!$C$17)/Subsurface_Inputs!$C$18)^2)))</f>
        <v/>
      </c>
      <c r="I109" s="47">
        <f>Subsurface_Inputs!$C$19+Subsurface_Inputs!$C$20*SIN(2*PI()*(A109-Subsurface_Inputs!$C$21)/Subsurface_Inputs!$C$22)-Subsurface_Inputs!$C$23*H109</f>
        <v/>
      </c>
      <c r="J109" s="47">
        <f>B109-I109</f>
        <v/>
      </c>
      <c r="K109" s="47">
        <f>Subsurface_Inputs!$C$25+Subsurface_Inputs!$C$26*SIN(2*PI()*(A109+Subsurface_Inputs!$C$27)/Subsurface_Inputs!$C$28)+Subsurface_Inputs!$C$29*COS(2*PI()*(A109-Subsurface_Inputs!$C$30)/Subsurface_Inputs!$C$31)-Subsurface_Inputs!$C$32*(B109-AVERAGE($B$2:$B$242))</f>
        <v/>
      </c>
      <c r="L109" s="47">
        <f>B109-K109</f>
        <v/>
      </c>
      <c r="M109" s="47">
        <f>2*Subsurface_Inputs!$C$34*F109/Subsurface_Inputs!$C$35*1000000</f>
        <v/>
      </c>
      <c r="N109" s="47">
        <f>2*Subsurface_Inputs!$C$34*I109/Subsurface_Inputs!$C$35*1000000</f>
        <v/>
      </c>
      <c r="O109" s="47">
        <f>2*Subsurface_Inputs!$C$34*K109/Subsurface_Inputs!$C$35*1000000</f>
        <v/>
      </c>
      <c r="P109" s="47">
        <f>Subsurface_Inputs!$C$37-2*Subsurface_Inputs!$C$36*(F109/1000)</f>
        <v/>
      </c>
      <c r="Q109" s="47">
        <f>Subsurface_Inputs!$C$38+Subsurface_Inputs!$C$39*H109-2*Subsurface_Inputs!$C$36*(I109/1000)</f>
        <v/>
      </c>
      <c r="R109" s="47">
        <f>Subsurface_Inputs!$C$40-2*Subsurface_Inputs!$C$36*(K109/1000)-Subsurface_Inputs!$C$41*ABS(L109-AVERAGE($L$2:$L$242))</f>
        <v/>
      </c>
      <c r="S109" s="47">
        <f>K109-AVERAGE($K$2:$K$242)</f>
        <v/>
      </c>
      <c r="T109" s="47">
        <f>K109/F109</f>
        <v/>
      </c>
      <c r="U109" s="50">
        <f>IF(H109&gt;=Subsurface_Inputs!$C$42,"Lens visible","Weak/no lens")</f>
        <v/>
      </c>
      <c r="V109" s="50">
        <f>IF(R109&gt;=W109,"Likely visible","Weak")</f>
        <v/>
      </c>
      <c r="W109" s="47">
        <f>Subsurface_Inputs!$C$43</f>
        <v/>
      </c>
      <c r="X109" s="47">
        <f>Q109-W109</f>
        <v/>
      </c>
      <c r="Y109" s="47">
        <f>R109-W109</f>
        <v/>
      </c>
      <c r="Z109" s="47">
        <f>MAX(Q109,R109)-W109</f>
        <v/>
      </c>
      <c r="AA109" s="47" t="n">
        <v>0</v>
      </c>
    </row>
    <row r="110">
      <c r="A110" s="47">
        <f>Model_Data!A110</f>
        <v/>
      </c>
      <c r="B110" s="47">
        <f>Model_Data!Y110</f>
        <v/>
      </c>
      <c r="C110" s="47">
        <f>Model_Data!X110</f>
        <v/>
      </c>
      <c r="D110" s="47">
        <f>Model_Data!B110</f>
        <v/>
      </c>
      <c r="E110" s="47">
        <f>Inputs!$C$6</f>
        <v/>
      </c>
      <c r="F110" s="47">
        <f>Subsurface_Inputs!$C$5+Subsurface_Inputs!$C$6*SIN(2*PI()*(A110+Subsurface_Inputs!$C$7)/Subsurface_Inputs!$C$8)+Subsurface_Inputs!$C$9*COS(2*PI()*A110/Subsurface_Inputs!$C$10)+Subsurface_Inputs!$C$11*(B110-AVERAGE($B$2:$B$242))</f>
        <v/>
      </c>
      <c r="G110" s="47">
        <f>B110-F110</f>
        <v/>
      </c>
      <c r="H110" s="47">
        <f>MIN(1,MAX(0,Subsurface_Inputs!$C$13*EXP(-0.5*((A110-Subsurface_Inputs!$C$14)/Subsurface_Inputs!$C$15)^2)+Subsurface_Inputs!$C$16*EXP(-0.5*((A110-Subsurface_Inputs!$C$17)/Subsurface_Inputs!$C$18)^2)))</f>
        <v/>
      </c>
      <c r="I110" s="47">
        <f>Subsurface_Inputs!$C$19+Subsurface_Inputs!$C$20*SIN(2*PI()*(A110-Subsurface_Inputs!$C$21)/Subsurface_Inputs!$C$22)-Subsurface_Inputs!$C$23*H110</f>
        <v/>
      </c>
      <c r="J110" s="47">
        <f>B110-I110</f>
        <v/>
      </c>
      <c r="K110" s="47">
        <f>Subsurface_Inputs!$C$25+Subsurface_Inputs!$C$26*SIN(2*PI()*(A110+Subsurface_Inputs!$C$27)/Subsurface_Inputs!$C$28)+Subsurface_Inputs!$C$29*COS(2*PI()*(A110-Subsurface_Inputs!$C$30)/Subsurface_Inputs!$C$31)-Subsurface_Inputs!$C$32*(B110-AVERAGE($B$2:$B$242))</f>
        <v/>
      </c>
      <c r="L110" s="47">
        <f>B110-K110</f>
        <v/>
      </c>
      <c r="M110" s="47">
        <f>2*Subsurface_Inputs!$C$34*F110/Subsurface_Inputs!$C$35*1000000</f>
        <v/>
      </c>
      <c r="N110" s="47">
        <f>2*Subsurface_Inputs!$C$34*I110/Subsurface_Inputs!$C$35*1000000</f>
        <v/>
      </c>
      <c r="O110" s="47">
        <f>2*Subsurface_Inputs!$C$34*K110/Subsurface_Inputs!$C$35*1000000</f>
        <v/>
      </c>
      <c r="P110" s="47">
        <f>Subsurface_Inputs!$C$37-2*Subsurface_Inputs!$C$36*(F110/1000)</f>
        <v/>
      </c>
      <c r="Q110" s="47">
        <f>Subsurface_Inputs!$C$38+Subsurface_Inputs!$C$39*H110-2*Subsurface_Inputs!$C$36*(I110/1000)</f>
        <v/>
      </c>
      <c r="R110" s="47">
        <f>Subsurface_Inputs!$C$40-2*Subsurface_Inputs!$C$36*(K110/1000)-Subsurface_Inputs!$C$41*ABS(L110-AVERAGE($L$2:$L$242))</f>
        <v/>
      </c>
      <c r="S110" s="47">
        <f>K110-AVERAGE($K$2:$K$242)</f>
        <v/>
      </c>
      <c r="T110" s="47">
        <f>K110/F110</f>
        <v/>
      </c>
      <c r="U110" s="50">
        <f>IF(H110&gt;=Subsurface_Inputs!$C$42,"Lens visible","Weak/no lens")</f>
        <v/>
      </c>
      <c r="V110" s="50">
        <f>IF(R110&gt;=W110,"Likely visible","Weak")</f>
        <v/>
      </c>
      <c r="W110" s="47">
        <f>Subsurface_Inputs!$C$43</f>
        <v/>
      </c>
      <c r="X110" s="47">
        <f>Q110-W110</f>
        <v/>
      </c>
      <c r="Y110" s="47">
        <f>R110-W110</f>
        <v/>
      </c>
      <c r="Z110" s="47">
        <f>MAX(Q110,R110)-W110</f>
        <v/>
      </c>
      <c r="AA110" s="47" t="n">
        <v>0</v>
      </c>
    </row>
    <row r="111">
      <c r="A111" s="47">
        <f>Model_Data!A111</f>
        <v/>
      </c>
      <c r="B111" s="47">
        <f>Model_Data!Y111</f>
        <v/>
      </c>
      <c r="C111" s="47">
        <f>Model_Data!X111</f>
        <v/>
      </c>
      <c r="D111" s="47">
        <f>Model_Data!B111</f>
        <v/>
      </c>
      <c r="E111" s="47">
        <f>Inputs!$C$6</f>
        <v/>
      </c>
      <c r="F111" s="47">
        <f>Subsurface_Inputs!$C$5+Subsurface_Inputs!$C$6*SIN(2*PI()*(A111+Subsurface_Inputs!$C$7)/Subsurface_Inputs!$C$8)+Subsurface_Inputs!$C$9*COS(2*PI()*A111/Subsurface_Inputs!$C$10)+Subsurface_Inputs!$C$11*(B111-AVERAGE($B$2:$B$242))</f>
        <v/>
      </c>
      <c r="G111" s="47">
        <f>B111-F111</f>
        <v/>
      </c>
      <c r="H111" s="47">
        <f>MIN(1,MAX(0,Subsurface_Inputs!$C$13*EXP(-0.5*((A111-Subsurface_Inputs!$C$14)/Subsurface_Inputs!$C$15)^2)+Subsurface_Inputs!$C$16*EXP(-0.5*((A111-Subsurface_Inputs!$C$17)/Subsurface_Inputs!$C$18)^2)))</f>
        <v/>
      </c>
      <c r="I111" s="47">
        <f>Subsurface_Inputs!$C$19+Subsurface_Inputs!$C$20*SIN(2*PI()*(A111-Subsurface_Inputs!$C$21)/Subsurface_Inputs!$C$22)-Subsurface_Inputs!$C$23*H111</f>
        <v/>
      </c>
      <c r="J111" s="47">
        <f>B111-I111</f>
        <v/>
      </c>
      <c r="K111" s="47">
        <f>Subsurface_Inputs!$C$25+Subsurface_Inputs!$C$26*SIN(2*PI()*(A111+Subsurface_Inputs!$C$27)/Subsurface_Inputs!$C$28)+Subsurface_Inputs!$C$29*COS(2*PI()*(A111-Subsurface_Inputs!$C$30)/Subsurface_Inputs!$C$31)-Subsurface_Inputs!$C$32*(B111-AVERAGE($B$2:$B$242))</f>
        <v/>
      </c>
      <c r="L111" s="47">
        <f>B111-K111</f>
        <v/>
      </c>
      <c r="M111" s="47">
        <f>2*Subsurface_Inputs!$C$34*F111/Subsurface_Inputs!$C$35*1000000</f>
        <v/>
      </c>
      <c r="N111" s="47">
        <f>2*Subsurface_Inputs!$C$34*I111/Subsurface_Inputs!$C$35*1000000</f>
        <v/>
      </c>
      <c r="O111" s="47">
        <f>2*Subsurface_Inputs!$C$34*K111/Subsurface_Inputs!$C$35*1000000</f>
        <v/>
      </c>
      <c r="P111" s="47">
        <f>Subsurface_Inputs!$C$37-2*Subsurface_Inputs!$C$36*(F111/1000)</f>
        <v/>
      </c>
      <c r="Q111" s="47">
        <f>Subsurface_Inputs!$C$38+Subsurface_Inputs!$C$39*H111-2*Subsurface_Inputs!$C$36*(I111/1000)</f>
        <v/>
      </c>
      <c r="R111" s="47">
        <f>Subsurface_Inputs!$C$40-2*Subsurface_Inputs!$C$36*(K111/1000)-Subsurface_Inputs!$C$41*ABS(L111-AVERAGE($L$2:$L$242))</f>
        <v/>
      </c>
      <c r="S111" s="47">
        <f>K111-AVERAGE($K$2:$K$242)</f>
        <v/>
      </c>
      <c r="T111" s="47">
        <f>K111/F111</f>
        <v/>
      </c>
      <c r="U111" s="50">
        <f>IF(H111&gt;=Subsurface_Inputs!$C$42,"Lens visible","Weak/no lens")</f>
        <v/>
      </c>
      <c r="V111" s="50">
        <f>IF(R111&gt;=W111,"Likely visible","Weak")</f>
        <v/>
      </c>
      <c r="W111" s="47">
        <f>Subsurface_Inputs!$C$43</f>
        <v/>
      </c>
      <c r="X111" s="47">
        <f>Q111-W111</f>
        <v/>
      </c>
      <c r="Y111" s="47">
        <f>R111-W111</f>
        <v/>
      </c>
      <c r="Z111" s="47">
        <f>MAX(Q111,R111)-W111</f>
        <v/>
      </c>
      <c r="AA111" s="47" t="n">
        <v>0</v>
      </c>
    </row>
    <row r="112">
      <c r="A112" s="47">
        <f>Model_Data!A112</f>
        <v/>
      </c>
      <c r="B112" s="47">
        <f>Model_Data!Y112</f>
        <v/>
      </c>
      <c r="C112" s="47">
        <f>Model_Data!X112</f>
        <v/>
      </c>
      <c r="D112" s="47">
        <f>Model_Data!B112</f>
        <v/>
      </c>
      <c r="E112" s="47">
        <f>Inputs!$C$6</f>
        <v/>
      </c>
      <c r="F112" s="47">
        <f>Subsurface_Inputs!$C$5+Subsurface_Inputs!$C$6*SIN(2*PI()*(A112+Subsurface_Inputs!$C$7)/Subsurface_Inputs!$C$8)+Subsurface_Inputs!$C$9*COS(2*PI()*A112/Subsurface_Inputs!$C$10)+Subsurface_Inputs!$C$11*(B112-AVERAGE($B$2:$B$242))</f>
        <v/>
      </c>
      <c r="G112" s="47">
        <f>B112-F112</f>
        <v/>
      </c>
      <c r="H112" s="47">
        <f>MIN(1,MAX(0,Subsurface_Inputs!$C$13*EXP(-0.5*((A112-Subsurface_Inputs!$C$14)/Subsurface_Inputs!$C$15)^2)+Subsurface_Inputs!$C$16*EXP(-0.5*((A112-Subsurface_Inputs!$C$17)/Subsurface_Inputs!$C$18)^2)))</f>
        <v/>
      </c>
      <c r="I112" s="47">
        <f>Subsurface_Inputs!$C$19+Subsurface_Inputs!$C$20*SIN(2*PI()*(A112-Subsurface_Inputs!$C$21)/Subsurface_Inputs!$C$22)-Subsurface_Inputs!$C$23*H112</f>
        <v/>
      </c>
      <c r="J112" s="47">
        <f>B112-I112</f>
        <v/>
      </c>
      <c r="K112" s="47">
        <f>Subsurface_Inputs!$C$25+Subsurface_Inputs!$C$26*SIN(2*PI()*(A112+Subsurface_Inputs!$C$27)/Subsurface_Inputs!$C$28)+Subsurface_Inputs!$C$29*COS(2*PI()*(A112-Subsurface_Inputs!$C$30)/Subsurface_Inputs!$C$31)-Subsurface_Inputs!$C$32*(B112-AVERAGE($B$2:$B$242))</f>
        <v/>
      </c>
      <c r="L112" s="47">
        <f>B112-K112</f>
        <v/>
      </c>
      <c r="M112" s="47">
        <f>2*Subsurface_Inputs!$C$34*F112/Subsurface_Inputs!$C$35*1000000</f>
        <v/>
      </c>
      <c r="N112" s="47">
        <f>2*Subsurface_Inputs!$C$34*I112/Subsurface_Inputs!$C$35*1000000</f>
        <v/>
      </c>
      <c r="O112" s="47">
        <f>2*Subsurface_Inputs!$C$34*K112/Subsurface_Inputs!$C$35*1000000</f>
        <v/>
      </c>
      <c r="P112" s="47">
        <f>Subsurface_Inputs!$C$37-2*Subsurface_Inputs!$C$36*(F112/1000)</f>
        <v/>
      </c>
      <c r="Q112" s="47">
        <f>Subsurface_Inputs!$C$38+Subsurface_Inputs!$C$39*H112-2*Subsurface_Inputs!$C$36*(I112/1000)</f>
        <v/>
      </c>
      <c r="R112" s="47">
        <f>Subsurface_Inputs!$C$40-2*Subsurface_Inputs!$C$36*(K112/1000)-Subsurface_Inputs!$C$41*ABS(L112-AVERAGE($L$2:$L$242))</f>
        <v/>
      </c>
      <c r="S112" s="47">
        <f>K112-AVERAGE($K$2:$K$242)</f>
        <v/>
      </c>
      <c r="T112" s="47">
        <f>K112/F112</f>
        <v/>
      </c>
      <c r="U112" s="50">
        <f>IF(H112&gt;=Subsurface_Inputs!$C$42,"Lens visible","Weak/no lens")</f>
        <v/>
      </c>
      <c r="V112" s="50">
        <f>IF(R112&gt;=W112,"Likely visible","Weak")</f>
        <v/>
      </c>
      <c r="W112" s="47">
        <f>Subsurface_Inputs!$C$43</f>
        <v/>
      </c>
      <c r="X112" s="47">
        <f>Q112-W112</f>
        <v/>
      </c>
      <c r="Y112" s="47">
        <f>R112-W112</f>
        <v/>
      </c>
      <c r="Z112" s="47">
        <f>MAX(Q112,R112)-W112</f>
        <v/>
      </c>
      <c r="AA112" s="47" t="n">
        <v>0</v>
      </c>
    </row>
    <row r="113">
      <c r="A113" s="47">
        <f>Model_Data!A113</f>
        <v/>
      </c>
      <c r="B113" s="47">
        <f>Model_Data!Y113</f>
        <v/>
      </c>
      <c r="C113" s="47">
        <f>Model_Data!X113</f>
        <v/>
      </c>
      <c r="D113" s="47">
        <f>Model_Data!B113</f>
        <v/>
      </c>
      <c r="E113" s="47">
        <f>Inputs!$C$6</f>
        <v/>
      </c>
      <c r="F113" s="47">
        <f>Subsurface_Inputs!$C$5+Subsurface_Inputs!$C$6*SIN(2*PI()*(A113+Subsurface_Inputs!$C$7)/Subsurface_Inputs!$C$8)+Subsurface_Inputs!$C$9*COS(2*PI()*A113/Subsurface_Inputs!$C$10)+Subsurface_Inputs!$C$11*(B113-AVERAGE($B$2:$B$242))</f>
        <v/>
      </c>
      <c r="G113" s="47">
        <f>B113-F113</f>
        <v/>
      </c>
      <c r="H113" s="47">
        <f>MIN(1,MAX(0,Subsurface_Inputs!$C$13*EXP(-0.5*((A113-Subsurface_Inputs!$C$14)/Subsurface_Inputs!$C$15)^2)+Subsurface_Inputs!$C$16*EXP(-0.5*((A113-Subsurface_Inputs!$C$17)/Subsurface_Inputs!$C$18)^2)))</f>
        <v/>
      </c>
      <c r="I113" s="47">
        <f>Subsurface_Inputs!$C$19+Subsurface_Inputs!$C$20*SIN(2*PI()*(A113-Subsurface_Inputs!$C$21)/Subsurface_Inputs!$C$22)-Subsurface_Inputs!$C$23*H113</f>
        <v/>
      </c>
      <c r="J113" s="47">
        <f>B113-I113</f>
        <v/>
      </c>
      <c r="K113" s="47">
        <f>Subsurface_Inputs!$C$25+Subsurface_Inputs!$C$26*SIN(2*PI()*(A113+Subsurface_Inputs!$C$27)/Subsurface_Inputs!$C$28)+Subsurface_Inputs!$C$29*COS(2*PI()*(A113-Subsurface_Inputs!$C$30)/Subsurface_Inputs!$C$31)-Subsurface_Inputs!$C$32*(B113-AVERAGE($B$2:$B$242))</f>
        <v/>
      </c>
      <c r="L113" s="47">
        <f>B113-K113</f>
        <v/>
      </c>
      <c r="M113" s="47">
        <f>2*Subsurface_Inputs!$C$34*F113/Subsurface_Inputs!$C$35*1000000</f>
        <v/>
      </c>
      <c r="N113" s="47">
        <f>2*Subsurface_Inputs!$C$34*I113/Subsurface_Inputs!$C$35*1000000</f>
        <v/>
      </c>
      <c r="O113" s="47">
        <f>2*Subsurface_Inputs!$C$34*K113/Subsurface_Inputs!$C$35*1000000</f>
        <v/>
      </c>
      <c r="P113" s="47">
        <f>Subsurface_Inputs!$C$37-2*Subsurface_Inputs!$C$36*(F113/1000)</f>
        <v/>
      </c>
      <c r="Q113" s="47">
        <f>Subsurface_Inputs!$C$38+Subsurface_Inputs!$C$39*H113-2*Subsurface_Inputs!$C$36*(I113/1000)</f>
        <v/>
      </c>
      <c r="R113" s="47">
        <f>Subsurface_Inputs!$C$40-2*Subsurface_Inputs!$C$36*(K113/1000)-Subsurface_Inputs!$C$41*ABS(L113-AVERAGE($L$2:$L$242))</f>
        <v/>
      </c>
      <c r="S113" s="47">
        <f>K113-AVERAGE($K$2:$K$242)</f>
        <v/>
      </c>
      <c r="T113" s="47">
        <f>K113/F113</f>
        <v/>
      </c>
      <c r="U113" s="50">
        <f>IF(H113&gt;=Subsurface_Inputs!$C$42,"Lens visible","Weak/no lens")</f>
        <v/>
      </c>
      <c r="V113" s="50">
        <f>IF(R113&gt;=W113,"Likely visible","Weak")</f>
        <v/>
      </c>
      <c r="W113" s="47">
        <f>Subsurface_Inputs!$C$43</f>
        <v/>
      </c>
      <c r="X113" s="47">
        <f>Q113-W113</f>
        <v/>
      </c>
      <c r="Y113" s="47">
        <f>R113-W113</f>
        <v/>
      </c>
      <c r="Z113" s="47">
        <f>MAX(Q113,R113)-W113</f>
        <v/>
      </c>
      <c r="AA113" s="47" t="n">
        <v>0</v>
      </c>
    </row>
    <row r="114">
      <c r="A114" s="47">
        <f>Model_Data!A114</f>
        <v/>
      </c>
      <c r="B114" s="47">
        <f>Model_Data!Y114</f>
        <v/>
      </c>
      <c r="C114" s="47">
        <f>Model_Data!X114</f>
        <v/>
      </c>
      <c r="D114" s="47">
        <f>Model_Data!B114</f>
        <v/>
      </c>
      <c r="E114" s="47">
        <f>Inputs!$C$6</f>
        <v/>
      </c>
      <c r="F114" s="47">
        <f>Subsurface_Inputs!$C$5+Subsurface_Inputs!$C$6*SIN(2*PI()*(A114+Subsurface_Inputs!$C$7)/Subsurface_Inputs!$C$8)+Subsurface_Inputs!$C$9*COS(2*PI()*A114/Subsurface_Inputs!$C$10)+Subsurface_Inputs!$C$11*(B114-AVERAGE($B$2:$B$242))</f>
        <v/>
      </c>
      <c r="G114" s="47">
        <f>B114-F114</f>
        <v/>
      </c>
      <c r="H114" s="47">
        <f>MIN(1,MAX(0,Subsurface_Inputs!$C$13*EXP(-0.5*((A114-Subsurface_Inputs!$C$14)/Subsurface_Inputs!$C$15)^2)+Subsurface_Inputs!$C$16*EXP(-0.5*((A114-Subsurface_Inputs!$C$17)/Subsurface_Inputs!$C$18)^2)))</f>
        <v/>
      </c>
      <c r="I114" s="47">
        <f>Subsurface_Inputs!$C$19+Subsurface_Inputs!$C$20*SIN(2*PI()*(A114-Subsurface_Inputs!$C$21)/Subsurface_Inputs!$C$22)-Subsurface_Inputs!$C$23*H114</f>
        <v/>
      </c>
      <c r="J114" s="47">
        <f>B114-I114</f>
        <v/>
      </c>
      <c r="K114" s="47">
        <f>Subsurface_Inputs!$C$25+Subsurface_Inputs!$C$26*SIN(2*PI()*(A114+Subsurface_Inputs!$C$27)/Subsurface_Inputs!$C$28)+Subsurface_Inputs!$C$29*COS(2*PI()*(A114-Subsurface_Inputs!$C$30)/Subsurface_Inputs!$C$31)-Subsurface_Inputs!$C$32*(B114-AVERAGE($B$2:$B$242))</f>
        <v/>
      </c>
      <c r="L114" s="47">
        <f>B114-K114</f>
        <v/>
      </c>
      <c r="M114" s="47">
        <f>2*Subsurface_Inputs!$C$34*F114/Subsurface_Inputs!$C$35*1000000</f>
        <v/>
      </c>
      <c r="N114" s="47">
        <f>2*Subsurface_Inputs!$C$34*I114/Subsurface_Inputs!$C$35*1000000</f>
        <v/>
      </c>
      <c r="O114" s="47">
        <f>2*Subsurface_Inputs!$C$34*K114/Subsurface_Inputs!$C$35*1000000</f>
        <v/>
      </c>
      <c r="P114" s="47">
        <f>Subsurface_Inputs!$C$37-2*Subsurface_Inputs!$C$36*(F114/1000)</f>
        <v/>
      </c>
      <c r="Q114" s="47">
        <f>Subsurface_Inputs!$C$38+Subsurface_Inputs!$C$39*H114-2*Subsurface_Inputs!$C$36*(I114/1000)</f>
        <v/>
      </c>
      <c r="R114" s="47">
        <f>Subsurface_Inputs!$C$40-2*Subsurface_Inputs!$C$36*(K114/1000)-Subsurface_Inputs!$C$41*ABS(L114-AVERAGE($L$2:$L$242))</f>
        <v/>
      </c>
      <c r="S114" s="47">
        <f>K114-AVERAGE($K$2:$K$242)</f>
        <v/>
      </c>
      <c r="T114" s="47">
        <f>K114/F114</f>
        <v/>
      </c>
      <c r="U114" s="50">
        <f>IF(H114&gt;=Subsurface_Inputs!$C$42,"Lens visible","Weak/no lens")</f>
        <v/>
      </c>
      <c r="V114" s="50">
        <f>IF(R114&gt;=W114,"Likely visible","Weak")</f>
        <v/>
      </c>
      <c r="W114" s="47">
        <f>Subsurface_Inputs!$C$43</f>
        <v/>
      </c>
      <c r="X114" s="47">
        <f>Q114-W114</f>
        <v/>
      </c>
      <c r="Y114" s="47">
        <f>R114-W114</f>
        <v/>
      </c>
      <c r="Z114" s="47">
        <f>MAX(Q114,R114)-W114</f>
        <v/>
      </c>
      <c r="AA114" s="47" t="n">
        <v>0</v>
      </c>
    </row>
    <row r="115">
      <c r="A115" s="47">
        <f>Model_Data!A115</f>
        <v/>
      </c>
      <c r="B115" s="47">
        <f>Model_Data!Y115</f>
        <v/>
      </c>
      <c r="C115" s="47">
        <f>Model_Data!X115</f>
        <v/>
      </c>
      <c r="D115" s="47">
        <f>Model_Data!B115</f>
        <v/>
      </c>
      <c r="E115" s="47">
        <f>Inputs!$C$6</f>
        <v/>
      </c>
      <c r="F115" s="47">
        <f>Subsurface_Inputs!$C$5+Subsurface_Inputs!$C$6*SIN(2*PI()*(A115+Subsurface_Inputs!$C$7)/Subsurface_Inputs!$C$8)+Subsurface_Inputs!$C$9*COS(2*PI()*A115/Subsurface_Inputs!$C$10)+Subsurface_Inputs!$C$11*(B115-AVERAGE($B$2:$B$242))</f>
        <v/>
      </c>
      <c r="G115" s="47">
        <f>B115-F115</f>
        <v/>
      </c>
      <c r="H115" s="47">
        <f>MIN(1,MAX(0,Subsurface_Inputs!$C$13*EXP(-0.5*((A115-Subsurface_Inputs!$C$14)/Subsurface_Inputs!$C$15)^2)+Subsurface_Inputs!$C$16*EXP(-0.5*((A115-Subsurface_Inputs!$C$17)/Subsurface_Inputs!$C$18)^2)))</f>
        <v/>
      </c>
      <c r="I115" s="47">
        <f>Subsurface_Inputs!$C$19+Subsurface_Inputs!$C$20*SIN(2*PI()*(A115-Subsurface_Inputs!$C$21)/Subsurface_Inputs!$C$22)-Subsurface_Inputs!$C$23*H115</f>
        <v/>
      </c>
      <c r="J115" s="47">
        <f>B115-I115</f>
        <v/>
      </c>
      <c r="K115" s="47">
        <f>Subsurface_Inputs!$C$25+Subsurface_Inputs!$C$26*SIN(2*PI()*(A115+Subsurface_Inputs!$C$27)/Subsurface_Inputs!$C$28)+Subsurface_Inputs!$C$29*COS(2*PI()*(A115-Subsurface_Inputs!$C$30)/Subsurface_Inputs!$C$31)-Subsurface_Inputs!$C$32*(B115-AVERAGE($B$2:$B$242))</f>
        <v/>
      </c>
      <c r="L115" s="47">
        <f>B115-K115</f>
        <v/>
      </c>
      <c r="M115" s="47">
        <f>2*Subsurface_Inputs!$C$34*F115/Subsurface_Inputs!$C$35*1000000</f>
        <v/>
      </c>
      <c r="N115" s="47">
        <f>2*Subsurface_Inputs!$C$34*I115/Subsurface_Inputs!$C$35*1000000</f>
        <v/>
      </c>
      <c r="O115" s="47">
        <f>2*Subsurface_Inputs!$C$34*K115/Subsurface_Inputs!$C$35*1000000</f>
        <v/>
      </c>
      <c r="P115" s="47">
        <f>Subsurface_Inputs!$C$37-2*Subsurface_Inputs!$C$36*(F115/1000)</f>
        <v/>
      </c>
      <c r="Q115" s="47">
        <f>Subsurface_Inputs!$C$38+Subsurface_Inputs!$C$39*H115-2*Subsurface_Inputs!$C$36*(I115/1000)</f>
        <v/>
      </c>
      <c r="R115" s="47">
        <f>Subsurface_Inputs!$C$40-2*Subsurface_Inputs!$C$36*(K115/1000)-Subsurface_Inputs!$C$41*ABS(L115-AVERAGE($L$2:$L$242))</f>
        <v/>
      </c>
      <c r="S115" s="47">
        <f>K115-AVERAGE($K$2:$K$242)</f>
        <v/>
      </c>
      <c r="T115" s="47">
        <f>K115/F115</f>
        <v/>
      </c>
      <c r="U115" s="50">
        <f>IF(H115&gt;=Subsurface_Inputs!$C$42,"Lens visible","Weak/no lens")</f>
        <v/>
      </c>
      <c r="V115" s="50">
        <f>IF(R115&gt;=W115,"Likely visible","Weak")</f>
        <v/>
      </c>
      <c r="W115" s="47">
        <f>Subsurface_Inputs!$C$43</f>
        <v/>
      </c>
      <c r="X115" s="47">
        <f>Q115-W115</f>
        <v/>
      </c>
      <c r="Y115" s="47">
        <f>R115-W115</f>
        <v/>
      </c>
      <c r="Z115" s="47">
        <f>MAX(Q115,R115)-W115</f>
        <v/>
      </c>
      <c r="AA115" s="47" t="n">
        <v>0</v>
      </c>
    </row>
    <row r="116">
      <c r="A116" s="47">
        <f>Model_Data!A116</f>
        <v/>
      </c>
      <c r="B116" s="47">
        <f>Model_Data!Y116</f>
        <v/>
      </c>
      <c r="C116" s="47">
        <f>Model_Data!X116</f>
        <v/>
      </c>
      <c r="D116" s="47">
        <f>Model_Data!B116</f>
        <v/>
      </c>
      <c r="E116" s="47">
        <f>Inputs!$C$6</f>
        <v/>
      </c>
      <c r="F116" s="47">
        <f>Subsurface_Inputs!$C$5+Subsurface_Inputs!$C$6*SIN(2*PI()*(A116+Subsurface_Inputs!$C$7)/Subsurface_Inputs!$C$8)+Subsurface_Inputs!$C$9*COS(2*PI()*A116/Subsurface_Inputs!$C$10)+Subsurface_Inputs!$C$11*(B116-AVERAGE($B$2:$B$242))</f>
        <v/>
      </c>
      <c r="G116" s="47">
        <f>B116-F116</f>
        <v/>
      </c>
      <c r="H116" s="47">
        <f>MIN(1,MAX(0,Subsurface_Inputs!$C$13*EXP(-0.5*((A116-Subsurface_Inputs!$C$14)/Subsurface_Inputs!$C$15)^2)+Subsurface_Inputs!$C$16*EXP(-0.5*((A116-Subsurface_Inputs!$C$17)/Subsurface_Inputs!$C$18)^2)))</f>
        <v/>
      </c>
      <c r="I116" s="47">
        <f>Subsurface_Inputs!$C$19+Subsurface_Inputs!$C$20*SIN(2*PI()*(A116-Subsurface_Inputs!$C$21)/Subsurface_Inputs!$C$22)-Subsurface_Inputs!$C$23*H116</f>
        <v/>
      </c>
      <c r="J116" s="47">
        <f>B116-I116</f>
        <v/>
      </c>
      <c r="K116" s="47">
        <f>Subsurface_Inputs!$C$25+Subsurface_Inputs!$C$26*SIN(2*PI()*(A116+Subsurface_Inputs!$C$27)/Subsurface_Inputs!$C$28)+Subsurface_Inputs!$C$29*COS(2*PI()*(A116-Subsurface_Inputs!$C$30)/Subsurface_Inputs!$C$31)-Subsurface_Inputs!$C$32*(B116-AVERAGE($B$2:$B$242))</f>
        <v/>
      </c>
      <c r="L116" s="47">
        <f>B116-K116</f>
        <v/>
      </c>
      <c r="M116" s="47">
        <f>2*Subsurface_Inputs!$C$34*F116/Subsurface_Inputs!$C$35*1000000</f>
        <v/>
      </c>
      <c r="N116" s="47">
        <f>2*Subsurface_Inputs!$C$34*I116/Subsurface_Inputs!$C$35*1000000</f>
        <v/>
      </c>
      <c r="O116" s="47">
        <f>2*Subsurface_Inputs!$C$34*K116/Subsurface_Inputs!$C$35*1000000</f>
        <v/>
      </c>
      <c r="P116" s="47">
        <f>Subsurface_Inputs!$C$37-2*Subsurface_Inputs!$C$36*(F116/1000)</f>
        <v/>
      </c>
      <c r="Q116" s="47">
        <f>Subsurface_Inputs!$C$38+Subsurface_Inputs!$C$39*H116-2*Subsurface_Inputs!$C$36*(I116/1000)</f>
        <v/>
      </c>
      <c r="R116" s="47">
        <f>Subsurface_Inputs!$C$40-2*Subsurface_Inputs!$C$36*(K116/1000)-Subsurface_Inputs!$C$41*ABS(L116-AVERAGE($L$2:$L$242))</f>
        <v/>
      </c>
      <c r="S116" s="47">
        <f>K116-AVERAGE($K$2:$K$242)</f>
        <v/>
      </c>
      <c r="T116" s="47">
        <f>K116/F116</f>
        <v/>
      </c>
      <c r="U116" s="50">
        <f>IF(H116&gt;=Subsurface_Inputs!$C$42,"Lens visible","Weak/no lens")</f>
        <v/>
      </c>
      <c r="V116" s="50">
        <f>IF(R116&gt;=W116,"Likely visible","Weak")</f>
        <v/>
      </c>
      <c r="W116" s="47">
        <f>Subsurface_Inputs!$C$43</f>
        <v/>
      </c>
      <c r="X116" s="47">
        <f>Q116-W116</f>
        <v/>
      </c>
      <c r="Y116" s="47">
        <f>R116-W116</f>
        <v/>
      </c>
      <c r="Z116" s="47">
        <f>MAX(Q116,R116)-W116</f>
        <v/>
      </c>
      <c r="AA116" s="47" t="n">
        <v>0</v>
      </c>
    </row>
    <row r="117">
      <c r="A117" s="47">
        <f>Model_Data!A117</f>
        <v/>
      </c>
      <c r="B117" s="47">
        <f>Model_Data!Y117</f>
        <v/>
      </c>
      <c r="C117" s="47">
        <f>Model_Data!X117</f>
        <v/>
      </c>
      <c r="D117" s="47">
        <f>Model_Data!B117</f>
        <v/>
      </c>
      <c r="E117" s="47">
        <f>Inputs!$C$6</f>
        <v/>
      </c>
      <c r="F117" s="47">
        <f>Subsurface_Inputs!$C$5+Subsurface_Inputs!$C$6*SIN(2*PI()*(A117+Subsurface_Inputs!$C$7)/Subsurface_Inputs!$C$8)+Subsurface_Inputs!$C$9*COS(2*PI()*A117/Subsurface_Inputs!$C$10)+Subsurface_Inputs!$C$11*(B117-AVERAGE($B$2:$B$242))</f>
        <v/>
      </c>
      <c r="G117" s="47">
        <f>B117-F117</f>
        <v/>
      </c>
      <c r="H117" s="47">
        <f>MIN(1,MAX(0,Subsurface_Inputs!$C$13*EXP(-0.5*((A117-Subsurface_Inputs!$C$14)/Subsurface_Inputs!$C$15)^2)+Subsurface_Inputs!$C$16*EXP(-0.5*((A117-Subsurface_Inputs!$C$17)/Subsurface_Inputs!$C$18)^2)))</f>
        <v/>
      </c>
      <c r="I117" s="47">
        <f>Subsurface_Inputs!$C$19+Subsurface_Inputs!$C$20*SIN(2*PI()*(A117-Subsurface_Inputs!$C$21)/Subsurface_Inputs!$C$22)-Subsurface_Inputs!$C$23*H117</f>
        <v/>
      </c>
      <c r="J117" s="47">
        <f>B117-I117</f>
        <v/>
      </c>
      <c r="K117" s="47">
        <f>Subsurface_Inputs!$C$25+Subsurface_Inputs!$C$26*SIN(2*PI()*(A117+Subsurface_Inputs!$C$27)/Subsurface_Inputs!$C$28)+Subsurface_Inputs!$C$29*COS(2*PI()*(A117-Subsurface_Inputs!$C$30)/Subsurface_Inputs!$C$31)-Subsurface_Inputs!$C$32*(B117-AVERAGE($B$2:$B$242))</f>
        <v/>
      </c>
      <c r="L117" s="47">
        <f>B117-K117</f>
        <v/>
      </c>
      <c r="M117" s="47">
        <f>2*Subsurface_Inputs!$C$34*F117/Subsurface_Inputs!$C$35*1000000</f>
        <v/>
      </c>
      <c r="N117" s="47">
        <f>2*Subsurface_Inputs!$C$34*I117/Subsurface_Inputs!$C$35*1000000</f>
        <v/>
      </c>
      <c r="O117" s="47">
        <f>2*Subsurface_Inputs!$C$34*K117/Subsurface_Inputs!$C$35*1000000</f>
        <v/>
      </c>
      <c r="P117" s="47">
        <f>Subsurface_Inputs!$C$37-2*Subsurface_Inputs!$C$36*(F117/1000)</f>
        <v/>
      </c>
      <c r="Q117" s="47">
        <f>Subsurface_Inputs!$C$38+Subsurface_Inputs!$C$39*H117-2*Subsurface_Inputs!$C$36*(I117/1000)</f>
        <v/>
      </c>
      <c r="R117" s="47">
        <f>Subsurface_Inputs!$C$40-2*Subsurface_Inputs!$C$36*(K117/1000)-Subsurface_Inputs!$C$41*ABS(L117-AVERAGE($L$2:$L$242))</f>
        <v/>
      </c>
      <c r="S117" s="47">
        <f>K117-AVERAGE($K$2:$K$242)</f>
        <v/>
      </c>
      <c r="T117" s="47">
        <f>K117/F117</f>
        <v/>
      </c>
      <c r="U117" s="50">
        <f>IF(H117&gt;=Subsurface_Inputs!$C$42,"Lens visible","Weak/no lens")</f>
        <v/>
      </c>
      <c r="V117" s="50">
        <f>IF(R117&gt;=W117,"Likely visible","Weak")</f>
        <v/>
      </c>
      <c r="W117" s="47">
        <f>Subsurface_Inputs!$C$43</f>
        <v/>
      </c>
      <c r="X117" s="47">
        <f>Q117-W117</f>
        <v/>
      </c>
      <c r="Y117" s="47">
        <f>R117-W117</f>
        <v/>
      </c>
      <c r="Z117" s="47">
        <f>MAX(Q117,R117)-W117</f>
        <v/>
      </c>
      <c r="AA117" s="47" t="n">
        <v>0</v>
      </c>
    </row>
    <row r="118">
      <c r="A118" s="47">
        <f>Model_Data!A118</f>
        <v/>
      </c>
      <c r="B118" s="47">
        <f>Model_Data!Y118</f>
        <v/>
      </c>
      <c r="C118" s="47">
        <f>Model_Data!X118</f>
        <v/>
      </c>
      <c r="D118" s="47">
        <f>Model_Data!B118</f>
        <v/>
      </c>
      <c r="E118" s="47">
        <f>Inputs!$C$6</f>
        <v/>
      </c>
      <c r="F118" s="47">
        <f>Subsurface_Inputs!$C$5+Subsurface_Inputs!$C$6*SIN(2*PI()*(A118+Subsurface_Inputs!$C$7)/Subsurface_Inputs!$C$8)+Subsurface_Inputs!$C$9*COS(2*PI()*A118/Subsurface_Inputs!$C$10)+Subsurface_Inputs!$C$11*(B118-AVERAGE($B$2:$B$242))</f>
        <v/>
      </c>
      <c r="G118" s="47">
        <f>B118-F118</f>
        <v/>
      </c>
      <c r="H118" s="47">
        <f>MIN(1,MAX(0,Subsurface_Inputs!$C$13*EXP(-0.5*((A118-Subsurface_Inputs!$C$14)/Subsurface_Inputs!$C$15)^2)+Subsurface_Inputs!$C$16*EXP(-0.5*((A118-Subsurface_Inputs!$C$17)/Subsurface_Inputs!$C$18)^2)))</f>
        <v/>
      </c>
      <c r="I118" s="47">
        <f>Subsurface_Inputs!$C$19+Subsurface_Inputs!$C$20*SIN(2*PI()*(A118-Subsurface_Inputs!$C$21)/Subsurface_Inputs!$C$22)-Subsurface_Inputs!$C$23*H118</f>
        <v/>
      </c>
      <c r="J118" s="47">
        <f>B118-I118</f>
        <v/>
      </c>
      <c r="K118" s="47">
        <f>Subsurface_Inputs!$C$25+Subsurface_Inputs!$C$26*SIN(2*PI()*(A118+Subsurface_Inputs!$C$27)/Subsurface_Inputs!$C$28)+Subsurface_Inputs!$C$29*COS(2*PI()*(A118-Subsurface_Inputs!$C$30)/Subsurface_Inputs!$C$31)-Subsurface_Inputs!$C$32*(B118-AVERAGE($B$2:$B$242))</f>
        <v/>
      </c>
      <c r="L118" s="47">
        <f>B118-K118</f>
        <v/>
      </c>
      <c r="M118" s="47">
        <f>2*Subsurface_Inputs!$C$34*F118/Subsurface_Inputs!$C$35*1000000</f>
        <v/>
      </c>
      <c r="N118" s="47">
        <f>2*Subsurface_Inputs!$C$34*I118/Subsurface_Inputs!$C$35*1000000</f>
        <v/>
      </c>
      <c r="O118" s="47">
        <f>2*Subsurface_Inputs!$C$34*K118/Subsurface_Inputs!$C$35*1000000</f>
        <v/>
      </c>
      <c r="P118" s="47">
        <f>Subsurface_Inputs!$C$37-2*Subsurface_Inputs!$C$36*(F118/1000)</f>
        <v/>
      </c>
      <c r="Q118" s="47">
        <f>Subsurface_Inputs!$C$38+Subsurface_Inputs!$C$39*H118-2*Subsurface_Inputs!$C$36*(I118/1000)</f>
        <v/>
      </c>
      <c r="R118" s="47">
        <f>Subsurface_Inputs!$C$40-2*Subsurface_Inputs!$C$36*(K118/1000)-Subsurface_Inputs!$C$41*ABS(L118-AVERAGE($L$2:$L$242))</f>
        <v/>
      </c>
      <c r="S118" s="47">
        <f>K118-AVERAGE($K$2:$K$242)</f>
        <v/>
      </c>
      <c r="T118" s="47">
        <f>K118/F118</f>
        <v/>
      </c>
      <c r="U118" s="50">
        <f>IF(H118&gt;=Subsurface_Inputs!$C$42,"Lens visible","Weak/no lens")</f>
        <v/>
      </c>
      <c r="V118" s="50">
        <f>IF(R118&gt;=W118,"Likely visible","Weak")</f>
        <v/>
      </c>
      <c r="W118" s="47">
        <f>Subsurface_Inputs!$C$43</f>
        <v/>
      </c>
      <c r="X118" s="47">
        <f>Q118-W118</f>
        <v/>
      </c>
      <c r="Y118" s="47">
        <f>R118-W118</f>
        <v/>
      </c>
      <c r="Z118" s="47">
        <f>MAX(Q118,R118)-W118</f>
        <v/>
      </c>
      <c r="AA118" s="47" t="n">
        <v>0</v>
      </c>
    </row>
    <row r="119">
      <c r="A119" s="47">
        <f>Model_Data!A119</f>
        <v/>
      </c>
      <c r="B119" s="47">
        <f>Model_Data!Y119</f>
        <v/>
      </c>
      <c r="C119" s="47">
        <f>Model_Data!X119</f>
        <v/>
      </c>
      <c r="D119" s="47">
        <f>Model_Data!B119</f>
        <v/>
      </c>
      <c r="E119" s="47">
        <f>Inputs!$C$6</f>
        <v/>
      </c>
      <c r="F119" s="47">
        <f>Subsurface_Inputs!$C$5+Subsurface_Inputs!$C$6*SIN(2*PI()*(A119+Subsurface_Inputs!$C$7)/Subsurface_Inputs!$C$8)+Subsurface_Inputs!$C$9*COS(2*PI()*A119/Subsurface_Inputs!$C$10)+Subsurface_Inputs!$C$11*(B119-AVERAGE($B$2:$B$242))</f>
        <v/>
      </c>
      <c r="G119" s="47">
        <f>B119-F119</f>
        <v/>
      </c>
      <c r="H119" s="47">
        <f>MIN(1,MAX(0,Subsurface_Inputs!$C$13*EXP(-0.5*((A119-Subsurface_Inputs!$C$14)/Subsurface_Inputs!$C$15)^2)+Subsurface_Inputs!$C$16*EXP(-0.5*((A119-Subsurface_Inputs!$C$17)/Subsurface_Inputs!$C$18)^2)))</f>
        <v/>
      </c>
      <c r="I119" s="47">
        <f>Subsurface_Inputs!$C$19+Subsurface_Inputs!$C$20*SIN(2*PI()*(A119-Subsurface_Inputs!$C$21)/Subsurface_Inputs!$C$22)-Subsurface_Inputs!$C$23*H119</f>
        <v/>
      </c>
      <c r="J119" s="47">
        <f>B119-I119</f>
        <v/>
      </c>
      <c r="K119" s="47">
        <f>Subsurface_Inputs!$C$25+Subsurface_Inputs!$C$26*SIN(2*PI()*(A119+Subsurface_Inputs!$C$27)/Subsurface_Inputs!$C$28)+Subsurface_Inputs!$C$29*COS(2*PI()*(A119-Subsurface_Inputs!$C$30)/Subsurface_Inputs!$C$31)-Subsurface_Inputs!$C$32*(B119-AVERAGE($B$2:$B$242))</f>
        <v/>
      </c>
      <c r="L119" s="47">
        <f>B119-K119</f>
        <v/>
      </c>
      <c r="M119" s="47">
        <f>2*Subsurface_Inputs!$C$34*F119/Subsurface_Inputs!$C$35*1000000</f>
        <v/>
      </c>
      <c r="N119" s="47">
        <f>2*Subsurface_Inputs!$C$34*I119/Subsurface_Inputs!$C$35*1000000</f>
        <v/>
      </c>
      <c r="O119" s="47">
        <f>2*Subsurface_Inputs!$C$34*K119/Subsurface_Inputs!$C$35*1000000</f>
        <v/>
      </c>
      <c r="P119" s="47">
        <f>Subsurface_Inputs!$C$37-2*Subsurface_Inputs!$C$36*(F119/1000)</f>
        <v/>
      </c>
      <c r="Q119" s="47">
        <f>Subsurface_Inputs!$C$38+Subsurface_Inputs!$C$39*H119-2*Subsurface_Inputs!$C$36*(I119/1000)</f>
        <v/>
      </c>
      <c r="R119" s="47">
        <f>Subsurface_Inputs!$C$40-2*Subsurface_Inputs!$C$36*(K119/1000)-Subsurface_Inputs!$C$41*ABS(L119-AVERAGE($L$2:$L$242))</f>
        <v/>
      </c>
      <c r="S119" s="47">
        <f>K119-AVERAGE($K$2:$K$242)</f>
        <v/>
      </c>
      <c r="T119" s="47">
        <f>K119/F119</f>
        <v/>
      </c>
      <c r="U119" s="50">
        <f>IF(H119&gt;=Subsurface_Inputs!$C$42,"Lens visible","Weak/no lens")</f>
        <v/>
      </c>
      <c r="V119" s="50">
        <f>IF(R119&gt;=W119,"Likely visible","Weak")</f>
        <v/>
      </c>
      <c r="W119" s="47">
        <f>Subsurface_Inputs!$C$43</f>
        <v/>
      </c>
      <c r="X119" s="47">
        <f>Q119-W119</f>
        <v/>
      </c>
      <c r="Y119" s="47">
        <f>R119-W119</f>
        <v/>
      </c>
      <c r="Z119" s="47">
        <f>MAX(Q119,R119)-W119</f>
        <v/>
      </c>
      <c r="AA119" s="47" t="n">
        <v>0</v>
      </c>
    </row>
    <row r="120">
      <c r="A120" s="47">
        <f>Model_Data!A120</f>
        <v/>
      </c>
      <c r="B120" s="47">
        <f>Model_Data!Y120</f>
        <v/>
      </c>
      <c r="C120" s="47">
        <f>Model_Data!X120</f>
        <v/>
      </c>
      <c r="D120" s="47">
        <f>Model_Data!B120</f>
        <v/>
      </c>
      <c r="E120" s="47">
        <f>Inputs!$C$6</f>
        <v/>
      </c>
      <c r="F120" s="47">
        <f>Subsurface_Inputs!$C$5+Subsurface_Inputs!$C$6*SIN(2*PI()*(A120+Subsurface_Inputs!$C$7)/Subsurface_Inputs!$C$8)+Subsurface_Inputs!$C$9*COS(2*PI()*A120/Subsurface_Inputs!$C$10)+Subsurface_Inputs!$C$11*(B120-AVERAGE($B$2:$B$242))</f>
        <v/>
      </c>
      <c r="G120" s="47">
        <f>B120-F120</f>
        <v/>
      </c>
      <c r="H120" s="47">
        <f>MIN(1,MAX(0,Subsurface_Inputs!$C$13*EXP(-0.5*((A120-Subsurface_Inputs!$C$14)/Subsurface_Inputs!$C$15)^2)+Subsurface_Inputs!$C$16*EXP(-0.5*((A120-Subsurface_Inputs!$C$17)/Subsurface_Inputs!$C$18)^2)))</f>
        <v/>
      </c>
      <c r="I120" s="47">
        <f>Subsurface_Inputs!$C$19+Subsurface_Inputs!$C$20*SIN(2*PI()*(A120-Subsurface_Inputs!$C$21)/Subsurface_Inputs!$C$22)-Subsurface_Inputs!$C$23*H120</f>
        <v/>
      </c>
      <c r="J120" s="47">
        <f>B120-I120</f>
        <v/>
      </c>
      <c r="K120" s="47">
        <f>Subsurface_Inputs!$C$25+Subsurface_Inputs!$C$26*SIN(2*PI()*(A120+Subsurface_Inputs!$C$27)/Subsurface_Inputs!$C$28)+Subsurface_Inputs!$C$29*COS(2*PI()*(A120-Subsurface_Inputs!$C$30)/Subsurface_Inputs!$C$31)-Subsurface_Inputs!$C$32*(B120-AVERAGE($B$2:$B$242))</f>
        <v/>
      </c>
      <c r="L120" s="47">
        <f>B120-K120</f>
        <v/>
      </c>
      <c r="M120" s="47">
        <f>2*Subsurface_Inputs!$C$34*F120/Subsurface_Inputs!$C$35*1000000</f>
        <v/>
      </c>
      <c r="N120" s="47">
        <f>2*Subsurface_Inputs!$C$34*I120/Subsurface_Inputs!$C$35*1000000</f>
        <v/>
      </c>
      <c r="O120" s="47">
        <f>2*Subsurface_Inputs!$C$34*K120/Subsurface_Inputs!$C$35*1000000</f>
        <v/>
      </c>
      <c r="P120" s="47">
        <f>Subsurface_Inputs!$C$37-2*Subsurface_Inputs!$C$36*(F120/1000)</f>
        <v/>
      </c>
      <c r="Q120" s="47">
        <f>Subsurface_Inputs!$C$38+Subsurface_Inputs!$C$39*H120-2*Subsurface_Inputs!$C$36*(I120/1000)</f>
        <v/>
      </c>
      <c r="R120" s="47">
        <f>Subsurface_Inputs!$C$40-2*Subsurface_Inputs!$C$36*(K120/1000)-Subsurface_Inputs!$C$41*ABS(L120-AVERAGE($L$2:$L$242))</f>
        <v/>
      </c>
      <c r="S120" s="47">
        <f>K120-AVERAGE($K$2:$K$242)</f>
        <v/>
      </c>
      <c r="T120" s="47">
        <f>K120/F120</f>
        <v/>
      </c>
      <c r="U120" s="50">
        <f>IF(H120&gt;=Subsurface_Inputs!$C$42,"Lens visible","Weak/no lens")</f>
        <v/>
      </c>
      <c r="V120" s="50">
        <f>IF(R120&gt;=W120,"Likely visible","Weak")</f>
        <v/>
      </c>
      <c r="W120" s="47">
        <f>Subsurface_Inputs!$C$43</f>
        <v/>
      </c>
      <c r="X120" s="47">
        <f>Q120-W120</f>
        <v/>
      </c>
      <c r="Y120" s="47">
        <f>R120-W120</f>
        <v/>
      </c>
      <c r="Z120" s="47">
        <f>MAX(Q120,R120)-W120</f>
        <v/>
      </c>
      <c r="AA120" s="47" t="n">
        <v>0</v>
      </c>
    </row>
    <row r="121">
      <c r="A121" s="47">
        <f>Model_Data!A121</f>
        <v/>
      </c>
      <c r="B121" s="47">
        <f>Model_Data!Y121</f>
        <v/>
      </c>
      <c r="C121" s="47">
        <f>Model_Data!X121</f>
        <v/>
      </c>
      <c r="D121" s="47">
        <f>Model_Data!B121</f>
        <v/>
      </c>
      <c r="E121" s="47">
        <f>Inputs!$C$6</f>
        <v/>
      </c>
      <c r="F121" s="47">
        <f>Subsurface_Inputs!$C$5+Subsurface_Inputs!$C$6*SIN(2*PI()*(A121+Subsurface_Inputs!$C$7)/Subsurface_Inputs!$C$8)+Subsurface_Inputs!$C$9*COS(2*PI()*A121/Subsurface_Inputs!$C$10)+Subsurface_Inputs!$C$11*(B121-AVERAGE($B$2:$B$242))</f>
        <v/>
      </c>
      <c r="G121" s="47">
        <f>B121-F121</f>
        <v/>
      </c>
      <c r="H121" s="47">
        <f>MIN(1,MAX(0,Subsurface_Inputs!$C$13*EXP(-0.5*((A121-Subsurface_Inputs!$C$14)/Subsurface_Inputs!$C$15)^2)+Subsurface_Inputs!$C$16*EXP(-0.5*((A121-Subsurface_Inputs!$C$17)/Subsurface_Inputs!$C$18)^2)))</f>
        <v/>
      </c>
      <c r="I121" s="47">
        <f>Subsurface_Inputs!$C$19+Subsurface_Inputs!$C$20*SIN(2*PI()*(A121-Subsurface_Inputs!$C$21)/Subsurface_Inputs!$C$22)-Subsurface_Inputs!$C$23*H121</f>
        <v/>
      </c>
      <c r="J121" s="47">
        <f>B121-I121</f>
        <v/>
      </c>
      <c r="K121" s="47">
        <f>Subsurface_Inputs!$C$25+Subsurface_Inputs!$C$26*SIN(2*PI()*(A121+Subsurface_Inputs!$C$27)/Subsurface_Inputs!$C$28)+Subsurface_Inputs!$C$29*COS(2*PI()*(A121-Subsurface_Inputs!$C$30)/Subsurface_Inputs!$C$31)-Subsurface_Inputs!$C$32*(B121-AVERAGE($B$2:$B$242))</f>
        <v/>
      </c>
      <c r="L121" s="47">
        <f>B121-K121</f>
        <v/>
      </c>
      <c r="M121" s="47">
        <f>2*Subsurface_Inputs!$C$34*F121/Subsurface_Inputs!$C$35*1000000</f>
        <v/>
      </c>
      <c r="N121" s="47">
        <f>2*Subsurface_Inputs!$C$34*I121/Subsurface_Inputs!$C$35*1000000</f>
        <v/>
      </c>
      <c r="O121" s="47">
        <f>2*Subsurface_Inputs!$C$34*K121/Subsurface_Inputs!$C$35*1000000</f>
        <v/>
      </c>
      <c r="P121" s="47">
        <f>Subsurface_Inputs!$C$37-2*Subsurface_Inputs!$C$36*(F121/1000)</f>
        <v/>
      </c>
      <c r="Q121" s="47">
        <f>Subsurface_Inputs!$C$38+Subsurface_Inputs!$C$39*H121-2*Subsurface_Inputs!$C$36*(I121/1000)</f>
        <v/>
      </c>
      <c r="R121" s="47">
        <f>Subsurface_Inputs!$C$40-2*Subsurface_Inputs!$C$36*(K121/1000)-Subsurface_Inputs!$C$41*ABS(L121-AVERAGE($L$2:$L$242))</f>
        <v/>
      </c>
      <c r="S121" s="47">
        <f>K121-AVERAGE($K$2:$K$242)</f>
        <v/>
      </c>
      <c r="T121" s="47">
        <f>K121/F121</f>
        <v/>
      </c>
      <c r="U121" s="50">
        <f>IF(H121&gt;=Subsurface_Inputs!$C$42,"Lens visible","Weak/no lens")</f>
        <v/>
      </c>
      <c r="V121" s="50">
        <f>IF(R121&gt;=W121,"Likely visible","Weak")</f>
        <v/>
      </c>
      <c r="W121" s="47">
        <f>Subsurface_Inputs!$C$43</f>
        <v/>
      </c>
      <c r="X121" s="47">
        <f>Q121-W121</f>
        <v/>
      </c>
      <c r="Y121" s="47">
        <f>R121-W121</f>
        <v/>
      </c>
      <c r="Z121" s="47">
        <f>MAX(Q121,R121)-W121</f>
        <v/>
      </c>
      <c r="AA121" s="47" t="n">
        <v>0</v>
      </c>
    </row>
    <row r="122">
      <c r="A122" s="47">
        <f>Model_Data!A122</f>
        <v/>
      </c>
      <c r="B122" s="47">
        <f>Model_Data!Y122</f>
        <v/>
      </c>
      <c r="C122" s="47">
        <f>Model_Data!X122</f>
        <v/>
      </c>
      <c r="D122" s="47">
        <f>Model_Data!B122</f>
        <v/>
      </c>
      <c r="E122" s="47">
        <f>Inputs!$C$6</f>
        <v/>
      </c>
      <c r="F122" s="47">
        <f>Subsurface_Inputs!$C$5+Subsurface_Inputs!$C$6*SIN(2*PI()*(A122+Subsurface_Inputs!$C$7)/Subsurface_Inputs!$C$8)+Subsurface_Inputs!$C$9*COS(2*PI()*A122/Subsurface_Inputs!$C$10)+Subsurface_Inputs!$C$11*(B122-AVERAGE($B$2:$B$242))</f>
        <v/>
      </c>
      <c r="G122" s="47">
        <f>B122-F122</f>
        <v/>
      </c>
      <c r="H122" s="47">
        <f>MIN(1,MAX(0,Subsurface_Inputs!$C$13*EXP(-0.5*((A122-Subsurface_Inputs!$C$14)/Subsurface_Inputs!$C$15)^2)+Subsurface_Inputs!$C$16*EXP(-0.5*((A122-Subsurface_Inputs!$C$17)/Subsurface_Inputs!$C$18)^2)))</f>
        <v/>
      </c>
      <c r="I122" s="47">
        <f>Subsurface_Inputs!$C$19+Subsurface_Inputs!$C$20*SIN(2*PI()*(A122-Subsurface_Inputs!$C$21)/Subsurface_Inputs!$C$22)-Subsurface_Inputs!$C$23*H122</f>
        <v/>
      </c>
      <c r="J122" s="47">
        <f>B122-I122</f>
        <v/>
      </c>
      <c r="K122" s="47">
        <f>Subsurface_Inputs!$C$25+Subsurface_Inputs!$C$26*SIN(2*PI()*(A122+Subsurface_Inputs!$C$27)/Subsurface_Inputs!$C$28)+Subsurface_Inputs!$C$29*COS(2*PI()*(A122-Subsurface_Inputs!$C$30)/Subsurface_Inputs!$C$31)-Subsurface_Inputs!$C$32*(B122-AVERAGE($B$2:$B$242))</f>
        <v/>
      </c>
      <c r="L122" s="47">
        <f>B122-K122</f>
        <v/>
      </c>
      <c r="M122" s="47">
        <f>2*Subsurface_Inputs!$C$34*F122/Subsurface_Inputs!$C$35*1000000</f>
        <v/>
      </c>
      <c r="N122" s="47">
        <f>2*Subsurface_Inputs!$C$34*I122/Subsurface_Inputs!$C$35*1000000</f>
        <v/>
      </c>
      <c r="O122" s="47">
        <f>2*Subsurface_Inputs!$C$34*K122/Subsurface_Inputs!$C$35*1000000</f>
        <v/>
      </c>
      <c r="P122" s="47">
        <f>Subsurface_Inputs!$C$37-2*Subsurface_Inputs!$C$36*(F122/1000)</f>
        <v/>
      </c>
      <c r="Q122" s="47">
        <f>Subsurface_Inputs!$C$38+Subsurface_Inputs!$C$39*H122-2*Subsurface_Inputs!$C$36*(I122/1000)</f>
        <v/>
      </c>
      <c r="R122" s="47">
        <f>Subsurface_Inputs!$C$40-2*Subsurface_Inputs!$C$36*(K122/1000)-Subsurface_Inputs!$C$41*ABS(L122-AVERAGE($L$2:$L$242))</f>
        <v/>
      </c>
      <c r="S122" s="47">
        <f>K122-AVERAGE($K$2:$K$242)</f>
        <v/>
      </c>
      <c r="T122" s="47">
        <f>K122/F122</f>
        <v/>
      </c>
      <c r="U122" s="50">
        <f>IF(H122&gt;=Subsurface_Inputs!$C$42,"Lens visible","Weak/no lens")</f>
        <v/>
      </c>
      <c r="V122" s="50">
        <f>IF(R122&gt;=W122,"Likely visible","Weak")</f>
        <v/>
      </c>
      <c r="W122" s="47">
        <f>Subsurface_Inputs!$C$43</f>
        <v/>
      </c>
      <c r="X122" s="47">
        <f>Q122-W122</f>
        <v/>
      </c>
      <c r="Y122" s="47">
        <f>R122-W122</f>
        <v/>
      </c>
      <c r="Z122" s="47">
        <f>MAX(Q122,R122)-W122</f>
        <v/>
      </c>
      <c r="AA122" s="47" t="n">
        <v>0</v>
      </c>
    </row>
    <row r="123">
      <c r="A123" s="47">
        <f>Model_Data!A123</f>
        <v/>
      </c>
      <c r="B123" s="47">
        <f>Model_Data!Y123</f>
        <v/>
      </c>
      <c r="C123" s="47">
        <f>Model_Data!X123</f>
        <v/>
      </c>
      <c r="D123" s="47">
        <f>Model_Data!B123</f>
        <v/>
      </c>
      <c r="E123" s="47">
        <f>Inputs!$C$6</f>
        <v/>
      </c>
      <c r="F123" s="47">
        <f>Subsurface_Inputs!$C$5+Subsurface_Inputs!$C$6*SIN(2*PI()*(A123+Subsurface_Inputs!$C$7)/Subsurface_Inputs!$C$8)+Subsurface_Inputs!$C$9*COS(2*PI()*A123/Subsurface_Inputs!$C$10)+Subsurface_Inputs!$C$11*(B123-AVERAGE($B$2:$B$242))</f>
        <v/>
      </c>
      <c r="G123" s="47">
        <f>B123-F123</f>
        <v/>
      </c>
      <c r="H123" s="47">
        <f>MIN(1,MAX(0,Subsurface_Inputs!$C$13*EXP(-0.5*((A123-Subsurface_Inputs!$C$14)/Subsurface_Inputs!$C$15)^2)+Subsurface_Inputs!$C$16*EXP(-0.5*((A123-Subsurface_Inputs!$C$17)/Subsurface_Inputs!$C$18)^2)))</f>
        <v/>
      </c>
      <c r="I123" s="47">
        <f>Subsurface_Inputs!$C$19+Subsurface_Inputs!$C$20*SIN(2*PI()*(A123-Subsurface_Inputs!$C$21)/Subsurface_Inputs!$C$22)-Subsurface_Inputs!$C$23*H123</f>
        <v/>
      </c>
      <c r="J123" s="47">
        <f>B123-I123</f>
        <v/>
      </c>
      <c r="K123" s="47">
        <f>Subsurface_Inputs!$C$25+Subsurface_Inputs!$C$26*SIN(2*PI()*(A123+Subsurface_Inputs!$C$27)/Subsurface_Inputs!$C$28)+Subsurface_Inputs!$C$29*COS(2*PI()*(A123-Subsurface_Inputs!$C$30)/Subsurface_Inputs!$C$31)-Subsurface_Inputs!$C$32*(B123-AVERAGE($B$2:$B$242))</f>
        <v/>
      </c>
      <c r="L123" s="47">
        <f>B123-K123</f>
        <v/>
      </c>
      <c r="M123" s="47">
        <f>2*Subsurface_Inputs!$C$34*F123/Subsurface_Inputs!$C$35*1000000</f>
        <v/>
      </c>
      <c r="N123" s="47">
        <f>2*Subsurface_Inputs!$C$34*I123/Subsurface_Inputs!$C$35*1000000</f>
        <v/>
      </c>
      <c r="O123" s="47">
        <f>2*Subsurface_Inputs!$C$34*K123/Subsurface_Inputs!$C$35*1000000</f>
        <v/>
      </c>
      <c r="P123" s="47">
        <f>Subsurface_Inputs!$C$37-2*Subsurface_Inputs!$C$36*(F123/1000)</f>
        <v/>
      </c>
      <c r="Q123" s="47">
        <f>Subsurface_Inputs!$C$38+Subsurface_Inputs!$C$39*H123-2*Subsurface_Inputs!$C$36*(I123/1000)</f>
        <v/>
      </c>
      <c r="R123" s="47">
        <f>Subsurface_Inputs!$C$40-2*Subsurface_Inputs!$C$36*(K123/1000)-Subsurface_Inputs!$C$41*ABS(L123-AVERAGE($L$2:$L$242))</f>
        <v/>
      </c>
      <c r="S123" s="47">
        <f>K123-AVERAGE($K$2:$K$242)</f>
        <v/>
      </c>
      <c r="T123" s="47">
        <f>K123/F123</f>
        <v/>
      </c>
      <c r="U123" s="50">
        <f>IF(H123&gt;=Subsurface_Inputs!$C$42,"Lens visible","Weak/no lens")</f>
        <v/>
      </c>
      <c r="V123" s="50">
        <f>IF(R123&gt;=W123,"Likely visible","Weak")</f>
        <v/>
      </c>
      <c r="W123" s="47">
        <f>Subsurface_Inputs!$C$43</f>
        <v/>
      </c>
      <c r="X123" s="47">
        <f>Q123-W123</f>
        <v/>
      </c>
      <c r="Y123" s="47">
        <f>R123-W123</f>
        <v/>
      </c>
      <c r="Z123" s="47">
        <f>MAX(Q123,R123)-W123</f>
        <v/>
      </c>
      <c r="AA123" s="47" t="n">
        <v>0</v>
      </c>
    </row>
    <row r="124">
      <c r="A124" s="47">
        <f>Model_Data!A124</f>
        <v/>
      </c>
      <c r="B124" s="47">
        <f>Model_Data!Y124</f>
        <v/>
      </c>
      <c r="C124" s="47">
        <f>Model_Data!X124</f>
        <v/>
      </c>
      <c r="D124" s="47">
        <f>Model_Data!B124</f>
        <v/>
      </c>
      <c r="E124" s="47">
        <f>Inputs!$C$6</f>
        <v/>
      </c>
      <c r="F124" s="47">
        <f>Subsurface_Inputs!$C$5+Subsurface_Inputs!$C$6*SIN(2*PI()*(A124+Subsurface_Inputs!$C$7)/Subsurface_Inputs!$C$8)+Subsurface_Inputs!$C$9*COS(2*PI()*A124/Subsurface_Inputs!$C$10)+Subsurface_Inputs!$C$11*(B124-AVERAGE($B$2:$B$242))</f>
        <v/>
      </c>
      <c r="G124" s="47">
        <f>B124-F124</f>
        <v/>
      </c>
      <c r="H124" s="47">
        <f>MIN(1,MAX(0,Subsurface_Inputs!$C$13*EXP(-0.5*((A124-Subsurface_Inputs!$C$14)/Subsurface_Inputs!$C$15)^2)+Subsurface_Inputs!$C$16*EXP(-0.5*((A124-Subsurface_Inputs!$C$17)/Subsurface_Inputs!$C$18)^2)))</f>
        <v/>
      </c>
      <c r="I124" s="47">
        <f>Subsurface_Inputs!$C$19+Subsurface_Inputs!$C$20*SIN(2*PI()*(A124-Subsurface_Inputs!$C$21)/Subsurface_Inputs!$C$22)-Subsurface_Inputs!$C$23*H124</f>
        <v/>
      </c>
      <c r="J124" s="47">
        <f>B124-I124</f>
        <v/>
      </c>
      <c r="K124" s="47">
        <f>Subsurface_Inputs!$C$25+Subsurface_Inputs!$C$26*SIN(2*PI()*(A124+Subsurface_Inputs!$C$27)/Subsurface_Inputs!$C$28)+Subsurface_Inputs!$C$29*COS(2*PI()*(A124-Subsurface_Inputs!$C$30)/Subsurface_Inputs!$C$31)-Subsurface_Inputs!$C$32*(B124-AVERAGE($B$2:$B$242))</f>
        <v/>
      </c>
      <c r="L124" s="47">
        <f>B124-K124</f>
        <v/>
      </c>
      <c r="M124" s="47">
        <f>2*Subsurface_Inputs!$C$34*F124/Subsurface_Inputs!$C$35*1000000</f>
        <v/>
      </c>
      <c r="N124" s="47">
        <f>2*Subsurface_Inputs!$C$34*I124/Subsurface_Inputs!$C$35*1000000</f>
        <v/>
      </c>
      <c r="O124" s="47">
        <f>2*Subsurface_Inputs!$C$34*K124/Subsurface_Inputs!$C$35*1000000</f>
        <v/>
      </c>
      <c r="P124" s="47">
        <f>Subsurface_Inputs!$C$37-2*Subsurface_Inputs!$C$36*(F124/1000)</f>
        <v/>
      </c>
      <c r="Q124" s="47">
        <f>Subsurface_Inputs!$C$38+Subsurface_Inputs!$C$39*H124-2*Subsurface_Inputs!$C$36*(I124/1000)</f>
        <v/>
      </c>
      <c r="R124" s="47">
        <f>Subsurface_Inputs!$C$40-2*Subsurface_Inputs!$C$36*(K124/1000)-Subsurface_Inputs!$C$41*ABS(L124-AVERAGE($L$2:$L$242))</f>
        <v/>
      </c>
      <c r="S124" s="47">
        <f>K124-AVERAGE($K$2:$K$242)</f>
        <v/>
      </c>
      <c r="T124" s="47">
        <f>K124/F124</f>
        <v/>
      </c>
      <c r="U124" s="50">
        <f>IF(H124&gt;=Subsurface_Inputs!$C$42,"Lens visible","Weak/no lens")</f>
        <v/>
      </c>
      <c r="V124" s="50">
        <f>IF(R124&gt;=W124,"Likely visible","Weak")</f>
        <v/>
      </c>
      <c r="W124" s="47">
        <f>Subsurface_Inputs!$C$43</f>
        <v/>
      </c>
      <c r="X124" s="47">
        <f>Q124-W124</f>
        <v/>
      </c>
      <c r="Y124" s="47">
        <f>R124-W124</f>
        <v/>
      </c>
      <c r="Z124" s="47">
        <f>MAX(Q124,R124)-W124</f>
        <v/>
      </c>
      <c r="AA124" s="47" t="n">
        <v>0</v>
      </c>
    </row>
    <row r="125">
      <c r="A125" s="47">
        <f>Model_Data!A125</f>
        <v/>
      </c>
      <c r="B125" s="47">
        <f>Model_Data!Y125</f>
        <v/>
      </c>
      <c r="C125" s="47">
        <f>Model_Data!X125</f>
        <v/>
      </c>
      <c r="D125" s="47">
        <f>Model_Data!B125</f>
        <v/>
      </c>
      <c r="E125" s="47">
        <f>Inputs!$C$6</f>
        <v/>
      </c>
      <c r="F125" s="47">
        <f>Subsurface_Inputs!$C$5+Subsurface_Inputs!$C$6*SIN(2*PI()*(A125+Subsurface_Inputs!$C$7)/Subsurface_Inputs!$C$8)+Subsurface_Inputs!$C$9*COS(2*PI()*A125/Subsurface_Inputs!$C$10)+Subsurface_Inputs!$C$11*(B125-AVERAGE($B$2:$B$242))</f>
        <v/>
      </c>
      <c r="G125" s="47">
        <f>B125-F125</f>
        <v/>
      </c>
      <c r="H125" s="47">
        <f>MIN(1,MAX(0,Subsurface_Inputs!$C$13*EXP(-0.5*((A125-Subsurface_Inputs!$C$14)/Subsurface_Inputs!$C$15)^2)+Subsurface_Inputs!$C$16*EXP(-0.5*((A125-Subsurface_Inputs!$C$17)/Subsurface_Inputs!$C$18)^2)))</f>
        <v/>
      </c>
      <c r="I125" s="47">
        <f>Subsurface_Inputs!$C$19+Subsurface_Inputs!$C$20*SIN(2*PI()*(A125-Subsurface_Inputs!$C$21)/Subsurface_Inputs!$C$22)-Subsurface_Inputs!$C$23*H125</f>
        <v/>
      </c>
      <c r="J125" s="47">
        <f>B125-I125</f>
        <v/>
      </c>
      <c r="K125" s="47">
        <f>Subsurface_Inputs!$C$25+Subsurface_Inputs!$C$26*SIN(2*PI()*(A125+Subsurface_Inputs!$C$27)/Subsurface_Inputs!$C$28)+Subsurface_Inputs!$C$29*COS(2*PI()*(A125-Subsurface_Inputs!$C$30)/Subsurface_Inputs!$C$31)-Subsurface_Inputs!$C$32*(B125-AVERAGE($B$2:$B$242))</f>
        <v/>
      </c>
      <c r="L125" s="47">
        <f>B125-K125</f>
        <v/>
      </c>
      <c r="M125" s="47">
        <f>2*Subsurface_Inputs!$C$34*F125/Subsurface_Inputs!$C$35*1000000</f>
        <v/>
      </c>
      <c r="N125" s="47">
        <f>2*Subsurface_Inputs!$C$34*I125/Subsurface_Inputs!$C$35*1000000</f>
        <v/>
      </c>
      <c r="O125" s="47">
        <f>2*Subsurface_Inputs!$C$34*K125/Subsurface_Inputs!$C$35*1000000</f>
        <v/>
      </c>
      <c r="P125" s="47">
        <f>Subsurface_Inputs!$C$37-2*Subsurface_Inputs!$C$36*(F125/1000)</f>
        <v/>
      </c>
      <c r="Q125" s="47">
        <f>Subsurface_Inputs!$C$38+Subsurface_Inputs!$C$39*H125-2*Subsurface_Inputs!$C$36*(I125/1000)</f>
        <v/>
      </c>
      <c r="R125" s="47">
        <f>Subsurface_Inputs!$C$40-2*Subsurface_Inputs!$C$36*(K125/1000)-Subsurface_Inputs!$C$41*ABS(L125-AVERAGE($L$2:$L$242))</f>
        <v/>
      </c>
      <c r="S125" s="47">
        <f>K125-AVERAGE($K$2:$K$242)</f>
        <v/>
      </c>
      <c r="T125" s="47">
        <f>K125/F125</f>
        <v/>
      </c>
      <c r="U125" s="50">
        <f>IF(H125&gt;=Subsurface_Inputs!$C$42,"Lens visible","Weak/no lens")</f>
        <v/>
      </c>
      <c r="V125" s="50">
        <f>IF(R125&gt;=W125,"Likely visible","Weak")</f>
        <v/>
      </c>
      <c r="W125" s="47">
        <f>Subsurface_Inputs!$C$43</f>
        <v/>
      </c>
      <c r="X125" s="47">
        <f>Q125-W125</f>
        <v/>
      </c>
      <c r="Y125" s="47">
        <f>R125-W125</f>
        <v/>
      </c>
      <c r="Z125" s="47">
        <f>MAX(Q125,R125)-W125</f>
        <v/>
      </c>
      <c r="AA125" s="47" t="n">
        <v>0</v>
      </c>
    </row>
    <row r="126">
      <c r="A126" s="47">
        <f>Model_Data!A126</f>
        <v/>
      </c>
      <c r="B126" s="47">
        <f>Model_Data!Y126</f>
        <v/>
      </c>
      <c r="C126" s="47">
        <f>Model_Data!X126</f>
        <v/>
      </c>
      <c r="D126" s="47">
        <f>Model_Data!B126</f>
        <v/>
      </c>
      <c r="E126" s="47">
        <f>Inputs!$C$6</f>
        <v/>
      </c>
      <c r="F126" s="47">
        <f>Subsurface_Inputs!$C$5+Subsurface_Inputs!$C$6*SIN(2*PI()*(A126+Subsurface_Inputs!$C$7)/Subsurface_Inputs!$C$8)+Subsurface_Inputs!$C$9*COS(2*PI()*A126/Subsurface_Inputs!$C$10)+Subsurface_Inputs!$C$11*(B126-AVERAGE($B$2:$B$242))</f>
        <v/>
      </c>
      <c r="G126" s="47">
        <f>B126-F126</f>
        <v/>
      </c>
      <c r="H126" s="47">
        <f>MIN(1,MAX(0,Subsurface_Inputs!$C$13*EXP(-0.5*((A126-Subsurface_Inputs!$C$14)/Subsurface_Inputs!$C$15)^2)+Subsurface_Inputs!$C$16*EXP(-0.5*((A126-Subsurface_Inputs!$C$17)/Subsurface_Inputs!$C$18)^2)))</f>
        <v/>
      </c>
      <c r="I126" s="47">
        <f>Subsurface_Inputs!$C$19+Subsurface_Inputs!$C$20*SIN(2*PI()*(A126-Subsurface_Inputs!$C$21)/Subsurface_Inputs!$C$22)-Subsurface_Inputs!$C$23*H126</f>
        <v/>
      </c>
      <c r="J126" s="47">
        <f>B126-I126</f>
        <v/>
      </c>
      <c r="K126" s="47">
        <f>Subsurface_Inputs!$C$25+Subsurface_Inputs!$C$26*SIN(2*PI()*(A126+Subsurface_Inputs!$C$27)/Subsurface_Inputs!$C$28)+Subsurface_Inputs!$C$29*COS(2*PI()*(A126-Subsurface_Inputs!$C$30)/Subsurface_Inputs!$C$31)-Subsurface_Inputs!$C$32*(B126-AVERAGE($B$2:$B$242))</f>
        <v/>
      </c>
      <c r="L126" s="47">
        <f>B126-K126</f>
        <v/>
      </c>
      <c r="M126" s="47">
        <f>2*Subsurface_Inputs!$C$34*F126/Subsurface_Inputs!$C$35*1000000</f>
        <v/>
      </c>
      <c r="N126" s="47">
        <f>2*Subsurface_Inputs!$C$34*I126/Subsurface_Inputs!$C$35*1000000</f>
        <v/>
      </c>
      <c r="O126" s="47">
        <f>2*Subsurface_Inputs!$C$34*K126/Subsurface_Inputs!$C$35*1000000</f>
        <v/>
      </c>
      <c r="P126" s="47">
        <f>Subsurface_Inputs!$C$37-2*Subsurface_Inputs!$C$36*(F126/1000)</f>
        <v/>
      </c>
      <c r="Q126" s="47">
        <f>Subsurface_Inputs!$C$38+Subsurface_Inputs!$C$39*H126-2*Subsurface_Inputs!$C$36*(I126/1000)</f>
        <v/>
      </c>
      <c r="R126" s="47">
        <f>Subsurface_Inputs!$C$40-2*Subsurface_Inputs!$C$36*(K126/1000)-Subsurface_Inputs!$C$41*ABS(L126-AVERAGE($L$2:$L$242))</f>
        <v/>
      </c>
      <c r="S126" s="47">
        <f>K126-AVERAGE($K$2:$K$242)</f>
        <v/>
      </c>
      <c r="T126" s="47">
        <f>K126/F126</f>
        <v/>
      </c>
      <c r="U126" s="50">
        <f>IF(H126&gt;=Subsurface_Inputs!$C$42,"Lens visible","Weak/no lens")</f>
        <v/>
      </c>
      <c r="V126" s="50">
        <f>IF(R126&gt;=W126,"Likely visible","Weak")</f>
        <v/>
      </c>
      <c r="W126" s="47">
        <f>Subsurface_Inputs!$C$43</f>
        <v/>
      </c>
      <c r="X126" s="47">
        <f>Q126-W126</f>
        <v/>
      </c>
      <c r="Y126" s="47">
        <f>R126-W126</f>
        <v/>
      </c>
      <c r="Z126" s="47">
        <f>MAX(Q126,R126)-W126</f>
        <v/>
      </c>
      <c r="AA126" s="47" t="n">
        <v>0</v>
      </c>
    </row>
    <row r="127">
      <c r="A127" s="47">
        <f>Model_Data!A127</f>
        <v/>
      </c>
      <c r="B127" s="47">
        <f>Model_Data!Y127</f>
        <v/>
      </c>
      <c r="C127" s="47">
        <f>Model_Data!X127</f>
        <v/>
      </c>
      <c r="D127" s="47">
        <f>Model_Data!B127</f>
        <v/>
      </c>
      <c r="E127" s="47">
        <f>Inputs!$C$6</f>
        <v/>
      </c>
      <c r="F127" s="47">
        <f>Subsurface_Inputs!$C$5+Subsurface_Inputs!$C$6*SIN(2*PI()*(A127+Subsurface_Inputs!$C$7)/Subsurface_Inputs!$C$8)+Subsurface_Inputs!$C$9*COS(2*PI()*A127/Subsurface_Inputs!$C$10)+Subsurface_Inputs!$C$11*(B127-AVERAGE($B$2:$B$242))</f>
        <v/>
      </c>
      <c r="G127" s="47">
        <f>B127-F127</f>
        <v/>
      </c>
      <c r="H127" s="47">
        <f>MIN(1,MAX(0,Subsurface_Inputs!$C$13*EXP(-0.5*((A127-Subsurface_Inputs!$C$14)/Subsurface_Inputs!$C$15)^2)+Subsurface_Inputs!$C$16*EXP(-0.5*((A127-Subsurface_Inputs!$C$17)/Subsurface_Inputs!$C$18)^2)))</f>
        <v/>
      </c>
      <c r="I127" s="47">
        <f>Subsurface_Inputs!$C$19+Subsurface_Inputs!$C$20*SIN(2*PI()*(A127-Subsurface_Inputs!$C$21)/Subsurface_Inputs!$C$22)-Subsurface_Inputs!$C$23*H127</f>
        <v/>
      </c>
      <c r="J127" s="47">
        <f>B127-I127</f>
        <v/>
      </c>
      <c r="K127" s="47">
        <f>Subsurface_Inputs!$C$25+Subsurface_Inputs!$C$26*SIN(2*PI()*(A127+Subsurface_Inputs!$C$27)/Subsurface_Inputs!$C$28)+Subsurface_Inputs!$C$29*COS(2*PI()*(A127-Subsurface_Inputs!$C$30)/Subsurface_Inputs!$C$31)-Subsurface_Inputs!$C$32*(B127-AVERAGE($B$2:$B$242))</f>
        <v/>
      </c>
      <c r="L127" s="47">
        <f>B127-K127</f>
        <v/>
      </c>
      <c r="M127" s="47">
        <f>2*Subsurface_Inputs!$C$34*F127/Subsurface_Inputs!$C$35*1000000</f>
        <v/>
      </c>
      <c r="N127" s="47">
        <f>2*Subsurface_Inputs!$C$34*I127/Subsurface_Inputs!$C$35*1000000</f>
        <v/>
      </c>
      <c r="O127" s="47">
        <f>2*Subsurface_Inputs!$C$34*K127/Subsurface_Inputs!$C$35*1000000</f>
        <v/>
      </c>
      <c r="P127" s="47">
        <f>Subsurface_Inputs!$C$37-2*Subsurface_Inputs!$C$36*(F127/1000)</f>
        <v/>
      </c>
      <c r="Q127" s="47">
        <f>Subsurface_Inputs!$C$38+Subsurface_Inputs!$C$39*H127-2*Subsurface_Inputs!$C$36*(I127/1000)</f>
        <v/>
      </c>
      <c r="R127" s="47">
        <f>Subsurface_Inputs!$C$40-2*Subsurface_Inputs!$C$36*(K127/1000)-Subsurface_Inputs!$C$41*ABS(L127-AVERAGE($L$2:$L$242))</f>
        <v/>
      </c>
      <c r="S127" s="47">
        <f>K127-AVERAGE($K$2:$K$242)</f>
        <v/>
      </c>
      <c r="T127" s="47">
        <f>K127/F127</f>
        <v/>
      </c>
      <c r="U127" s="50">
        <f>IF(H127&gt;=Subsurface_Inputs!$C$42,"Lens visible","Weak/no lens")</f>
        <v/>
      </c>
      <c r="V127" s="50">
        <f>IF(R127&gt;=W127,"Likely visible","Weak")</f>
        <v/>
      </c>
      <c r="W127" s="47">
        <f>Subsurface_Inputs!$C$43</f>
        <v/>
      </c>
      <c r="X127" s="47">
        <f>Q127-W127</f>
        <v/>
      </c>
      <c r="Y127" s="47">
        <f>R127-W127</f>
        <v/>
      </c>
      <c r="Z127" s="47">
        <f>MAX(Q127,R127)-W127</f>
        <v/>
      </c>
      <c r="AA127" s="47" t="n">
        <v>0</v>
      </c>
    </row>
    <row r="128">
      <c r="A128" s="47">
        <f>Model_Data!A128</f>
        <v/>
      </c>
      <c r="B128" s="47">
        <f>Model_Data!Y128</f>
        <v/>
      </c>
      <c r="C128" s="47">
        <f>Model_Data!X128</f>
        <v/>
      </c>
      <c r="D128" s="47">
        <f>Model_Data!B128</f>
        <v/>
      </c>
      <c r="E128" s="47">
        <f>Inputs!$C$6</f>
        <v/>
      </c>
      <c r="F128" s="47">
        <f>Subsurface_Inputs!$C$5+Subsurface_Inputs!$C$6*SIN(2*PI()*(A128+Subsurface_Inputs!$C$7)/Subsurface_Inputs!$C$8)+Subsurface_Inputs!$C$9*COS(2*PI()*A128/Subsurface_Inputs!$C$10)+Subsurface_Inputs!$C$11*(B128-AVERAGE($B$2:$B$242))</f>
        <v/>
      </c>
      <c r="G128" s="47">
        <f>B128-F128</f>
        <v/>
      </c>
      <c r="H128" s="47">
        <f>MIN(1,MAX(0,Subsurface_Inputs!$C$13*EXP(-0.5*((A128-Subsurface_Inputs!$C$14)/Subsurface_Inputs!$C$15)^2)+Subsurface_Inputs!$C$16*EXP(-0.5*((A128-Subsurface_Inputs!$C$17)/Subsurface_Inputs!$C$18)^2)))</f>
        <v/>
      </c>
      <c r="I128" s="47">
        <f>Subsurface_Inputs!$C$19+Subsurface_Inputs!$C$20*SIN(2*PI()*(A128-Subsurface_Inputs!$C$21)/Subsurface_Inputs!$C$22)-Subsurface_Inputs!$C$23*H128</f>
        <v/>
      </c>
      <c r="J128" s="47">
        <f>B128-I128</f>
        <v/>
      </c>
      <c r="K128" s="47">
        <f>Subsurface_Inputs!$C$25+Subsurface_Inputs!$C$26*SIN(2*PI()*(A128+Subsurface_Inputs!$C$27)/Subsurface_Inputs!$C$28)+Subsurface_Inputs!$C$29*COS(2*PI()*(A128-Subsurface_Inputs!$C$30)/Subsurface_Inputs!$C$31)-Subsurface_Inputs!$C$32*(B128-AVERAGE($B$2:$B$242))</f>
        <v/>
      </c>
      <c r="L128" s="47">
        <f>B128-K128</f>
        <v/>
      </c>
      <c r="M128" s="47">
        <f>2*Subsurface_Inputs!$C$34*F128/Subsurface_Inputs!$C$35*1000000</f>
        <v/>
      </c>
      <c r="N128" s="47">
        <f>2*Subsurface_Inputs!$C$34*I128/Subsurface_Inputs!$C$35*1000000</f>
        <v/>
      </c>
      <c r="O128" s="47">
        <f>2*Subsurface_Inputs!$C$34*K128/Subsurface_Inputs!$C$35*1000000</f>
        <v/>
      </c>
      <c r="P128" s="47">
        <f>Subsurface_Inputs!$C$37-2*Subsurface_Inputs!$C$36*(F128/1000)</f>
        <v/>
      </c>
      <c r="Q128" s="47">
        <f>Subsurface_Inputs!$C$38+Subsurface_Inputs!$C$39*H128-2*Subsurface_Inputs!$C$36*(I128/1000)</f>
        <v/>
      </c>
      <c r="R128" s="47">
        <f>Subsurface_Inputs!$C$40-2*Subsurface_Inputs!$C$36*(K128/1000)-Subsurface_Inputs!$C$41*ABS(L128-AVERAGE($L$2:$L$242))</f>
        <v/>
      </c>
      <c r="S128" s="47">
        <f>K128-AVERAGE($K$2:$K$242)</f>
        <v/>
      </c>
      <c r="T128" s="47">
        <f>K128/F128</f>
        <v/>
      </c>
      <c r="U128" s="50">
        <f>IF(H128&gt;=Subsurface_Inputs!$C$42,"Lens visible","Weak/no lens")</f>
        <v/>
      </c>
      <c r="V128" s="50">
        <f>IF(R128&gt;=W128,"Likely visible","Weak")</f>
        <v/>
      </c>
      <c r="W128" s="47">
        <f>Subsurface_Inputs!$C$43</f>
        <v/>
      </c>
      <c r="X128" s="47">
        <f>Q128-W128</f>
        <v/>
      </c>
      <c r="Y128" s="47">
        <f>R128-W128</f>
        <v/>
      </c>
      <c r="Z128" s="47">
        <f>MAX(Q128,R128)-W128</f>
        <v/>
      </c>
      <c r="AA128" s="47" t="n">
        <v>0</v>
      </c>
    </row>
    <row r="129">
      <c r="A129" s="47">
        <f>Model_Data!A129</f>
        <v/>
      </c>
      <c r="B129" s="47">
        <f>Model_Data!Y129</f>
        <v/>
      </c>
      <c r="C129" s="47">
        <f>Model_Data!X129</f>
        <v/>
      </c>
      <c r="D129" s="47">
        <f>Model_Data!B129</f>
        <v/>
      </c>
      <c r="E129" s="47">
        <f>Inputs!$C$6</f>
        <v/>
      </c>
      <c r="F129" s="47">
        <f>Subsurface_Inputs!$C$5+Subsurface_Inputs!$C$6*SIN(2*PI()*(A129+Subsurface_Inputs!$C$7)/Subsurface_Inputs!$C$8)+Subsurface_Inputs!$C$9*COS(2*PI()*A129/Subsurface_Inputs!$C$10)+Subsurface_Inputs!$C$11*(B129-AVERAGE($B$2:$B$242))</f>
        <v/>
      </c>
      <c r="G129" s="47">
        <f>B129-F129</f>
        <v/>
      </c>
      <c r="H129" s="47">
        <f>MIN(1,MAX(0,Subsurface_Inputs!$C$13*EXP(-0.5*((A129-Subsurface_Inputs!$C$14)/Subsurface_Inputs!$C$15)^2)+Subsurface_Inputs!$C$16*EXP(-0.5*((A129-Subsurface_Inputs!$C$17)/Subsurface_Inputs!$C$18)^2)))</f>
        <v/>
      </c>
      <c r="I129" s="47">
        <f>Subsurface_Inputs!$C$19+Subsurface_Inputs!$C$20*SIN(2*PI()*(A129-Subsurface_Inputs!$C$21)/Subsurface_Inputs!$C$22)-Subsurface_Inputs!$C$23*H129</f>
        <v/>
      </c>
      <c r="J129" s="47">
        <f>B129-I129</f>
        <v/>
      </c>
      <c r="K129" s="47">
        <f>Subsurface_Inputs!$C$25+Subsurface_Inputs!$C$26*SIN(2*PI()*(A129+Subsurface_Inputs!$C$27)/Subsurface_Inputs!$C$28)+Subsurface_Inputs!$C$29*COS(2*PI()*(A129-Subsurface_Inputs!$C$30)/Subsurface_Inputs!$C$31)-Subsurface_Inputs!$C$32*(B129-AVERAGE($B$2:$B$242))</f>
        <v/>
      </c>
      <c r="L129" s="47">
        <f>B129-K129</f>
        <v/>
      </c>
      <c r="M129" s="47">
        <f>2*Subsurface_Inputs!$C$34*F129/Subsurface_Inputs!$C$35*1000000</f>
        <v/>
      </c>
      <c r="N129" s="47">
        <f>2*Subsurface_Inputs!$C$34*I129/Subsurface_Inputs!$C$35*1000000</f>
        <v/>
      </c>
      <c r="O129" s="47">
        <f>2*Subsurface_Inputs!$C$34*K129/Subsurface_Inputs!$C$35*1000000</f>
        <v/>
      </c>
      <c r="P129" s="47">
        <f>Subsurface_Inputs!$C$37-2*Subsurface_Inputs!$C$36*(F129/1000)</f>
        <v/>
      </c>
      <c r="Q129" s="47">
        <f>Subsurface_Inputs!$C$38+Subsurface_Inputs!$C$39*H129-2*Subsurface_Inputs!$C$36*(I129/1000)</f>
        <v/>
      </c>
      <c r="R129" s="47">
        <f>Subsurface_Inputs!$C$40-2*Subsurface_Inputs!$C$36*(K129/1000)-Subsurface_Inputs!$C$41*ABS(L129-AVERAGE($L$2:$L$242))</f>
        <v/>
      </c>
      <c r="S129" s="47">
        <f>K129-AVERAGE($K$2:$K$242)</f>
        <v/>
      </c>
      <c r="T129" s="47">
        <f>K129/F129</f>
        <v/>
      </c>
      <c r="U129" s="50">
        <f>IF(H129&gt;=Subsurface_Inputs!$C$42,"Lens visible","Weak/no lens")</f>
        <v/>
      </c>
      <c r="V129" s="50">
        <f>IF(R129&gt;=W129,"Likely visible","Weak")</f>
        <v/>
      </c>
      <c r="W129" s="47">
        <f>Subsurface_Inputs!$C$43</f>
        <v/>
      </c>
      <c r="X129" s="47">
        <f>Q129-W129</f>
        <v/>
      </c>
      <c r="Y129" s="47">
        <f>R129-W129</f>
        <v/>
      </c>
      <c r="Z129" s="47">
        <f>MAX(Q129,R129)-W129</f>
        <v/>
      </c>
      <c r="AA129" s="47" t="n">
        <v>0</v>
      </c>
    </row>
    <row r="130">
      <c r="A130" s="47">
        <f>Model_Data!A130</f>
        <v/>
      </c>
      <c r="B130" s="47">
        <f>Model_Data!Y130</f>
        <v/>
      </c>
      <c r="C130" s="47">
        <f>Model_Data!X130</f>
        <v/>
      </c>
      <c r="D130" s="47">
        <f>Model_Data!B130</f>
        <v/>
      </c>
      <c r="E130" s="47">
        <f>Inputs!$C$6</f>
        <v/>
      </c>
      <c r="F130" s="47">
        <f>Subsurface_Inputs!$C$5+Subsurface_Inputs!$C$6*SIN(2*PI()*(A130+Subsurface_Inputs!$C$7)/Subsurface_Inputs!$C$8)+Subsurface_Inputs!$C$9*COS(2*PI()*A130/Subsurface_Inputs!$C$10)+Subsurface_Inputs!$C$11*(B130-AVERAGE($B$2:$B$242))</f>
        <v/>
      </c>
      <c r="G130" s="47">
        <f>B130-F130</f>
        <v/>
      </c>
      <c r="H130" s="47">
        <f>MIN(1,MAX(0,Subsurface_Inputs!$C$13*EXP(-0.5*((A130-Subsurface_Inputs!$C$14)/Subsurface_Inputs!$C$15)^2)+Subsurface_Inputs!$C$16*EXP(-0.5*((A130-Subsurface_Inputs!$C$17)/Subsurface_Inputs!$C$18)^2)))</f>
        <v/>
      </c>
      <c r="I130" s="47">
        <f>Subsurface_Inputs!$C$19+Subsurface_Inputs!$C$20*SIN(2*PI()*(A130-Subsurface_Inputs!$C$21)/Subsurface_Inputs!$C$22)-Subsurface_Inputs!$C$23*H130</f>
        <v/>
      </c>
      <c r="J130" s="47">
        <f>B130-I130</f>
        <v/>
      </c>
      <c r="K130" s="47">
        <f>Subsurface_Inputs!$C$25+Subsurface_Inputs!$C$26*SIN(2*PI()*(A130+Subsurface_Inputs!$C$27)/Subsurface_Inputs!$C$28)+Subsurface_Inputs!$C$29*COS(2*PI()*(A130-Subsurface_Inputs!$C$30)/Subsurface_Inputs!$C$31)-Subsurface_Inputs!$C$32*(B130-AVERAGE($B$2:$B$242))</f>
        <v/>
      </c>
      <c r="L130" s="47">
        <f>B130-K130</f>
        <v/>
      </c>
      <c r="M130" s="47">
        <f>2*Subsurface_Inputs!$C$34*F130/Subsurface_Inputs!$C$35*1000000</f>
        <v/>
      </c>
      <c r="N130" s="47">
        <f>2*Subsurface_Inputs!$C$34*I130/Subsurface_Inputs!$C$35*1000000</f>
        <v/>
      </c>
      <c r="O130" s="47">
        <f>2*Subsurface_Inputs!$C$34*K130/Subsurface_Inputs!$C$35*1000000</f>
        <v/>
      </c>
      <c r="P130" s="47">
        <f>Subsurface_Inputs!$C$37-2*Subsurface_Inputs!$C$36*(F130/1000)</f>
        <v/>
      </c>
      <c r="Q130" s="47">
        <f>Subsurface_Inputs!$C$38+Subsurface_Inputs!$C$39*H130-2*Subsurface_Inputs!$C$36*(I130/1000)</f>
        <v/>
      </c>
      <c r="R130" s="47">
        <f>Subsurface_Inputs!$C$40-2*Subsurface_Inputs!$C$36*(K130/1000)-Subsurface_Inputs!$C$41*ABS(L130-AVERAGE($L$2:$L$242))</f>
        <v/>
      </c>
      <c r="S130" s="47">
        <f>K130-AVERAGE($K$2:$K$242)</f>
        <v/>
      </c>
      <c r="T130" s="47">
        <f>K130/F130</f>
        <v/>
      </c>
      <c r="U130" s="50">
        <f>IF(H130&gt;=Subsurface_Inputs!$C$42,"Lens visible","Weak/no lens")</f>
        <v/>
      </c>
      <c r="V130" s="50">
        <f>IF(R130&gt;=W130,"Likely visible","Weak")</f>
        <v/>
      </c>
      <c r="W130" s="47">
        <f>Subsurface_Inputs!$C$43</f>
        <v/>
      </c>
      <c r="X130" s="47">
        <f>Q130-W130</f>
        <v/>
      </c>
      <c r="Y130" s="47">
        <f>R130-W130</f>
        <v/>
      </c>
      <c r="Z130" s="47">
        <f>MAX(Q130,R130)-W130</f>
        <v/>
      </c>
      <c r="AA130" s="47" t="n">
        <v>0</v>
      </c>
    </row>
    <row r="131">
      <c r="A131" s="47">
        <f>Model_Data!A131</f>
        <v/>
      </c>
      <c r="B131" s="47">
        <f>Model_Data!Y131</f>
        <v/>
      </c>
      <c r="C131" s="47">
        <f>Model_Data!X131</f>
        <v/>
      </c>
      <c r="D131" s="47">
        <f>Model_Data!B131</f>
        <v/>
      </c>
      <c r="E131" s="47">
        <f>Inputs!$C$6</f>
        <v/>
      </c>
      <c r="F131" s="47">
        <f>Subsurface_Inputs!$C$5+Subsurface_Inputs!$C$6*SIN(2*PI()*(A131+Subsurface_Inputs!$C$7)/Subsurface_Inputs!$C$8)+Subsurface_Inputs!$C$9*COS(2*PI()*A131/Subsurface_Inputs!$C$10)+Subsurface_Inputs!$C$11*(B131-AVERAGE($B$2:$B$242))</f>
        <v/>
      </c>
      <c r="G131" s="47">
        <f>B131-F131</f>
        <v/>
      </c>
      <c r="H131" s="47">
        <f>MIN(1,MAX(0,Subsurface_Inputs!$C$13*EXP(-0.5*((A131-Subsurface_Inputs!$C$14)/Subsurface_Inputs!$C$15)^2)+Subsurface_Inputs!$C$16*EXP(-0.5*((A131-Subsurface_Inputs!$C$17)/Subsurface_Inputs!$C$18)^2)))</f>
        <v/>
      </c>
      <c r="I131" s="47">
        <f>Subsurface_Inputs!$C$19+Subsurface_Inputs!$C$20*SIN(2*PI()*(A131-Subsurface_Inputs!$C$21)/Subsurface_Inputs!$C$22)-Subsurface_Inputs!$C$23*H131</f>
        <v/>
      </c>
      <c r="J131" s="47">
        <f>B131-I131</f>
        <v/>
      </c>
      <c r="K131" s="47">
        <f>Subsurface_Inputs!$C$25+Subsurface_Inputs!$C$26*SIN(2*PI()*(A131+Subsurface_Inputs!$C$27)/Subsurface_Inputs!$C$28)+Subsurface_Inputs!$C$29*COS(2*PI()*(A131-Subsurface_Inputs!$C$30)/Subsurface_Inputs!$C$31)-Subsurface_Inputs!$C$32*(B131-AVERAGE($B$2:$B$242))</f>
        <v/>
      </c>
      <c r="L131" s="47">
        <f>B131-K131</f>
        <v/>
      </c>
      <c r="M131" s="47">
        <f>2*Subsurface_Inputs!$C$34*F131/Subsurface_Inputs!$C$35*1000000</f>
        <v/>
      </c>
      <c r="N131" s="47">
        <f>2*Subsurface_Inputs!$C$34*I131/Subsurface_Inputs!$C$35*1000000</f>
        <v/>
      </c>
      <c r="O131" s="47">
        <f>2*Subsurface_Inputs!$C$34*K131/Subsurface_Inputs!$C$35*1000000</f>
        <v/>
      </c>
      <c r="P131" s="47">
        <f>Subsurface_Inputs!$C$37-2*Subsurface_Inputs!$C$36*(F131/1000)</f>
        <v/>
      </c>
      <c r="Q131" s="47">
        <f>Subsurface_Inputs!$C$38+Subsurface_Inputs!$C$39*H131-2*Subsurface_Inputs!$C$36*(I131/1000)</f>
        <v/>
      </c>
      <c r="R131" s="47">
        <f>Subsurface_Inputs!$C$40-2*Subsurface_Inputs!$C$36*(K131/1000)-Subsurface_Inputs!$C$41*ABS(L131-AVERAGE($L$2:$L$242))</f>
        <v/>
      </c>
      <c r="S131" s="47">
        <f>K131-AVERAGE($K$2:$K$242)</f>
        <v/>
      </c>
      <c r="T131" s="47">
        <f>K131/F131</f>
        <v/>
      </c>
      <c r="U131" s="50">
        <f>IF(H131&gt;=Subsurface_Inputs!$C$42,"Lens visible","Weak/no lens")</f>
        <v/>
      </c>
      <c r="V131" s="50">
        <f>IF(R131&gt;=W131,"Likely visible","Weak")</f>
        <v/>
      </c>
      <c r="W131" s="47">
        <f>Subsurface_Inputs!$C$43</f>
        <v/>
      </c>
      <c r="X131" s="47">
        <f>Q131-W131</f>
        <v/>
      </c>
      <c r="Y131" s="47">
        <f>R131-W131</f>
        <v/>
      </c>
      <c r="Z131" s="47">
        <f>MAX(Q131,R131)-W131</f>
        <v/>
      </c>
      <c r="AA131" s="47" t="n">
        <v>0</v>
      </c>
    </row>
    <row r="132">
      <c r="A132" s="47">
        <f>Model_Data!A132</f>
        <v/>
      </c>
      <c r="B132" s="47">
        <f>Model_Data!Y132</f>
        <v/>
      </c>
      <c r="C132" s="47">
        <f>Model_Data!X132</f>
        <v/>
      </c>
      <c r="D132" s="47">
        <f>Model_Data!B132</f>
        <v/>
      </c>
      <c r="E132" s="47">
        <f>Inputs!$C$6</f>
        <v/>
      </c>
      <c r="F132" s="47">
        <f>Subsurface_Inputs!$C$5+Subsurface_Inputs!$C$6*SIN(2*PI()*(A132+Subsurface_Inputs!$C$7)/Subsurface_Inputs!$C$8)+Subsurface_Inputs!$C$9*COS(2*PI()*A132/Subsurface_Inputs!$C$10)+Subsurface_Inputs!$C$11*(B132-AVERAGE($B$2:$B$242))</f>
        <v/>
      </c>
      <c r="G132" s="47">
        <f>B132-F132</f>
        <v/>
      </c>
      <c r="H132" s="47">
        <f>MIN(1,MAX(0,Subsurface_Inputs!$C$13*EXP(-0.5*((A132-Subsurface_Inputs!$C$14)/Subsurface_Inputs!$C$15)^2)+Subsurface_Inputs!$C$16*EXP(-0.5*((A132-Subsurface_Inputs!$C$17)/Subsurface_Inputs!$C$18)^2)))</f>
        <v/>
      </c>
      <c r="I132" s="47">
        <f>Subsurface_Inputs!$C$19+Subsurface_Inputs!$C$20*SIN(2*PI()*(A132-Subsurface_Inputs!$C$21)/Subsurface_Inputs!$C$22)-Subsurface_Inputs!$C$23*H132</f>
        <v/>
      </c>
      <c r="J132" s="47">
        <f>B132-I132</f>
        <v/>
      </c>
      <c r="K132" s="47">
        <f>Subsurface_Inputs!$C$25+Subsurface_Inputs!$C$26*SIN(2*PI()*(A132+Subsurface_Inputs!$C$27)/Subsurface_Inputs!$C$28)+Subsurface_Inputs!$C$29*COS(2*PI()*(A132-Subsurface_Inputs!$C$30)/Subsurface_Inputs!$C$31)-Subsurface_Inputs!$C$32*(B132-AVERAGE($B$2:$B$242))</f>
        <v/>
      </c>
      <c r="L132" s="47">
        <f>B132-K132</f>
        <v/>
      </c>
      <c r="M132" s="47">
        <f>2*Subsurface_Inputs!$C$34*F132/Subsurface_Inputs!$C$35*1000000</f>
        <v/>
      </c>
      <c r="N132" s="47">
        <f>2*Subsurface_Inputs!$C$34*I132/Subsurface_Inputs!$C$35*1000000</f>
        <v/>
      </c>
      <c r="O132" s="47">
        <f>2*Subsurface_Inputs!$C$34*K132/Subsurface_Inputs!$C$35*1000000</f>
        <v/>
      </c>
      <c r="P132" s="47">
        <f>Subsurface_Inputs!$C$37-2*Subsurface_Inputs!$C$36*(F132/1000)</f>
        <v/>
      </c>
      <c r="Q132" s="47">
        <f>Subsurface_Inputs!$C$38+Subsurface_Inputs!$C$39*H132-2*Subsurface_Inputs!$C$36*(I132/1000)</f>
        <v/>
      </c>
      <c r="R132" s="47">
        <f>Subsurface_Inputs!$C$40-2*Subsurface_Inputs!$C$36*(K132/1000)-Subsurface_Inputs!$C$41*ABS(L132-AVERAGE($L$2:$L$242))</f>
        <v/>
      </c>
      <c r="S132" s="47">
        <f>K132-AVERAGE($K$2:$K$242)</f>
        <v/>
      </c>
      <c r="T132" s="47">
        <f>K132/F132</f>
        <v/>
      </c>
      <c r="U132" s="50">
        <f>IF(H132&gt;=Subsurface_Inputs!$C$42,"Lens visible","Weak/no lens")</f>
        <v/>
      </c>
      <c r="V132" s="50">
        <f>IF(R132&gt;=W132,"Likely visible","Weak")</f>
        <v/>
      </c>
      <c r="W132" s="47">
        <f>Subsurface_Inputs!$C$43</f>
        <v/>
      </c>
      <c r="X132" s="47">
        <f>Q132-W132</f>
        <v/>
      </c>
      <c r="Y132" s="47">
        <f>R132-W132</f>
        <v/>
      </c>
      <c r="Z132" s="47">
        <f>MAX(Q132,R132)-W132</f>
        <v/>
      </c>
      <c r="AA132" s="47" t="n">
        <v>0</v>
      </c>
    </row>
    <row r="133">
      <c r="A133" s="47">
        <f>Model_Data!A133</f>
        <v/>
      </c>
      <c r="B133" s="47">
        <f>Model_Data!Y133</f>
        <v/>
      </c>
      <c r="C133" s="47">
        <f>Model_Data!X133</f>
        <v/>
      </c>
      <c r="D133" s="47">
        <f>Model_Data!B133</f>
        <v/>
      </c>
      <c r="E133" s="47">
        <f>Inputs!$C$6</f>
        <v/>
      </c>
      <c r="F133" s="47">
        <f>Subsurface_Inputs!$C$5+Subsurface_Inputs!$C$6*SIN(2*PI()*(A133+Subsurface_Inputs!$C$7)/Subsurface_Inputs!$C$8)+Subsurface_Inputs!$C$9*COS(2*PI()*A133/Subsurface_Inputs!$C$10)+Subsurface_Inputs!$C$11*(B133-AVERAGE($B$2:$B$242))</f>
        <v/>
      </c>
      <c r="G133" s="47">
        <f>B133-F133</f>
        <v/>
      </c>
      <c r="H133" s="47">
        <f>MIN(1,MAX(0,Subsurface_Inputs!$C$13*EXP(-0.5*((A133-Subsurface_Inputs!$C$14)/Subsurface_Inputs!$C$15)^2)+Subsurface_Inputs!$C$16*EXP(-0.5*((A133-Subsurface_Inputs!$C$17)/Subsurface_Inputs!$C$18)^2)))</f>
        <v/>
      </c>
      <c r="I133" s="47">
        <f>Subsurface_Inputs!$C$19+Subsurface_Inputs!$C$20*SIN(2*PI()*(A133-Subsurface_Inputs!$C$21)/Subsurface_Inputs!$C$22)-Subsurface_Inputs!$C$23*H133</f>
        <v/>
      </c>
      <c r="J133" s="47">
        <f>B133-I133</f>
        <v/>
      </c>
      <c r="K133" s="47">
        <f>Subsurface_Inputs!$C$25+Subsurface_Inputs!$C$26*SIN(2*PI()*(A133+Subsurface_Inputs!$C$27)/Subsurface_Inputs!$C$28)+Subsurface_Inputs!$C$29*COS(2*PI()*(A133-Subsurface_Inputs!$C$30)/Subsurface_Inputs!$C$31)-Subsurface_Inputs!$C$32*(B133-AVERAGE($B$2:$B$242))</f>
        <v/>
      </c>
      <c r="L133" s="47">
        <f>B133-K133</f>
        <v/>
      </c>
      <c r="M133" s="47">
        <f>2*Subsurface_Inputs!$C$34*F133/Subsurface_Inputs!$C$35*1000000</f>
        <v/>
      </c>
      <c r="N133" s="47">
        <f>2*Subsurface_Inputs!$C$34*I133/Subsurface_Inputs!$C$35*1000000</f>
        <v/>
      </c>
      <c r="O133" s="47">
        <f>2*Subsurface_Inputs!$C$34*K133/Subsurface_Inputs!$C$35*1000000</f>
        <v/>
      </c>
      <c r="P133" s="47">
        <f>Subsurface_Inputs!$C$37-2*Subsurface_Inputs!$C$36*(F133/1000)</f>
        <v/>
      </c>
      <c r="Q133" s="47">
        <f>Subsurface_Inputs!$C$38+Subsurface_Inputs!$C$39*H133-2*Subsurface_Inputs!$C$36*(I133/1000)</f>
        <v/>
      </c>
      <c r="R133" s="47">
        <f>Subsurface_Inputs!$C$40-2*Subsurface_Inputs!$C$36*(K133/1000)-Subsurface_Inputs!$C$41*ABS(L133-AVERAGE($L$2:$L$242))</f>
        <v/>
      </c>
      <c r="S133" s="47">
        <f>K133-AVERAGE($K$2:$K$242)</f>
        <v/>
      </c>
      <c r="T133" s="47">
        <f>K133/F133</f>
        <v/>
      </c>
      <c r="U133" s="50">
        <f>IF(H133&gt;=Subsurface_Inputs!$C$42,"Lens visible","Weak/no lens")</f>
        <v/>
      </c>
      <c r="V133" s="50">
        <f>IF(R133&gt;=W133,"Likely visible","Weak")</f>
        <v/>
      </c>
      <c r="W133" s="47">
        <f>Subsurface_Inputs!$C$43</f>
        <v/>
      </c>
      <c r="X133" s="47">
        <f>Q133-W133</f>
        <v/>
      </c>
      <c r="Y133" s="47">
        <f>R133-W133</f>
        <v/>
      </c>
      <c r="Z133" s="47">
        <f>MAX(Q133,R133)-W133</f>
        <v/>
      </c>
      <c r="AA133" s="47" t="n">
        <v>0</v>
      </c>
    </row>
    <row r="134">
      <c r="A134" s="47">
        <f>Model_Data!A134</f>
        <v/>
      </c>
      <c r="B134" s="47">
        <f>Model_Data!Y134</f>
        <v/>
      </c>
      <c r="C134" s="47">
        <f>Model_Data!X134</f>
        <v/>
      </c>
      <c r="D134" s="47">
        <f>Model_Data!B134</f>
        <v/>
      </c>
      <c r="E134" s="47">
        <f>Inputs!$C$6</f>
        <v/>
      </c>
      <c r="F134" s="47">
        <f>Subsurface_Inputs!$C$5+Subsurface_Inputs!$C$6*SIN(2*PI()*(A134+Subsurface_Inputs!$C$7)/Subsurface_Inputs!$C$8)+Subsurface_Inputs!$C$9*COS(2*PI()*A134/Subsurface_Inputs!$C$10)+Subsurface_Inputs!$C$11*(B134-AVERAGE($B$2:$B$242))</f>
        <v/>
      </c>
      <c r="G134" s="47">
        <f>B134-F134</f>
        <v/>
      </c>
      <c r="H134" s="47">
        <f>MIN(1,MAX(0,Subsurface_Inputs!$C$13*EXP(-0.5*((A134-Subsurface_Inputs!$C$14)/Subsurface_Inputs!$C$15)^2)+Subsurface_Inputs!$C$16*EXP(-0.5*((A134-Subsurface_Inputs!$C$17)/Subsurface_Inputs!$C$18)^2)))</f>
        <v/>
      </c>
      <c r="I134" s="47">
        <f>Subsurface_Inputs!$C$19+Subsurface_Inputs!$C$20*SIN(2*PI()*(A134-Subsurface_Inputs!$C$21)/Subsurface_Inputs!$C$22)-Subsurface_Inputs!$C$23*H134</f>
        <v/>
      </c>
      <c r="J134" s="47">
        <f>B134-I134</f>
        <v/>
      </c>
      <c r="K134" s="47">
        <f>Subsurface_Inputs!$C$25+Subsurface_Inputs!$C$26*SIN(2*PI()*(A134+Subsurface_Inputs!$C$27)/Subsurface_Inputs!$C$28)+Subsurface_Inputs!$C$29*COS(2*PI()*(A134-Subsurface_Inputs!$C$30)/Subsurface_Inputs!$C$31)-Subsurface_Inputs!$C$32*(B134-AVERAGE($B$2:$B$242))</f>
        <v/>
      </c>
      <c r="L134" s="47">
        <f>B134-K134</f>
        <v/>
      </c>
      <c r="M134" s="47">
        <f>2*Subsurface_Inputs!$C$34*F134/Subsurface_Inputs!$C$35*1000000</f>
        <v/>
      </c>
      <c r="N134" s="47">
        <f>2*Subsurface_Inputs!$C$34*I134/Subsurface_Inputs!$C$35*1000000</f>
        <v/>
      </c>
      <c r="O134" s="47">
        <f>2*Subsurface_Inputs!$C$34*K134/Subsurface_Inputs!$C$35*1000000</f>
        <v/>
      </c>
      <c r="P134" s="47">
        <f>Subsurface_Inputs!$C$37-2*Subsurface_Inputs!$C$36*(F134/1000)</f>
        <v/>
      </c>
      <c r="Q134" s="47">
        <f>Subsurface_Inputs!$C$38+Subsurface_Inputs!$C$39*H134-2*Subsurface_Inputs!$C$36*(I134/1000)</f>
        <v/>
      </c>
      <c r="R134" s="47">
        <f>Subsurface_Inputs!$C$40-2*Subsurface_Inputs!$C$36*(K134/1000)-Subsurface_Inputs!$C$41*ABS(L134-AVERAGE($L$2:$L$242))</f>
        <v/>
      </c>
      <c r="S134" s="47">
        <f>K134-AVERAGE($K$2:$K$242)</f>
        <v/>
      </c>
      <c r="T134" s="47">
        <f>K134/F134</f>
        <v/>
      </c>
      <c r="U134" s="50">
        <f>IF(H134&gt;=Subsurface_Inputs!$C$42,"Lens visible","Weak/no lens")</f>
        <v/>
      </c>
      <c r="V134" s="50">
        <f>IF(R134&gt;=W134,"Likely visible","Weak")</f>
        <v/>
      </c>
      <c r="W134" s="47">
        <f>Subsurface_Inputs!$C$43</f>
        <v/>
      </c>
      <c r="X134" s="47">
        <f>Q134-W134</f>
        <v/>
      </c>
      <c r="Y134" s="47">
        <f>R134-W134</f>
        <v/>
      </c>
      <c r="Z134" s="47">
        <f>MAX(Q134,R134)-W134</f>
        <v/>
      </c>
      <c r="AA134" s="47" t="n">
        <v>0</v>
      </c>
    </row>
    <row r="135">
      <c r="A135" s="47">
        <f>Model_Data!A135</f>
        <v/>
      </c>
      <c r="B135" s="47">
        <f>Model_Data!Y135</f>
        <v/>
      </c>
      <c r="C135" s="47">
        <f>Model_Data!X135</f>
        <v/>
      </c>
      <c r="D135" s="47">
        <f>Model_Data!B135</f>
        <v/>
      </c>
      <c r="E135" s="47">
        <f>Inputs!$C$6</f>
        <v/>
      </c>
      <c r="F135" s="47">
        <f>Subsurface_Inputs!$C$5+Subsurface_Inputs!$C$6*SIN(2*PI()*(A135+Subsurface_Inputs!$C$7)/Subsurface_Inputs!$C$8)+Subsurface_Inputs!$C$9*COS(2*PI()*A135/Subsurface_Inputs!$C$10)+Subsurface_Inputs!$C$11*(B135-AVERAGE($B$2:$B$242))</f>
        <v/>
      </c>
      <c r="G135" s="47">
        <f>B135-F135</f>
        <v/>
      </c>
      <c r="H135" s="47">
        <f>MIN(1,MAX(0,Subsurface_Inputs!$C$13*EXP(-0.5*((A135-Subsurface_Inputs!$C$14)/Subsurface_Inputs!$C$15)^2)+Subsurface_Inputs!$C$16*EXP(-0.5*((A135-Subsurface_Inputs!$C$17)/Subsurface_Inputs!$C$18)^2)))</f>
        <v/>
      </c>
      <c r="I135" s="47">
        <f>Subsurface_Inputs!$C$19+Subsurface_Inputs!$C$20*SIN(2*PI()*(A135-Subsurface_Inputs!$C$21)/Subsurface_Inputs!$C$22)-Subsurface_Inputs!$C$23*H135</f>
        <v/>
      </c>
      <c r="J135" s="47">
        <f>B135-I135</f>
        <v/>
      </c>
      <c r="K135" s="47">
        <f>Subsurface_Inputs!$C$25+Subsurface_Inputs!$C$26*SIN(2*PI()*(A135+Subsurface_Inputs!$C$27)/Subsurface_Inputs!$C$28)+Subsurface_Inputs!$C$29*COS(2*PI()*(A135-Subsurface_Inputs!$C$30)/Subsurface_Inputs!$C$31)-Subsurface_Inputs!$C$32*(B135-AVERAGE($B$2:$B$242))</f>
        <v/>
      </c>
      <c r="L135" s="47">
        <f>B135-K135</f>
        <v/>
      </c>
      <c r="M135" s="47">
        <f>2*Subsurface_Inputs!$C$34*F135/Subsurface_Inputs!$C$35*1000000</f>
        <v/>
      </c>
      <c r="N135" s="47">
        <f>2*Subsurface_Inputs!$C$34*I135/Subsurface_Inputs!$C$35*1000000</f>
        <v/>
      </c>
      <c r="O135" s="47">
        <f>2*Subsurface_Inputs!$C$34*K135/Subsurface_Inputs!$C$35*1000000</f>
        <v/>
      </c>
      <c r="P135" s="47">
        <f>Subsurface_Inputs!$C$37-2*Subsurface_Inputs!$C$36*(F135/1000)</f>
        <v/>
      </c>
      <c r="Q135" s="47">
        <f>Subsurface_Inputs!$C$38+Subsurface_Inputs!$C$39*H135-2*Subsurface_Inputs!$C$36*(I135/1000)</f>
        <v/>
      </c>
      <c r="R135" s="47">
        <f>Subsurface_Inputs!$C$40-2*Subsurface_Inputs!$C$36*(K135/1000)-Subsurface_Inputs!$C$41*ABS(L135-AVERAGE($L$2:$L$242))</f>
        <v/>
      </c>
      <c r="S135" s="47">
        <f>K135-AVERAGE($K$2:$K$242)</f>
        <v/>
      </c>
      <c r="T135" s="47">
        <f>K135/F135</f>
        <v/>
      </c>
      <c r="U135" s="50">
        <f>IF(H135&gt;=Subsurface_Inputs!$C$42,"Lens visible","Weak/no lens")</f>
        <v/>
      </c>
      <c r="V135" s="50">
        <f>IF(R135&gt;=W135,"Likely visible","Weak")</f>
        <v/>
      </c>
      <c r="W135" s="47">
        <f>Subsurface_Inputs!$C$43</f>
        <v/>
      </c>
      <c r="X135" s="47">
        <f>Q135-W135</f>
        <v/>
      </c>
      <c r="Y135" s="47">
        <f>R135-W135</f>
        <v/>
      </c>
      <c r="Z135" s="47">
        <f>MAX(Q135,R135)-W135</f>
        <v/>
      </c>
      <c r="AA135" s="47" t="n">
        <v>0</v>
      </c>
    </row>
    <row r="136">
      <c r="A136" s="47">
        <f>Model_Data!A136</f>
        <v/>
      </c>
      <c r="B136" s="47">
        <f>Model_Data!Y136</f>
        <v/>
      </c>
      <c r="C136" s="47">
        <f>Model_Data!X136</f>
        <v/>
      </c>
      <c r="D136" s="47">
        <f>Model_Data!B136</f>
        <v/>
      </c>
      <c r="E136" s="47">
        <f>Inputs!$C$6</f>
        <v/>
      </c>
      <c r="F136" s="47">
        <f>Subsurface_Inputs!$C$5+Subsurface_Inputs!$C$6*SIN(2*PI()*(A136+Subsurface_Inputs!$C$7)/Subsurface_Inputs!$C$8)+Subsurface_Inputs!$C$9*COS(2*PI()*A136/Subsurface_Inputs!$C$10)+Subsurface_Inputs!$C$11*(B136-AVERAGE($B$2:$B$242))</f>
        <v/>
      </c>
      <c r="G136" s="47">
        <f>B136-F136</f>
        <v/>
      </c>
      <c r="H136" s="47">
        <f>MIN(1,MAX(0,Subsurface_Inputs!$C$13*EXP(-0.5*((A136-Subsurface_Inputs!$C$14)/Subsurface_Inputs!$C$15)^2)+Subsurface_Inputs!$C$16*EXP(-0.5*((A136-Subsurface_Inputs!$C$17)/Subsurface_Inputs!$C$18)^2)))</f>
        <v/>
      </c>
      <c r="I136" s="47">
        <f>Subsurface_Inputs!$C$19+Subsurface_Inputs!$C$20*SIN(2*PI()*(A136-Subsurface_Inputs!$C$21)/Subsurface_Inputs!$C$22)-Subsurface_Inputs!$C$23*H136</f>
        <v/>
      </c>
      <c r="J136" s="47">
        <f>B136-I136</f>
        <v/>
      </c>
      <c r="K136" s="47">
        <f>Subsurface_Inputs!$C$25+Subsurface_Inputs!$C$26*SIN(2*PI()*(A136+Subsurface_Inputs!$C$27)/Subsurface_Inputs!$C$28)+Subsurface_Inputs!$C$29*COS(2*PI()*(A136-Subsurface_Inputs!$C$30)/Subsurface_Inputs!$C$31)-Subsurface_Inputs!$C$32*(B136-AVERAGE($B$2:$B$242))</f>
        <v/>
      </c>
      <c r="L136" s="47">
        <f>B136-K136</f>
        <v/>
      </c>
      <c r="M136" s="47">
        <f>2*Subsurface_Inputs!$C$34*F136/Subsurface_Inputs!$C$35*1000000</f>
        <v/>
      </c>
      <c r="N136" s="47">
        <f>2*Subsurface_Inputs!$C$34*I136/Subsurface_Inputs!$C$35*1000000</f>
        <v/>
      </c>
      <c r="O136" s="47">
        <f>2*Subsurface_Inputs!$C$34*K136/Subsurface_Inputs!$C$35*1000000</f>
        <v/>
      </c>
      <c r="P136" s="47">
        <f>Subsurface_Inputs!$C$37-2*Subsurface_Inputs!$C$36*(F136/1000)</f>
        <v/>
      </c>
      <c r="Q136" s="47">
        <f>Subsurface_Inputs!$C$38+Subsurface_Inputs!$C$39*H136-2*Subsurface_Inputs!$C$36*(I136/1000)</f>
        <v/>
      </c>
      <c r="R136" s="47">
        <f>Subsurface_Inputs!$C$40-2*Subsurface_Inputs!$C$36*(K136/1000)-Subsurface_Inputs!$C$41*ABS(L136-AVERAGE($L$2:$L$242))</f>
        <v/>
      </c>
      <c r="S136" s="47">
        <f>K136-AVERAGE($K$2:$K$242)</f>
        <v/>
      </c>
      <c r="T136" s="47">
        <f>K136/F136</f>
        <v/>
      </c>
      <c r="U136" s="50">
        <f>IF(H136&gt;=Subsurface_Inputs!$C$42,"Lens visible","Weak/no lens")</f>
        <v/>
      </c>
      <c r="V136" s="50">
        <f>IF(R136&gt;=W136,"Likely visible","Weak")</f>
        <v/>
      </c>
      <c r="W136" s="47">
        <f>Subsurface_Inputs!$C$43</f>
        <v/>
      </c>
      <c r="X136" s="47">
        <f>Q136-W136</f>
        <v/>
      </c>
      <c r="Y136" s="47">
        <f>R136-W136</f>
        <v/>
      </c>
      <c r="Z136" s="47">
        <f>MAX(Q136,R136)-W136</f>
        <v/>
      </c>
      <c r="AA136" s="47" t="n">
        <v>0</v>
      </c>
    </row>
    <row r="137">
      <c r="A137" s="47">
        <f>Model_Data!A137</f>
        <v/>
      </c>
      <c r="B137" s="47">
        <f>Model_Data!Y137</f>
        <v/>
      </c>
      <c r="C137" s="47">
        <f>Model_Data!X137</f>
        <v/>
      </c>
      <c r="D137" s="47">
        <f>Model_Data!B137</f>
        <v/>
      </c>
      <c r="E137" s="47">
        <f>Inputs!$C$6</f>
        <v/>
      </c>
      <c r="F137" s="47">
        <f>Subsurface_Inputs!$C$5+Subsurface_Inputs!$C$6*SIN(2*PI()*(A137+Subsurface_Inputs!$C$7)/Subsurface_Inputs!$C$8)+Subsurface_Inputs!$C$9*COS(2*PI()*A137/Subsurface_Inputs!$C$10)+Subsurface_Inputs!$C$11*(B137-AVERAGE($B$2:$B$242))</f>
        <v/>
      </c>
      <c r="G137" s="47">
        <f>B137-F137</f>
        <v/>
      </c>
      <c r="H137" s="47">
        <f>MIN(1,MAX(0,Subsurface_Inputs!$C$13*EXP(-0.5*((A137-Subsurface_Inputs!$C$14)/Subsurface_Inputs!$C$15)^2)+Subsurface_Inputs!$C$16*EXP(-0.5*((A137-Subsurface_Inputs!$C$17)/Subsurface_Inputs!$C$18)^2)))</f>
        <v/>
      </c>
      <c r="I137" s="47">
        <f>Subsurface_Inputs!$C$19+Subsurface_Inputs!$C$20*SIN(2*PI()*(A137-Subsurface_Inputs!$C$21)/Subsurface_Inputs!$C$22)-Subsurface_Inputs!$C$23*H137</f>
        <v/>
      </c>
      <c r="J137" s="47">
        <f>B137-I137</f>
        <v/>
      </c>
      <c r="K137" s="47">
        <f>Subsurface_Inputs!$C$25+Subsurface_Inputs!$C$26*SIN(2*PI()*(A137+Subsurface_Inputs!$C$27)/Subsurface_Inputs!$C$28)+Subsurface_Inputs!$C$29*COS(2*PI()*(A137-Subsurface_Inputs!$C$30)/Subsurface_Inputs!$C$31)-Subsurface_Inputs!$C$32*(B137-AVERAGE($B$2:$B$242))</f>
        <v/>
      </c>
      <c r="L137" s="47">
        <f>B137-K137</f>
        <v/>
      </c>
      <c r="M137" s="47">
        <f>2*Subsurface_Inputs!$C$34*F137/Subsurface_Inputs!$C$35*1000000</f>
        <v/>
      </c>
      <c r="N137" s="47">
        <f>2*Subsurface_Inputs!$C$34*I137/Subsurface_Inputs!$C$35*1000000</f>
        <v/>
      </c>
      <c r="O137" s="47">
        <f>2*Subsurface_Inputs!$C$34*K137/Subsurface_Inputs!$C$35*1000000</f>
        <v/>
      </c>
      <c r="P137" s="47">
        <f>Subsurface_Inputs!$C$37-2*Subsurface_Inputs!$C$36*(F137/1000)</f>
        <v/>
      </c>
      <c r="Q137" s="47">
        <f>Subsurface_Inputs!$C$38+Subsurface_Inputs!$C$39*H137-2*Subsurface_Inputs!$C$36*(I137/1000)</f>
        <v/>
      </c>
      <c r="R137" s="47">
        <f>Subsurface_Inputs!$C$40-2*Subsurface_Inputs!$C$36*(K137/1000)-Subsurface_Inputs!$C$41*ABS(L137-AVERAGE($L$2:$L$242))</f>
        <v/>
      </c>
      <c r="S137" s="47">
        <f>K137-AVERAGE($K$2:$K$242)</f>
        <v/>
      </c>
      <c r="T137" s="47">
        <f>K137/F137</f>
        <v/>
      </c>
      <c r="U137" s="50">
        <f>IF(H137&gt;=Subsurface_Inputs!$C$42,"Lens visible","Weak/no lens")</f>
        <v/>
      </c>
      <c r="V137" s="50">
        <f>IF(R137&gt;=W137,"Likely visible","Weak")</f>
        <v/>
      </c>
      <c r="W137" s="47">
        <f>Subsurface_Inputs!$C$43</f>
        <v/>
      </c>
      <c r="X137" s="47">
        <f>Q137-W137</f>
        <v/>
      </c>
      <c r="Y137" s="47">
        <f>R137-W137</f>
        <v/>
      </c>
      <c r="Z137" s="47">
        <f>MAX(Q137,R137)-W137</f>
        <v/>
      </c>
      <c r="AA137" s="47" t="n">
        <v>0</v>
      </c>
    </row>
    <row r="138">
      <c r="A138" s="47">
        <f>Model_Data!A138</f>
        <v/>
      </c>
      <c r="B138" s="47">
        <f>Model_Data!Y138</f>
        <v/>
      </c>
      <c r="C138" s="47">
        <f>Model_Data!X138</f>
        <v/>
      </c>
      <c r="D138" s="47">
        <f>Model_Data!B138</f>
        <v/>
      </c>
      <c r="E138" s="47">
        <f>Inputs!$C$6</f>
        <v/>
      </c>
      <c r="F138" s="47">
        <f>Subsurface_Inputs!$C$5+Subsurface_Inputs!$C$6*SIN(2*PI()*(A138+Subsurface_Inputs!$C$7)/Subsurface_Inputs!$C$8)+Subsurface_Inputs!$C$9*COS(2*PI()*A138/Subsurface_Inputs!$C$10)+Subsurface_Inputs!$C$11*(B138-AVERAGE($B$2:$B$242))</f>
        <v/>
      </c>
      <c r="G138" s="47">
        <f>B138-F138</f>
        <v/>
      </c>
      <c r="H138" s="47">
        <f>MIN(1,MAX(0,Subsurface_Inputs!$C$13*EXP(-0.5*((A138-Subsurface_Inputs!$C$14)/Subsurface_Inputs!$C$15)^2)+Subsurface_Inputs!$C$16*EXP(-0.5*((A138-Subsurface_Inputs!$C$17)/Subsurface_Inputs!$C$18)^2)))</f>
        <v/>
      </c>
      <c r="I138" s="47">
        <f>Subsurface_Inputs!$C$19+Subsurface_Inputs!$C$20*SIN(2*PI()*(A138-Subsurface_Inputs!$C$21)/Subsurface_Inputs!$C$22)-Subsurface_Inputs!$C$23*H138</f>
        <v/>
      </c>
      <c r="J138" s="47">
        <f>B138-I138</f>
        <v/>
      </c>
      <c r="K138" s="47">
        <f>Subsurface_Inputs!$C$25+Subsurface_Inputs!$C$26*SIN(2*PI()*(A138+Subsurface_Inputs!$C$27)/Subsurface_Inputs!$C$28)+Subsurface_Inputs!$C$29*COS(2*PI()*(A138-Subsurface_Inputs!$C$30)/Subsurface_Inputs!$C$31)-Subsurface_Inputs!$C$32*(B138-AVERAGE($B$2:$B$242))</f>
        <v/>
      </c>
      <c r="L138" s="47">
        <f>B138-K138</f>
        <v/>
      </c>
      <c r="M138" s="47">
        <f>2*Subsurface_Inputs!$C$34*F138/Subsurface_Inputs!$C$35*1000000</f>
        <v/>
      </c>
      <c r="N138" s="47">
        <f>2*Subsurface_Inputs!$C$34*I138/Subsurface_Inputs!$C$35*1000000</f>
        <v/>
      </c>
      <c r="O138" s="47">
        <f>2*Subsurface_Inputs!$C$34*K138/Subsurface_Inputs!$C$35*1000000</f>
        <v/>
      </c>
      <c r="P138" s="47">
        <f>Subsurface_Inputs!$C$37-2*Subsurface_Inputs!$C$36*(F138/1000)</f>
        <v/>
      </c>
      <c r="Q138" s="47">
        <f>Subsurface_Inputs!$C$38+Subsurface_Inputs!$C$39*H138-2*Subsurface_Inputs!$C$36*(I138/1000)</f>
        <v/>
      </c>
      <c r="R138" s="47">
        <f>Subsurface_Inputs!$C$40-2*Subsurface_Inputs!$C$36*(K138/1000)-Subsurface_Inputs!$C$41*ABS(L138-AVERAGE($L$2:$L$242))</f>
        <v/>
      </c>
      <c r="S138" s="47">
        <f>K138-AVERAGE($K$2:$K$242)</f>
        <v/>
      </c>
      <c r="T138" s="47">
        <f>K138/F138</f>
        <v/>
      </c>
      <c r="U138" s="50">
        <f>IF(H138&gt;=Subsurface_Inputs!$C$42,"Lens visible","Weak/no lens")</f>
        <v/>
      </c>
      <c r="V138" s="50">
        <f>IF(R138&gt;=W138,"Likely visible","Weak")</f>
        <v/>
      </c>
      <c r="W138" s="47">
        <f>Subsurface_Inputs!$C$43</f>
        <v/>
      </c>
      <c r="X138" s="47">
        <f>Q138-W138</f>
        <v/>
      </c>
      <c r="Y138" s="47">
        <f>R138-W138</f>
        <v/>
      </c>
      <c r="Z138" s="47">
        <f>MAX(Q138,R138)-W138</f>
        <v/>
      </c>
      <c r="AA138" s="47" t="n">
        <v>0</v>
      </c>
    </row>
    <row r="139">
      <c r="A139" s="47">
        <f>Model_Data!A139</f>
        <v/>
      </c>
      <c r="B139" s="47">
        <f>Model_Data!Y139</f>
        <v/>
      </c>
      <c r="C139" s="47">
        <f>Model_Data!X139</f>
        <v/>
      </c>
      <c r="D139" s="47">
        <f>Model_Data!B139</f>
        <v/>
      </c>
      <c r="E139" s="47">
        <f>Inputs!$C$6</f>
        <v/>
      </c>
      <c r="F139" s="47">
        <f>Subsurface_Inputs!$C$5+Subsurface_Inputs!$C$6*SIN(2*PI()*(A139+Subsurface_Inputs!$C$7)/Subsurface_Inputs!$C$8)+Subsurface_Inputs!$C$9*COS(2*PI()*A139/Subsurface_Inputs!$C$10)+Subsurface_Inputs!$C$11*(B139-AVERAGE($B$2:$B$242))</f>
        <v/>
      </c>
      <c r="G139" s="47">
        <f>B139-F139</f>
        <v/>
      </c>
      <c r="H139" s="47">
        <f>MIN(1,MAX(0,Subsurface_Inputs!$C$13*EXP(-0.5*((A139-Subsurface_Inputs!$C$14)/Subsurface_Inputs!$C$15)^2)+Subsurface_Inputs!$C$16*EXP(-0.5*((A139-Subsurface_Inputs!$C$17)/Subsurface_Inputs!$C$18)^2)))</f>
        <v/>
      </c>
      <c r="I139" s="47">
        <f>Subsurface_Inputs!$C$19+Subsurface_Inputs!$C$20*SIN(2*PI()*(A139-Subsurface_Inputs!$C$21)/Subsurface_Inputs!$C$22)-Subsurface_Inputs!$C$23*H139</f>
        <v/>
      </c>
      <c r="J139" s="47">
        <f>B139-I139</f>
        <v/>
      </c>
      <c r="K139" s="47">
        <f>Subsurface_Inputs!$C$25+Subsurface_Inputs!$C$26*SIN(2*PI()*(A139+Subsurface_Inputs!$C$27)/Subsurface_Inputs!$C$28)+Subsurface_Inputs!$C$29*COS(2*PI()*(A139-Subsurface_Inputs!$C$30)/Subsurface_Inputs!$C$31)-Subsurface_Inputs!$C$32*(B139-AVERAGE($B$2:$B$242))</f>
        <v/>
      </c>
      <c r="L139" s="47">
        <f>B139-K139</f>
        <v/>
      </c>
      <c r="M139" s="47">
        <f>2*Subsurface_Inputs!$C$34*F139/Subsurface_Inputs!$C$35*1000000</f>
        <v/>
      </c>
      <c r="N139" s="47">
        <f>2*Subsurface_Inputs!$C$34*I139/Subsurface_Inputs!$C$35*1000000</f>
        <v/>
      </c>
      <c r="O139" s="47">
        <f>2*Subsurface_Inputs!$C$34*K139/Subsurface_Inputs!$C$35*1000000</f>
        <v/>
      </c>
      <c r="P139" s="47">
        <f>Subsurface_Inputs!$C$37-2*Subsurface_Inputs!$C$36*(F139/1000)</f>
        <v/>
      </c>
      <c r="Q139" s="47">
        <f>Subsurface_Inputs!$C$38+Subsurface_Inputs!$C$39*H139-2*Subsurface_Inputs!$C$36*(I139/1000)</f>
        <v/>
      </c>
      <c r="R139" s="47">
        <f>Subsurface_Inputs!$C$40-2*Subsurface_Inputs!$C$36*(K139/1000)-Subsurface_Inputs!$C$41*ABS(L139-AVERAGE($L$2:$L$242))</f>
        <v/>
      </c>
      <c r="S139" s="47">
        <f>K139-AVERAGE($K$2:$K$242)</f>
        <v/>
      </c>
      <c r="T139" s="47">
        <f>K139/F139</f>
        <v/>
      </c>
      <c r="U139" s="50">
        <f>IF(H139&gt;=Subsurface_Inputs!$C$42,"Lens visible","Weak/no lens")</f>
        <v/>
      </c>
      <c r="V139" s="50">
        <f>IF(R139&gt;=W139,"Likely visible","Weak")</f>
        <v/>
      </c>
      <c r="W139" s="47">
        <f>Subsurface_Inputs!$C$43</f>
        <v/>
      </c>
      <c r="X139" s="47">
        <f>Q139-W139</f>
        <v/>
      </c>
      <c r="Y139" s="47">
        <f>R139-W139</f>
        <v/>
      </c>
      <c r="Z139" s="47">
        <f>MAX(Q139,R139)-W139</f>
        <v/>
      </c>
      <c r="AA139" s="47" t="n">
        <v>0</v>
      </c>
    </row>
    <row r="140">
      <c r="A140" s="47">
        <f>Model_Data!A140</f>
        <v/>
      </c>
      <c r="B140" s="47">
        <f>Model_Data!Y140</f>
        <v/>
      </c>
      <c r="C140" s="47">
        <f>Model_Data!X140</f>
        <v/>
      </c>
      <c r="D140" s="47">
        <f>Model_Data!B140</f>
        <v/>
      </c>
      <c r="E140" s="47">
        <f>Inputs!$C$6</f>
        <v/>
      </c>
      <c r="F140" s="47">
        <f>Subsurface_Inputs!$C$5+Subsurface_Inputs!$C$6*SIN(2*PI()*(A140+Subsurface_Inputs!$C$7)/Subsurface_Inputs!$C$8)+Subsurface_Inputs!$C$9*COS(2*PI()*A140/Subsurface_Inputs!$C$10)+Subsurface_Inputs!$C$11*(B140-AVERAGE($B$2:$B$242))</f>
        <v/>
      </c>
      <c r="G140" s="47">
        <f>B140-F140</f>
        <v/>
      </c>
      <c r="H140" s="47">
        <f>MIN(1,MAX(0,Subsurface_Inputs!$C$13*EXP(-0.5*((A140-Subsurface_Inputs!$C$14)/Subsurface_Inputs!$C$15)^2)+Subsurface_Inputs!$C$16*EXP(-0.5*((A140-Subsurface_Inputs!$C$17)/Subsurface_Inputs!$C$18)^2)))</f>
        <v/>
      </c>
      <c r="I140" s="47">
        <f>Subsurface_Inputs!$C$19+Subsurface_Inputs!$C$20*SIN(2*PI()*(A140-Subsurface_Inputs!$C$21)/Subsurface_Inputs!$C$22)-Subsurface_Inputs!$C$23*H140</f>
        <v/>
      </c>
      <c r="J140" s="47">
        <f>B140-I140</f>
        <v/>
      </c>
      <c r="K140" s="47">
        <f>Subsurface_Inputs!$C$25+Subsurface_Inputs!$C$26*SIN(2*PI()*(A140+Subsurface_Inputs!$C$27)/Subsurface_Inputs!$C$28)+Subsurface_Inputs!$C$29*COS(2*PI()*(A140-Subsurface_Inputs!$C$30)/Subsurface_Inputs!$C$31)-Subsurface_Inputs!$C$32*(B140-AVERAGE($B$2:$B$242))</f>
        <v/>
      </c>
      <c r="L140" s="47">
        <f>B140-K140</f>
        <v/>
      </c>
      <c r="M140" s="47">
        <f>2*Subsurface_Inputs!$C$34*F140/Subsurface_Inputs!$C$35*1000000</f>
        <v/>
      </c>
      <c r="N140" s="47">
        <f>2*Subsurface_Inputs!$C$34*I140/Subsurface_Inputs!$C$35*1000000</f>
        <v/>
      </c>
      <c r="O140" s="47">
        <f>2*Subsurface_Inputs!$C$34*K140/Subsurface_Inputs!$C$35*1000000</f>
        <v/>
      </c>
      <c r="P140" s="47">
        <f>Subsurface_Inputs!$C$37-2*Subsurface_Inputs!$C$36*(F140/1000)</f>
        <v/>
      </c>
      <c r="Q140" s="47">
        <f>Subsurface_Inputs!$C$38+Subsurface_Inputs!$C$39*H140-2*Subsurface_Inputs!$C$36*(I140/1000)</f>
        <v/>
      </c>
      <c r="R140" s="47">
        <f>Subsurface_Inputs!$C$40-2*Subsurface_Inputs!$C$36*(K140/1000)-Subsurface_Inputs!$C$41*ABS(L140-AVERAGE($L$2:$L$242))</f>
        <v/>
      </c>
      <c r="S140" s="47">
        <f>K140-AVERAGE($K$2:$K$242)</f>
        <v/>
      </c>
      <c r="T140" s="47">
        <f>K140/F140</f>
        <v/>
      </c>
      <c r="U140" s="50">
        <f>IF(H140&gt;=Subsurface_Inputs!$C$42,"Lens visible","Weak/no lens")</f>
        <v/>
      </c>
      <c r="V140" s="50">
        <f>IF(R140&gt;=W140,"Likely visible","Weak")</f>
        <v/>
      </c>
      <c r="W140" s="47">
        <f>Subsurface_Inputs!$C$43</f>
        <v/>
      </c>
      <c r="X140" s="47">
        <f>Q140-W140</f>
        <v/>
      </c>
      <c r="Y140" s="47">
        <f>R140-W140</f>
        <v/>
      </c>
      <c r="Z140" s="47">
        <f>MAX(Q140,R140)-W140</f>
        <v/>
      </c>
      <c r="AA140" s="47" t="n">
        <v>0</v>
      </c>
    </row>
    <row r="141">
      <c r="A141" s="47">
        <f>Model_Data!A141</f>
        <v/>
      </c>
      <c r="B141" s="47">
        <f>Model_Data!Y141</f>
        <v/>
      </c>
      <c r="C141" s="47">
        <f>Model_Data!X141</f>
        <v/>
      </c>
      <c r="D141" s="47">
        <f>Model_Data!B141</f>
        <v/>
      </c>
      <c r="E141" s="47">
        <f>Inputs!$C$6</f>
        <v/>
      </c>
      <c r="F141" s="47">
        <f>Subsurface_Inputs!$C$5+Subsurface_Inputs!$C$6*SIN(2*PI()*(A141+Subsurface_Inputs!$C$7)/Subsurface_Inputs!$C$8)+Subsurface_Inputs!$C$9*COS(2*PI()*A141/Subsurface_Inputs!$C$10)+Subsurface_Inputs!$C$11*(B141-AVERAGE($B$2:$B$242))</f>
        <v/>
      </c>
      <c r="G141" s="47">
        <f>B141-F141</f>
        <v/>
      </c>
      <c r="H141" s="47">
        <f>MIN(1,MAX(0,Subsurface_Inputs!$C$13*EXP(-0.5*((A141-Subsurface_Inputs!$C$14)/Subsurface_Inputs!$C$15)^2)+Subsurface_Inputs!$C$16*EXP(-0.5*((A141-Subsurface_Inputs!$C$17)/Subsurface_Inputs!$C$18)^2)))</f>
        <v/>
      </c>
      <c r="I141" s="47">
        <f>Subsurface_Inputs!$C$19+Subsurface_Inputs!$C$20*SIN(2*PI()*(A141-Subsurface_Inputs!$C$21)/Subsurface_Inputs!$C$22)-Subsurface_Inputs!$C$23*H141</f>
        <v/>
      </c>
      <c r="J141" s="47">
        <f>B141-I141</f>
        <v/>
      </c>
      <c r="K141" s="47">
        <f>Subsurface_Inputs!$C$25+Subsurface_Inputs!$C$26*SIN(2*PI()*(A141+Subsurface_Inputs!$C$27)/Subsurface_Inputs!$C$28)+Subsurface_Inputs!$C$29*COS(2*PI()*(A141-Subsurface_Inputs!$C$30)/Subsurface_Inputs!$C$31)-Subsurface_Inputs!$C$32*(B141-AVERAGE($B$2:$B$242))</f>
        <v/>
      </c>
      <c r="L141" s="47">
        <f>B141-K141</f>
        <v/>
      </c>
      <c r="M141" s="47">
        <f>2*Subsurface_Inputs!$C$34*F141/Subsurface_Inputs!$C$35*1000000</f>
        <v/>
      </c>
      <c r="N141" s="47">
        <f>2*Subsurface_Inputs!$C$34*I141/Subsurface_Inputs!$C$35*1000000</f>
        <v/>
      </c>
      <c r="O141" s="47">
        <f>2*Subsurface_Inputs!$C$34*K141/Subsurface_Inputs!$C$35*1000000</f>
        <v/>
      </c>
      <c r="P141" s="47">
        <f>Subsurface_Inputs!$C$37-2*Subsurface_Inputs!$C$36*(F141/1000)</f>
        <v/>
      </c>
      <c r="Q141" s="47">
        <f>Subsurface_Inputs!$C$38+Subsurface_Inputs!$C$39*H141-2*Subsurface_Inputs!$C$36*(I141/1000)</f>
        <v/>
      </c>
      <c r="R141" s="47">
        <f>Subsurface_Inputs!$C$40-2*Subsurface_Inputs!$C$36*(K141/1000)-Subsurface_Inputs!$C$41*ABS(L141-AVERAGE($L$2:$L$242))</f>
        <v/>
      </c>
      <c r="S141" s="47">
        <f>K141-AVERAGE($K$2:$K$242)</f>
        <v/>
      </c>
      <c r="T141" s="47">
        <f>K141/F141</f>
        <v/>
      </c>
      <c r="U141" s="50">
        <f>IF(H141&gt;=Subsurface_Inputs!$C$42,"Lens visible","Weak/no lens")</f>
        <v/>
      </c>
      <c r="V141" s="50">
        <f>IF(R141&gt;=W141,"Likely visible","Weak")</f>
        <v/>
      </c>
      <c r="W141" s="47">
        <f>Subsurface_Inputs!$C$43</f>
        <v/>
      </c>
      <c r="X141" s="47">
        <f>Q141-W141</f>
        <v/>
      </c>
      <c r="Y141" s="47">
        <f>R141-W141</f>
        <v/>
      </c>
      <c r="Z141" s="47">
        <f>MAX(Q141,R141)-W141</f>
        <v/>
      </c>
      <c r="AA141" s="47" t="n">
        <v>0</v>
      </c>
    </row>
    <row r="142">
      <c r="A142" s="47">
        <f>Model_Data!A142</f>
        <v/>
      </c>
      <c r="B142" s="47">
        <f>Model_Data!Y142</f>
        <v/>
      </c>
      <c r="C142" s="47">
        <f>Model_Data!X142</f>
        <v/>
      </c>
      <c r="D142" s="47">
        <f>Model_Data!B142</f>
        <v/>
      </c>
      <c r="E142" s="47">
        <f>Inputs!$C$6</f>
        <v/>
      </c>
      <c r="F142" s="47">
        <f>Subsurface_Inputs!$C$5+Subsurface_Inputs!$C$6*SIN(2*PI()*(A142+Subsurface_Inputs!$C$7)/Subsurface_Inputs!$C$8)+Subsurface_Inputs!$C$9*COS(2*PI()*A142/Subsurface_Inputs!$C$10)+Subsurface_Inputs!$C$11*(B142-AVERAGE($B$2:$B$242))</f>
        <v/>
      </c>
      <c r="G142" s="47">
        <f>B142-F142</f>
        <v/>
      </c>
      <c r="H142" s="47">
        <f>MIN(1,MAX(0,Subsurface_Inputs!$C$13*EXP(-0.5*((A142-Subsurface_Inputs!$C$14)/Subsurface_Inputs!$C$15)^2)+Subsurface_Inputs!$C$16*EXP(-0.5*((A142-Subsurface_Inputs!$C$17)/Subsurface_Inputs!$C$18)^2)))</f>
        <v/>
      </c>
      <c r="I142" s="47">
        <f>Subsurface_Inputs!$C$19+Subsurface_Inputs!$C$20*SIN(2*PI()*(A142-Subsurface_Inputs!$C$21)/Subsurface_Inputs!$C$22)-Subsurface_Inputs!$C$23*H142</f>
        <v/>
      </c>
      <c r="J142" s="47">
        <f>B142-I142</f>
        <v/>
      </c>
      <c r="K142" s="47">
        <f>Subsurface_Inputs!$C$25+Subsurface_Inputs!$C$26*SIN(2*PI()*(A142+Subsurface_Inputs!$C$27)/Subsurface_Inputs!$C$28)+Subsurface_Inputs!$C$29*COS(2*PI()*(A142-Subsurface_Inputs!$C$30)/Subsurface_Inputs!$C$31)-Subsurface_Inputs!$C$32*(B142-AVERAGE($B$2:$B$242))</f>
        <v/>
      </c>
      <c r="L142" s="47">
        <f>B142-K142</f>
        <v/>
      </c>
      <c r="M142" s="47">
        <f>2*Subsurface_Inputs!$C$34*F142/Subsurface_Inputs!$C$35*1000000</f>
        <v/>
      </c>
      <c r="N142" s="47">
        <f>2*Subsurface_Inputs!$C$34*I142/Subsurface_Inputs!$C$35*1000000</f>
        <v/>
      </c>
      <c r="O142" s="47">
        <f>2*Subsurface_Inputs!$C$34*K142/Subsurface_Inputs!$C$35*1000000</f>
        <v/>
      </c>
      <c r="P142" s="47">
        <f>Subsurface_Inputs!$C$37-2*Subsurface_Inputs!$C$36*(F142/1000)</f>
        <v/>
      </c>
      <c r="Q142" s="47">
        <f>Subsurface_Inputs!$C$38+Subsurface_Inputs!$C$39*H142-2*Subsurface_Inputs!$C$36*(I142/1000)</f>
        <v/>
      </c>
      <c r="R142" s="47">
        <f>Subsurface_Inputs!$C$40-2*Subsurface_Inputs!$C$36*(K142/1000)-Subsurface_Inputs!$C$41*ABS(L142-AVERAGE($L$2:$L$242))</f>
        <v/>
      </c>
      <c r="S142" s="47">
        <f>K142-AVERAGE($K$2:$K$242)</f>
        <v/>
      </c>
      <c r="T142" s="47">
        <f>K142/F142</f>
        <v/>
      </c>
      <c r="U142" s="50">
        <f>IF(H142&gt;=Subsurface_Inputs!$C$42,"Lens visible","Weak/no lens")</f>
        <v/>
      </c>
      <c r="V142" s="50">
        <f>IF(R142&gt;=W142,"Likely visible","Weak")</f>
        <v/>
      </c>
      <c r="W142" s="47">
        <f>Subsurface_Inputs!$C$43</f>
        <v/>
      </c>
      <c r="X142" s="47">
        <f>Q142-W142</f>
        <v/>
      </c>
      <c r="Y142" s="47">
        <f>R142-W142</f>
        <v/>
      </c>
      <c r="Z142" s="47">
        <f>MAX(Q142,R142)-W142</f>
        <v/>
      </c>
      <c r="AA142" s="47" t="n">
        <v>0</v>
      </c>
    </row>
    <row r="143">
      <c r="A143" s="47">
        <f>Model_Data!A143</f>
        <v/>
      </c>
      <c r="B143" s="47">
        <f>Model_Data!Y143</f>
        <v/>
      </c>
      <c r="C143" s="47">
        <f>Model_Data!X143</f>
        <v/>
      </c>
      <c r="D143" s="47">
        <f>Model_Data!B143</f>
        <v/>
      </c>
      <c r="E143" s="47">
        <f>Inputs!$C$6</f>
        <v/>
      </c>
      <c r="F143" s="47">
        <f>Subsurface_Inputs!$C$5+Subsurface_Inputs!$C$6*SIN(2*PI()*(A143+Subsurface_Inputs!$C$7)/Subsurface_Inputs!$C$8)+Subsurface_Inputs!$C$9*COS(2*PI()*A143/Subsurface_Inputs!$C$10)+Subsurface_Inputs!$C$11*(B143-AVERAGE($B$2:$B$242))</f>
        <v/>
      </c>
      <c r="G143" s="47">
        <f>B143-F143</f>
        <v/>
      </c>
      <c r="H143" s="47">
        <f>MIN(1,MAX(0,Subsurface_Inputs!$C$13*EXP(-0.5*((A143-Subsurface_Inputs!$C$14)/Subsurface_Inputs!$C$15)^2)+Subsurface_Inputs!$C$16*EXP(-0.5*((A143-Subsurface_Inputs!$C$17)/Subsurface_Inputs!$C$18)^2)))</f>
        <v/>
      </c>
      <c r="I143" s="47">
        <f>Subsurface_Inputs!$C$19+Subsurface_Inputs!$C$20*SIN(2*PI()*(A143-Subsurface_Inputs!$C$21)/Subsurface_Inputs!$C$22)-Subsurface_Inputs!$C$23*H143</f>
        <v/>
      </c>
      <c r="J143" s="47">
        <f>B143-I143</f>
        <v/>
      </c>
      <c r="K143" s="47">
        <f>Subsurface_Inputs!$C$25+Subsurface_Inputs!$C$26*SIN(2*PI()*(A143+Subsurface_Inputs!$C$27)/Subsurface_Inputs!$C$28)+Subsurface_Inputs!$C$29*COS(2*PI()*(A143-Subsurface_Inputs!$C$30)/Subsurface_Inputs!$C$31)-Subsurface_Inputs!$C$32*(B143-AVERAGE($B$2:$B$242))</f>
        <v/>
      </c>
      <c r="L143" s="47">
        <f>B143-K143</f>
        <v/>
      </c>
      <c r="M143" s="47">
        <f>2*Subsurface_Inputs!$C$34*F143/Subsurface_Inputs!$C$35*1000000</f>
        <v/>
      </c>
      <c r="N143" s="47">
        <f>2*Subsurface_Inputs!$C$34*I143/Subsurface_Inputs!$C$35*1000000</f>
        <v/>
      </c>
      <c r="O143" s="47">
        <f>2*Subsurface_Inputs!$C$34*K143/Subsurface_Inputs!$C$35*1000000</f>
        <v/>
      </c>
      <c r="P143" s="47">
        <f>Subsurface_Inputs!$C$37-2*Subsurface_Inputs!$C$36*(F143/1000)</f>
        <v/>
      </c>
      <c r="Q143" s="47">
        <f>Subsurface_Inputs!$C$38+Subsurface_Inputs!$C$39*H143-2*Subsurface_Inputs!$C$36*(I143/1000)</f>
        <v/>
      </c>
      <c r="R143" s="47">
        <f>Subsurface_Inputs!$C$40-2*Subsurface_Inputs!$C$36*(K143/1000)-Subsurface_Inputs!$C$41*ABS(L143-AVERAGE($L$2:$L$242))</f>
        <v/>
      </c>
      <c r="S143" s="47">
        <f>K143-AVERAGE($K$2:$K$242)</f>
        <v/>
      </c>
      <c r="T143" s="47">
        <f>K143/F143</f>
        <v/>
      </c>
      <c r="U143" s="50">
        <f>IF(H143&gt;=Subsurface_Inputs!$C$42,"Lens visible","Weak/no lens")</f>
        <v/>
      </c>
      <c r="V143" s="50">
        <f>IF(R143&gt;=W143,"Likely visible","Weak")</f>
        <v/>
      </c>
      <c r="W143" s="47">
        <f>Subsurface_Inputs!$C$43</f>
        <v/>
      </c>
      <c r="X143" s="47">
        <f>Q143-W143</f>
        <v/>
      </c>
      <c r="Y143" s="47">
        <f>R143-W143</f>
        <v/>
      </c>
      <c r="Z143" s="47">
        <f>MAX(Q143,R143)-W143</f>
        <v/>
      </c>
      <c r="AA143" s="47" t="n">
        <v>0</v>
      </c>
    </row>
    <row r="144">
      <c r="A144" s="47">
        <f>Model_Data!A144</f>
        <v/>
      </c>
      <c r="B144" s="47">
        <f>Model_Data!Y144</f>
        <v/>
      </c>
      <c r="C144" s="47">
        <f>Model_Data!X144</f>
        <v/>
      </c>
      <c r="D144" s="47">
        <f>Model_Data!B144</f>
        <v/>
      </c>
      <c r="E144" s="47">
        <f>Inputs!$C$6</f>
        <v/>
      </c>
      <c r="F144" s="47">
        <f>Subsurface_Inputs!$C$5+Subsurface_Inputs!$C$6*SIN(2*PI()*(A144+Subsurface_Inputs!$C$7)/Subsurface_Inputs!$C$8)+Subsurface_Inputs!$C$9*COS(2*PI()*A144/Subsurface_Inputs!$C$10)+Subsurface_Inputs!$C$11*(B144-AVERAGE($B$2:$B$242))</f>
        <v/>
      </c>
      <c r="G144" s="47">
        <f>B144-F144</f>
        <v/>
      </c>
      <c r="H144" s="47">
        <f>MIN(1,MAX(0,Subsurface_Inputs!$C$13*EXP(-0.5*((A144-Subsurface_Inputs!$C$14)/Subsurface_Inputs!$C$15)^2)+Subsurface_Inputs!$C$16*EXP(-0.5*((A144-Subsurface_Inputs!$C$17)/Subsurface_Inputs!$C$18)^2)))</f>
        <v/>
      </c>
      <c r="I144" s="47">
        <f>Subsurface_Inputs!$C$19+Subsurface_Inputs!$C$20*SIN(2*PI()*(A144-Subsurface_Inputs!$C$21)/Subsurface_Inputs!$C$22)-Subsurface_Inputs!$C$23*H144</f>
        <v/>
      </c>
      <c r="J144" s="47">
        <f>B144-I144</f>
        <v/>
      </c>
      <c r="K144" s="47">
        <f>Subsurface_Inputs!$C$25+Subsurface_Inputs!$C$26*SIN(2*PI()*(A144+Subsurface_Inputs!$C$27)/Subsurface_Inputs!$C$28)+Subsurface_Inputs!$C$29*COS(2*PI()*(A144-Subsurface_Inputs!$C$30)/Subsurface_Inputs!$C$31)-Subsurface_Inputs!$C$32*(B144-AVERAGE($B$2:$B$242))</f>
        <v/>
      </c>
      <c r="L144" s="47">
        <f>B144-K144</f>
        <v/>
      </c>
      <c r="M144" s="47">
        <f>2*Subsurface_Inputs!$C$34*F144/Subsurface_Inputs!$C$35*1000000</f>
        <v/>
      </c>
      <c r="N144" s="47">
        <f>2*Subsurface_Inputs!$C$34*I144/Subsurface_Inputs!$C$35*1000000</f>
        <v/>
      </c>
      <c r="O144" s="47">
        <f>2*Subsurface_Inputs!$C$34*K144/Subsurface_Inputs!$C$35*1000000</f>
        <v/>
      </c>
      <c r="P144" s="47">
        <f>Subsurface_Inputs!$C$37-2*Subsurface_Inputs!$C$36*(F144/1000)</f>
        <v/>
      </c>
      <c r="Q144" s="47">
        <f>Subsurface_Inputs!$C$38+Subsurface_Inputs!$C$39*H144-2*Subsurface_Inputs!$C$36*(I144/1000)</f>
        <v/>
      </c>
      <c r="R144" s="47">
        <f>Subsurface_Inputs!$C$40-2*Subsurface_Inputs!$C$36*(K144/1000)-Subsurface_Inputs!$C$41*ABS(L144-AVERAGE($L$2:$L$242))</f>
        <v/>
      </c>
      <c r="S144" s="47">
        <f>K144-AVERAGE($K$2:$K$242)</f>
        <v/>
      </c>
      <c r="T144" s="47">
        <f>K144/F144</f>
        <v/>
      </c>
      <c r="U144" s="50">
        <f>IF(H144&gt;=Subsurface_Inputs!$C$42,"Lens visible","Weak/no lens")</f>
        <v/>
      </c>
      <c r="V144" s="50">
        <f>IF(R144&gt;=W144,"Likely visible","Weak")</f>
        <v/>
      </c>
      <c r="W144" s="47">
        <f>Subsurface_Inputs!$C$43</f>
        <v/>
      </c>
      <c r="X144" s="47">
        <f>Q144-W144</f>
        <v/>
      </c>
      <c r="Y144" s="47">
        <f>R144-W144</f>
        <v/>
      </c>
      <c r="Z144" s="47">
        <f>MAX(Q144,R144)-W144</f>
        <v/>
      </c>
      <c r="AA144" s="47" t="n">
        <v>0</v>
      </c>
    </row>
    <row r="145">
      <c r="A145" s="47">
        <f>Model_Data!A145</f>
        <v/>
      </c>
      <c r="B145" s="47">
        <f>Model_Data!Y145</f>
        <v/>
      </c>
      <c r="C145" s="47">
        <f>Model_Data!X145</f>
        <v/>
      </c>
      <c r="D145" s="47">
        <f>Model_Data!B145</f>
        <v/>
      </c>
      <c r="E145" s="47">
        <f>Inputs!$C$6</f>
        <v/>
      </c>
      <c r="F145" s="47">
        <f>Subsurface_Inputs!$C$5+Subsurface_Inputs!$C$6*SIN(2*PI()*(A145+Subsurface_Inputs!$C$7)/Subsurface_Inputs!$C$8)+Subsurface_Inputs!$C$9*COS(2*PI()*A145/Subsurface_Inputs!$C$10)+Subsurface_Inputs!$C$11*(B145-AVERAGE($B$2:$B$242))</f>
        <v/>
      </c>
      <c r="G145" s="47">
        <f>B145-F145</f>
        <v/>
      </c>
      <c r="H145" s="47">
        <f>MIN(1,MAX(0,Subsurface_Inputs!$C$13*EXP(-0.5*((A145-Subsurface_Inputs!$C$14)/Subsurface_Inputs!$C$15)^2)+Subsurface_Inputs!$C$16*EXP(-0.5*((A145-Subsurface_Inputs!$C$17)/Subsurface_Inputs!$C$18)^2)))</f>
        <v/>
      </c>
      <c r="I145" s="47">
        <f>Subsurface_Inputs!$C$19+Subsurface_Inputs!$C$20*SIN(2*PI()*(A145-Subsurface_Inputs!$C$21)/Subsurface_Inputs!$C$22)-Subsurface_Inputs!$C$23*H145</f>
        <v/>
      </c>
      <c r="J145" s="47">
        <f>B145-I145</f>
        <v/>
      </c>
      <c r="K145" s="47">
        <f>Subsurface_Inputs!$C$25+Subsurface_Inputs!$C$26*SIN(2*PI()*(A145+Subsurface_Inputs!$C$27)/Subsurface_Inputs!$C$28)+Subsurface_Inputs!$C$29*COS(2*PI()*(A145-Subsurface_Inputs!$C$30)/Subsurface_Inputs!$C$31)-Subsurface_Inputs!$C$32*(B145-AVERAGE($B$2:$B$242))</f>
        <v/>
      </c>
      <c r="L145" s="47">
        <f>B145-K145</f>
        <v/>
      </c>
      <c r="M145" s="47">
        <f>2*Subsurface_Inputs!$C$34*F145/Subsurface_Inputs!$C$35*1000000</f>
        <v/>
      </c>
      <c r="N145" s="47">
        <f>2*Subsurface_Inputs!$C$34*I145/Subsurface_Inputs!$C$35*1000000</f>
        <v/>
      </c>
      <c r="O145" s="47">
        <f>2*Subsurface_Inputs!$C$34*K145/Subsurface_Inputs!$C$35*1000000</f>
        <v/>
      </c>
      <c r="P145" s="47">
        <f>Subsurface_Inputs!$C$37-2*Subsurface_Inputs!$C$36*(F145/1000)</f>
        <v/>
      </c>
      <c r="Q145" s="47">
        <f>Subsurface_Inputs!$C$38+Subsurface_Inputs!$C$39*H145-2*Subsurface_Inputs!$C$36*(I145/1000)</f>
        <v/>
      </c>
      <c r="R145" s="47">
        <f>Subsurface_Inputs!$C$40-2*Subsurface_Inputs!$C$36*(K145/1000)-Subsurface_Inputs!$C$41*ABS(L145-AVERAGE($L$2:$L$242))</f>
        <v/>
      </c>
      <c r="S145" s="47">
        <f>K145-AVERAGE($K$2:$K$242)</f>
        <v/>
      </c>
      <c r="T145" s="47">
        <f>K145/F145</f>
        <v/>
      </c>
      <c r="U145" s="50">
        <f>IF(H145&gt;=Subsurface_Inputs!$C$42,"Lens visible","Weak/no lens")</f>
        <v/>
      </c>
      <c r="V145" s="50">
        <f>IF(R145&gt;=W145,"Likely visible","Weak")</f>
        <v/>
      </c>
      <c r="W145" s="47">
        <f>Subsurface_Inputs!$C$43</f>
        <v/>
      </c>
      <c r="X145" s="47">
        <f>Q145-W145</f>
        <v/>
      </c>
      <c r="Y145" s="47">
        <f>R145-W145</f>
        <v/>
      </c>
      <c r="Z145" s="47">
        <f>MAX(Q145,R145)-W145</f>
        <v/>
      </c>
      <c r="AA145" s="47" t="n">
        <v>0</v>
      </c>
    </row>
    <row r="146">
      <c r="A146" s="47">
        <f>Model_Data!A146</f>
        <v/>
      </c>
      <c r="B146" s="47">
        <f>Model_Data!Y146</f>
        <v/>
      </c>
      <c r="C146" s="47">
        <f>Model_Data!X146</f>
        <v/>
      </c>
      <c r="D146" s="47">
        <f>Model_Data!B146</f>
        <v/>
      </c>
      <c r="E146" s="47">
        <f>Inputs!$C$6</f>
        <v/>
      </c>
      <c r="F146" s="47">
        <f>Subsurface_Inputs!$C$5+Subsurface_Inputs!$C$6*SIN(2*PI()*(A146+Subsurface_Inputs!$C$7)/Subsurface_Inputs!$C$8)+Subsurface_Inputs!$C$9*COS(2*PI()*A146/Subsurface_Inputs!$C$10)+Subsurface_Inputs!$C$11*(B146-AVERAGE($B$2:$B$242))</f>
        <v/>
      </c>
      <c r="G146" s="47">
        <f>B146-F146</f>
        <v/>
      </c>
      <c r="H146" s="47">
        <f>MIN(1,MAX(0,Subsurface_Inputs!$C$13*EXP(-0.5*((A146-Subsurface_Inputs!$C$14)/Subsurface_Inputs!$C$15)^2)+Subsurface_Inputs!$C$16*EXP(-0.5*((A146-Subsurface_Inputs!$C$17)/Subsurface_Inputs!$C$18)^2)))</f>
        <v/>
      </c>
      <c r="I146" s="47">
        <f>Subsurface_Inputs!$C$19+Subsurface_Inputs!$C$20*SIN(2*PI()*(A146-Subsurface_Inputs!$C$21)/Subsurface_Inputs!$C$22)-Subsurface_Inputs!$C$23*H146</f>
        <v/>
      </c>
      <c r="J146" s="47">
        <f>B146-I146</f>
        <v/>
      </c>
      <c r="K146" s="47">
        <f>Subsurface_Inputs!$C$25+Subsurface_Inputs!$C$26*SIN(2*PI()*(A146+Subsurface_Inputs!$C$27)/Subsurface_Inputs!$C$28)+Subsurface_Inputs!$C$29*COS(2*PI()*(A146-Subsurface_Inputs!$C$30)/Subsurface_Inputs!$C$31)-Subsurface_Inputs!$C$32*(B146-AVERAGE($B$2:$B$242))</f>
        <v/>
      </c>
      <c r="L146" s="47">
        <f>B146-K146</f>
        <v/>
      </c>
      <c r="M146" s="47">
        <f>2*Subsurface_Inputs!$C$34*F146/Subsurface_Inputs!$C$35*1000000</f>
        <v/>
      </c>
      <c r="N146" s="47">
        <f>2*Subsurface_Inputs!$C$34*I146/Subsurface_Inputs!$C$35*1000000</f>
        <v/>
      </c>
      <c r="O146" s="47">
        <f>2*Subsurface_Inputs!$C$34*K146/Subsurface_Inputs!$C$35*1000000</f>
        <v/>
      </c>
      <c r="P146" s="47">
        <f>Subsurface_Inputs!$C$37-2*Subsurface_Inputs!$C$36*(F146/1000)</f>
        <v/>
      </c>
      <c r="Q146" s="47">
        <f>Subsurface_Inputs!$C$38+Subsurface_Inputs!$C$39*H146-2*Subsurface_Inputs!$C$36*(I146/1000)</f>
        <v/>
      </c>
      <c r="R146" s="47">
        <f>Subsurface_Inputs!$C$40-2*Subsurface_Inputs!$C$36*(K146/1000)-Subsurface_Inputs!$C$41*ABS(L146-AVERAGE($L$2:$L$242))</f>
        <v/>
      </c>
      <c r="S146" s="47">
        <f>K146-AVERAGE($K$2:$K$242)</f>
        <v/>
      </c>
      <c r="T146" s="47">
        <f>K146/F146</f>
        <v/>
      </c>
      <c r="U146" s="50">
        <f>IF(H146&gt;=Subsurface_Inputs!$C$42,"Lens visible","Weak/no lens")</f>
        <v/>
      </c>
      <c r="V146" s="50">
        <f>IF(R146&gt;=W146,"Likely visible","Weak")</f>
        <v/>
      </c>
      <c r="W146" s="47">
        <f>Subsurface_Inputs!$C$43</f>
        <v/>
      </c>
      <c r="X146" s="47">
        <f>Q146-W146</f>
        <v/>
      </c>
      <c r="Y146" s="47">
        <f>R146-W146</f>
        <v/>
      </c>
      <c r="Z146" s="47">
        <f>MAX(Q146,R146)-W146</f>
        <v/>
      </c>
      <c r="AA146" s="47" t="n">
        <v>0</v>
      </c>
    </row>
    <row r="147">
      <c r="A147" s="47">
        <f>Model_Data!A147</f>
        <v/>
      </c>
      <c r="B147" s="47">
        <f>Model_Data!Y147</f>
        <v/>
      </c>
      <c r="C147" s="47">
        <f>Model_Data!X147</f>
        <v/>
      </c>
      <c r="D147" s="47">
        <f>Model_Data!B147</f>
        <v/>
      </c>
      <c r="E147" s="47">
        <f>Inputs!$C$6</f>
        <v/>
      </c>
      <c r="F147" s="47">
        <f>Subsurface_Inputs!$C$5+Subsurface_Inputs!$C$6*SIN(2*PI()*(A147+Subsurface_Inputs!$C$7)/Subsurface_Inputs!$C$8)+Subsurface_Inputs!$C$9*COS(2*PI()*A147/Subsurface_Inputs!$C$10)+Subsurface_Inputs!$C$11*(B147-AVERAGE($B$2:$B$242))</f>
        <v/>
      </c>
      <c r="G147" s="47">
        <f>B147-F147</f>
        <v/>
      </c>
      <c r="H147" s="47">
        <f>MIN(1,MAX(0,Subsurface_Inputs!$C$13*EXP(-0.5*((A147-Subsurface_Inputs!$C$14)/Subsurface_Inputs!$C$15)^2)+Subsurface_Inputs!$C$16*EXP(-0.5*((A147-Subsurface_Inputs!$C$17)/Subsurface_Inputs!$C$18)^2)))</f>
        <v/>
      </c>
      <c r="I147" s="47">
        <f>Subsurface_Inputs!$C$19+Subsurface_Inputs!$C$20*SIN(2*PI()*(A147-Subsurface_Inputs!$C$21)/Subsurface_Inputs!$C$22)-Subsurface_Inputs!$C$23*H147</f>
        <v/>
      </c>
      <c r="J147" s="47">
        <f>B147-I147</f>
        <v/>
      </c>
      <c r="K147" s="47">
        <f>Subsurface_Inputs!$C$25+Subsurface_Inputs!$C$26*SIN(2*PI()*(A147+Subsurface_Inputs!$C$27)/Subsurface_Inputs!$C$28)+Subsurface_Inputs!$C$29*COS(2*PI()*(A147-Subsurface_Inputs!$C$30)/Subsurface_Inputs!$C$31)-Subsurface_Inputs!$C$32*(B147-AVERAGE($B$2:$B$242))</f>
        <v/>
      </c>
      <c r="L147" s="47">
        <f>B147-K147</f>
        <v/>
      </c>
      <c r="M147" s="47">
        <f>2*Subsurface_Inputs!$C$34*F147/Subsurface_Inputs!$C$35*1000000</f>
        <v/>
      </c>
      <c r="N147" s="47">
        <f>2*Subsurface_Inputs!$C$34*I147/Subsurface_Inputs!$C$35*1000000</f>
        <v/>
      </c>
      <c r="O147" s="47">
        <f>2*Subsurface_Inputs!$C$34*K147/Subsurface_Inputs!$C$35*1000000</f>
        <v/>
      </c>
      <c r="P147" s="47">
        <f>Subsurface_Inputs!$C$37-2*Subsurface_Inputs!$C$36*(F147/1000)</f>
        <v/>
      </c>
      <c r="Q147" s="47">
        <f>Subsurface_Inputs!$C$38+Subsurface_Inputs!$C$39*H147-2*Subsurface_Inputs!$C$36*(I147/1000)</f>
        <v/>
      </c>
      <c r="R147" s="47">
        <f>Subsurface_Inputs!$C$40-2*Subsurface_Inputs!$C$36*(K147/1000)-Subsurface_Inputs!$C$41*ABS(L147-AVERAGE($L$2:$L$242))</f>
        <v/>
      </c>
      <c r="S147" s="47">
        <f>K147-AVERAGE($K$2:$K$242)</f>
        <v/>
      </c>
      <c r="T147" s="47">
        <f>K147/F147</f>
        <v/>
      </c>
      <c r="U147" s="50">
        <f>IF(H147&gt;=Subsurface_Inputs!$C$42,"Lens visible","Weak/no lens")</f>
        <v/>
      </c>
      <c r="V147" s="50">
        <f>IF(R147&gt;=W147,"Likely visible","Weak")</f>
        <v/>
      </c>
      <c r="W147" s="47">
        <f>Subsurface_Inputs!$C$43</f>
        <v/>
      </c>
      <c r="X147" s="47">
        <f>Q147-W147</f>
        <v/>
      </c>
      <c r="Y147" s="47">
        <f>R147-W147</f>
        <v/>
      </c>
      <c r="Z147" s="47">
        <f>MAX(Q147,R147)-W147</f>
        <v/>
      </c>
      <c r="AA147" s="47" t="n">
        <v>0</v>
      </c>
    </row>
    <row r="148">
      <c r="A148" s="47">
        <f>Model_Data!A148</f>
        <v/>
      </c>
      <c r="B148" s="47">
        <f>Model_Data!Y148</f>
        <v/>
      </c>
      <c r="C148" s="47">
        <f>Model_Data!X148</f>
        <v/>
      </c>
      <c r="D148" s="47">
        <f>Model_Data!B148</f>
        <v/>
      </c>
      <c r="E148" s="47">
        <f>Inputs!$C$6</f>
        <v/>
      </c>
      <c r="F148" s="47">
        <f>Subsurface_Inputs!$C$5+Subsurface_Inputs!$C$6*SIN(2*PI()*(A148+Subsurface_Inputs!$C$7)/Subsurface_Inputs!$C$8)+Subsurface_Inputs!$C$9*COS(2*PI()*A148/Subsurface_Inputs!$C$10)+Subsurface_Inputs!$C$11*(B148-AVERAGE($B$2:$B$242))</f>
        <v/>
      </c>
      <c r="G148" s="47">
        <f>B148-F148</f>
        <v/>
      </c>
      <c r="H148" s="47">
        <f>MIN(1,MAX(0,Subsurface_Inputs!$C$13*EXP(-0.5*((A148-Subsurface_Inputs!$C$14)/Subsurface_Inputs!$C$15)^2)+Subsurface_Inputs!$C$16*EXP(-0.5*((A148-Subsurface_Inputs!$C$17)/Subsurface_Inputs!$C$18)^2)))</f>
        <v/>
      </c>
      <c r="I148" s="47">
        <f>Subsurface_Inputs!$C$19+Subsurface_Inputs!$C$20*SIN(2*PI()*(A148-Subsurface_Inputs!$C$21)/Subsurface_Inputs!$C$22)-Subsurface_Inputs!$C$23*H148</f>
        <v/>
      </c>
      <c r="J148" s="47">
        <f>B148-I148</f>
        <v/>
      </c>
      <c r="K148" s="47">
        <f>Subsurface_Inputs!$C$25+Subsurface_Inputs!$C$26*SIN(2*PI()*(A148+Subsurface_Inputs!$C$27)/Subsurface_Inputs!$C$28)+Subsurface_Inputs!$C$29*COS(2*PI()*(A148-Subsurface_Inputs!$C$30)/Subsurface_Inputs!$C$31)-Subsurface_Inputs!$C$32*(B148-AVERAGE($B$2:$B$242))</f>
        <v/>
      </c>
      <c r="L148" s="47">
        <f>B148-K148</f>
        <v/>
      </c>
      <c r="M148" s="47">
        <f>2*Subsurface_Inputs!$C$34*F148/Subsurface_Inputs!$C$35*1000000</f>
        <v/>
      </c>
      <c r="N148" s="47">
        <f>2*Subsurface_Inputs!$C$34*I148/Subsurface_Inputs!$C$35*1000000</f>
        <v/>
      </c>
      <c r="O148" s="47">
        <f>2*Subsurface_Inputs!$C$34*K148/Subsurface_Inputs!$C$35*1000000</f>
        <v/>
      </c>
      <c r="P148" s="47">
        <f>Subsurface_Inputs!$C$37-2*Subsurface_Inputs!$C$36*(F148/1000)</f>
        <v/>
      </c>
      <c r="Q148" s="47">
        <f>Subsurface_Inputs!$C$38+Subsurface_Inputs!$C$39*H148-2*Subsurface_Inputs!$C$36*(I148/1000)</f>
        <v/>
      </c>
      <c r="R148" s="47">
        <f>Subsurface_Inputs!$C$40-2*Subsurface_Inputs!$C$36*(K148/1000)-Subsurface_Inputs!$C$41*ABS(L148-AVERAGE($L$2:$L$242))</f>
        <v/>
      </c>
      <c r="S148" s="47">
        <f>K148-AVERAGE($K$2:$K$242)</f>
        <v/>
      </c>
      <c r="T148" s="47">
        <f>K148/F148</f>
        <v/>
      </c>
      <c r="U148" s="50">
        <f>IF(H148&gt;=Subsurface_Inputs!$C$42,"Lens visible","Weak/no lens")</f>
        <v/>
      </c>
      <c r="V148" s="50">
        <f>IF(R148&gt;=W148,"Likely visible","Weak")</f>
        <v/>
      </c>
      <c r="W148" s="47">
        <f>Subsurface_Inputs!$C$43</f>
        <v/>
      </c>
      <c r="X148" s="47">
        <f>Q148-W148</f>
        <v/>
      </c>
      <c r="Y148" s="47">
        <f>R148-W148</f>
        <v/>
      </c>
      <c r="Z148" s="47">
        <f>MAX(Q148,R148)-W148</f>
        <v/>
      </c>
      <c r="AA148" s="47" t="n">
        <v>0</v>
      </c>
    </row>
    <row r="149">
      <c r="A149" s="47">
        <f>Model_Data!A149</f>
        <v/>
      </c>
      <c r="B149" s="47">
        <f>Model_Data!Y149</f>
        <v/>
      </c>
      <c r="C149" s="47">
        <f>Model_Data!X149</f>
        <v/>
      </c>
      <c r="D149" s="47">
        <f>Model_Data!B149</f>
        <v/>
      </c>
      <c r="E149" s="47">
        <f>Inputs!$C$6</f>
        <v/>
      </c>
      <c r="F149" s="47">
        <f>Subsurface_Inputs!$C$5+Subsurface_Inputs!$C$6*SIN(2*PI()*(A149+Subsurface_Inputs!$C$7)/Subsurface_Inputs!$C$8)+Subsurface_Inputs!$C$9*COS(2*PI()*A149/Subsurface_Inputs!$C$10)+Subsurface_Inputs!$C$11*(B149-AVERAGE($B$2:$B$242))</f>
        <v/>
      </c>
      <c r="G149" s="47">
        <f>B149-F149</f>
        <v/>
      </c>
      <c r="H149" s="47">
        <f>MIN(1,MAX(0,Subsurface_Inputs!$C$13*EXP(-0.5*((A149-Subsurface_Inputs!$C$14)/Subsurface_Inputs!$C$15)^2)+Subsurface_Inputs!$C$16*EXP(-0.5*((A149-Subsurface_Inputs!$C$17)/Subsurface_Inputs!$C$18)^2)))</f>
        <v/>
      </c>
      <c r="I149" s="47">
        <f>Subsurface_Inputs!$C$19+Subsurface_Inputs!$C$20*SIN(2*PI()*(A149-Subsurface_Inputs!$C$21)/Subsurface_Inputs!$C$22)-Subsurface_Inputs!$C$23*H149</f>
        <v/>
      </c>
      <c r="J149" s="47">
        <f>B149-I149</f>
        <v/>
      </c>
      <c r="K149" s="47">
        <f>Subsurface_Inputs!$C$25+Subsurface_Inputs!$C$26*SIN(2*PI()*(A149+Subsurface_Inputs!$C$27)/Subsurface_Inputs!$C$28)+Subsurface_Inputs!$C$29*COS(2*PI()*(A149-Subsurface_Inputs!$C$30)/Subsurface_Inputs!$C$31)-Subsurface_Inputs!$C$32*(B149-AVERAGE($B$2:$B$242))</f>
        <v/>
      </c>
      <c r="L149" s="47">
        <f>B149-K149</f>
        <v/>
      </c>
      <c r="M149" s="47">
        <f>2*Subsurface_Inputs!$C$34*F149/Subsurface_Inputs!$C$35*1000000</f>
        <v/>
      </c>
      <c r="N149" s="47">
        <f>2*Subsurface_Inputs!$C$34*I149/Subsurface_Inputs!$C$35*1000000</f>
        <v/>
      </c>
      <c r="O149" s="47">
        <f>2*Subsurface_Inputs!$C$34*K149/Subsurface_Inputs!$C$35*1000000</f>
        <v/>
      </c>
      <c r="P149" s="47">
        <f>Subsurface_Inputs!$C$37-2*Subsurface_Inputs!$C$36*(F149/1000)</f>
        <v/>
      </c>
      <c r="Q149" s="47">
        <f>Subsurface_Inputs!$C$38+Subsurface_Inputs!$C$39*H149-2*Subsurface_Inputs!$C$36*(I149/1000)</f>
        <v/>
      </c>
      <c r="R149" s="47">
        <f>Subsurface_Inputs!$C$40-2*Subsurface_Inputs!$C$36*(K149/1000)-Subsurface_Inputs!$C$41*ABS(L149-AVERAGE($L$2:$L$242))</f>
        <v/>
      </c>
      <c r="S149" s="47">
        <f>K149-AVERAGE($K$2:$K$242)</f>
        <v/>
      </c>
      <c r="T149" s="47">
        <f>K149/F149</f>
        <v/>
      </c>
      <c r="U149" s="50">
        <f>IF(H149&gt;=Subsurface_Inputs!$C$42,"Lens visible","Weak/no lens")</f>
        <v/>
      </c>
      <c r="V149" s="50">
        <f>IF(R149&gt;=W149,"Likely visible","Weak")</f>
        <v/>
      </c>
      <c r="W149" s="47">
        <f>Subsurface_Inputs!$C$43</f>
        <v/>
      </c>
      <c r="X149" s="47">
        <f>Q149-W149</f>
        <v/>
      </c>
      <c r="Y149" s="47">
        <f>R149-W149</f>
        <v/>
      </c>
      <c r="Z149" s="47">
        <f>MAX(Q149,R149)-W149</f>
        <v/>
      </c>
      <c r="AA149" s="47" t="n">
        <v>0</v>
      </c>
    </row>
    <row r="150">
      <c r="A150" s="47">
        <f>Model_Data!A150</f>
        <v/>
      </c>
      <c r="B150" s="47">
        <f>Model_Data!Y150</f>
        <v/>
      </c>
      <c r="C150" s="47">
        <f>Model_Data!X150</f>
        <v/>
      </c>
      <c r="D150" s="47">
        <f>Model_Data!B150</f>
        <v/>
      </c>
      <c r="E150" s="47">
        <f>Inputs!$C$6</f>
        <v/>
      </c>
      <c r="F150" s="47">
        <f>Subsurface_Inputs!$C$5+Subsurface_Inputs!$C$6*SIN(2*PI()*(A150+Subsurface_Inputs!$C$7)/Subsurface_Inputs!$C$8)+Subsurface_Inputs!$C$9*COS(2*PI()*A150/Subsurface_Inputs!$C$10)+Subsurface_Inputs!$C$11*(B150-AVERAGE($B$2:$B$242))</f>
        <v/>
      </c>
      <c r="G150" s="47">
        <f>B150-F150</f>
        <v/>
      </c>
      <c r="H150" s="47">
        <f>MIN(1,MAX(0,Subsurface_Inputs!$C$13*EXP(-0.5*((A150-Subsurface_Inputs!$C$14)/Subsurface_Inputs!$C$15)^2)+Subsurface_Inputs!$C$16*EXP(-0.5*((A150-Subsurface_Inputs!$C$17)/Subsurface_Inputs!$C$18)^2)))</f>
        <v/>
      </c>
      <c r="I150" s="47">
        <f>Subsurface_Inputs!$C$19+Subsurface_Inputs!$C$20*SIN(2*PI()*(A150-Subsurface_Inputs!$C$21)/Subsurface_Inputs!$C$22)-Subsurface_Inputs!$C$23*H150</f>
        <v/>
      </c>
      <c r="J150" s="47">
        <f>B150-I150</f>
        <v/>
      </c>
      <c r="K150" s="47">
        <f>Subsurface_Inputs!$C$25+Subsurface_Inputs!$C$26*SIN(2*PI()*(A150+Subsurface_Inputs!$C$27)/Subsurface_Inputs!$C$28)+Subsurface_Inputs!$C$29*COS(2*PI()*(A150-Subsurface_Inputs!$C$30)/Subsurface_Inputs!$C$31)-Subsurface_Inputs!$C$32*(B150-AVERAGE($B$2:$B$242))</f>
        <v/>
      </c>
      <c r="L150" s="47">
        <f>B150-K150</f>
        <v/>
      </c>
      <c r="M150" s="47">
        <f>2*Subsurface_Inputs!$C$34*F150/Subsurface_Inputs!$C$35*1000000</f>
        <v/>
      </c>
      <c r="N150" s="47">
        <f>2*Subsurface_Inputs!$C$34*I150/Subsurface_Inputs!$C$35*1000000</f>
        <v/>
      </c>
      <c r="O150" s="47">
        <f>2*Subsurface_Inputs!$C$34*K150/Subsurface_Inputs!$C$35*1000000</f>
        <v/>
      </c>
      <c r="P150" s="47">
        <f>Subsurface_Inputs!$C$37-2*Subsurface_Inputs!$C$36*(F150/1000)</f>
        <v/>
      </c>
      <c r="Q150" s="47">
        <f>Subsurface_Inputs!$C$38+Subsurface_Inputs!$C$39*H150-2*Subsurface_Inputs!$C$36*(I150/1000)</f>
        <v/>
      </c>
      <c r="R150" s="47">
        <f>Subsurface_Inputs!$C$40-2*Subsurface_Inputs!$C$36*(K150/1000)-Subsurface_Inputs!$C$41*ABS(L150-AVERAGE($L$2:$L$242))</f>
        <v/>
      </c>
      <c r="S150" s="47">
        <f>K150-AVERAGE($K$2:$K$242)</f>
        <v/>
      </c>
      <c r="T150" s="47">
        <f>K150/F150</f>
        <v/>
      </c>
      <c r="U150" s="50">
        <f>IF(H150&gt;=Subsurface_Inputs!$C$42,"Lens visible","Weak/no lens")</f>
        <v/>
      </c>
      <c r="V150" s="50">
        <f>IF(R150&gt;=W150,"Likely visible","Weak")</f>
        <v/>
      </c>
      <c r="W150" s="47">
        <f>Subsurface_Inputs!$C$43</f>
        <v/>
      </c>
      <c r="X150" s="47">
        <f>Q150-W150</f>
        <v/>
      </c>
      <c r="Y150" s="47">
        <f>R150-W150</f>
        <v/>
      </c>
      <c r="Z150" s="47">
        <f>MAX(Q150,R150)-W150</f>
        <v/>
      </c>
      <c r="AA150" s="47" t="n">
        <v>0</v>
      </c>
    </row>
    <row r="151">
      <c r="A151" s="47">
        <f>Model_Data!A151</f>
        <v/>
      </c>
      <c r="B151" s="47">
        <f>Model_Data!Y151</f>
        <v/>
      </c>
      <c r="C151" s="47">
        <f>Model_Data!X151</f>
        <v/>
      </c>
      <c r="D151" s="47">
        <f>Model_Data!B151</f>
        <v/>
      </c>
      <c r="E151" s="47">
        <f>Inputs!$C$6</f>
        <v/>
      </c>
      <c r="F151" s="47">
        <f>Subsurface_Inputs!$C$5+Subsurface_Inputs!$C$6*SIN(2*PI()*(A151+Subsurface_Inputs!$C$7)/Subsurface_Inputs!$C$8)+Subsurface_Inputs!$C$9*COS(2*PI()*A151/Subsurface_Inputs!$C$10)+Subsurface_Inputs!$C$11*(B151-AVERAGE($B$2:$B$242))</f>
        <v/>
      </c>
      <c r="G151" s="47">
        <f>B151-F151</f>
        <v/>
      </c>
      <c r="H151" s="47">
        <f>MIN(1,MAX(0,Subsurface_Inputs!$C$13*EXP(-0.5*((A151-Subsurface_Inputs!$C$14)/Subsurface_Inputs!$C$15)^2)+Subsurface_Inputs!$C$16*EXP(-0.5*((A151-Subsurface_Inputs!$C$17)/Subsurface_Inputs!$C$18)^2)))</f>
        <v/>
      </c>
      <c r="I151" s="47">
        <f>Subsurface_Inputs!$C$19+Subsurface_Inputs!$C$20*SIN(2*PI()*(A151-Subsurface_Inputs!$C$21)/Subsurface_Inputs!$C$22)-Subsurface_Inputs!$C$23*H151</f>
        <v/>
      </c>
      <c r="J151" s="47">
        <f>B151-I151</f>
        <v/>
      </c>
      <c r="K151" s="47">
        <f>Subsurface_Inputs!$C$25+Subsurface_Inputs!$C$26*SIN(2*PI()*(A151+Subsurface_Inputs!$C$27)/Subsurface_Inputs!$C$28)+Subsurface_Inputs!$C$29*COS(2*PI()*(A151-Subsurface_Inputs!$C$30)/Subsurface_Inputs!$C$31)-Subsurface_Inputs!$C$32*(B151-AVERAGE($B$2:$B$242))</f>
        <v/>
      </c>
      <c r="L151" s="47">
        <f>B151-K151</f>
        <v/>
      </c>
      <c r="M151" s="47">
        <f>2*Subsurface_Inputs!$C$34*F151/Subsurface_Inputs!$C$35*1000000</f>
        <v/>
      </c>
      <c r="N151" s="47">
        <f>2*Subsurface_Inputs!$C$34*I151/Subsurface_Inputs!$C$35*1000000</f>
        <v/>
      </c>
      <c r="O151" s="47">
        <f>2*Subsurface_Inputs!$C$34*K151/Subsurface_Inputs!$C$35*1000000</f>
        <v/>
      </c>
      <c r="P151" s="47">
        <f>Subsurface_Inputs!$C$37-2*Subsurface_Inputs!$C$36*(F151/1000)</f>
        <v/>
      </c>
      <c r="Q151" s="47">
        <f>Subsurface_Inputs!$C$38+Subsurface_Inputs!$C$39*H151-2*Subsurface_Inputs!$C$36*(I151/1000)</f>
        <v/>
      </c>
      <c r="R151" s="47">
        <f>Subsurface_Inputs!$C$40-2*Subsurface_Inputs!$C$36*(K151/1000)-Subsurface_Inputs!$C$41*ABS(L151-AVERAGE($L$2:$L$242))</f>
        <v/>
      </c>
      <c r="S151" s="47">
        <f>K151-AVERAGE($K$2:$K$242)</f>
        <v/>
      </c>
      <c r="T151" s="47">
        <f>K151/F151</f>
        <v/>
      </c>
      <c r="U151" s="50">
        <f>IF(H151&gt;=Subsurface_Inputs!$C$42,"Lens visible","Weak/no lens")</f>
        <v/>
      </c>
      <c r="V151" s="50">
        <f>IF(R151&gt;=W151,"Likely visible","Weak")</f>
        <v/>
      </c>
      <c r="W151" s="47">
        <f>Subsurface_Inputs!$C$43</f>
        <v/>
      </c>
      <c r="X151" s="47">
        <f>Q151-W151</f>
        <v/>
      </c>
      <c r="Y151" s="47">
        <f>R151-W151</f>
        <v/>
      </c>
      <c r="Z151" s="47">
        <f>MAX(Q151,R151)-W151</f>
        <v/>
      </c>
      <c r="AA151" s="47" t="n">
        <v>0</v>
      </c>
    </row>
    <row r="152">
      <c r="A152" s="47">
        <f>Model_Data!A152</f>
        <v/>
      </c>
      <c r="B152" s="47">
        <f>Model_Data!Y152</f>
        <v/>
      </c>
      <c r="C152" s="47">
        <f>Model_Data!X152</f>
        <v/>
      </c>
      <c r="D152" s="47">
        <f>Model_Data!B152</f>
        <v/>
      </c>
      <c r="E152" s="47">
        <f>Inputs!$C$6</f>
        <v/>
      </c>
      <c r="F152" s="47">
        <f>Subsurface_Inputs!$C$5+Subsurface_Inputs!$C$6*SIN(2*PI()*(A152+Subsurface_Inputs!$C$7)/Subsurface_Inputs!$C$8)+Subsurface_Inputs!$C$9*COS(2*PI()*A152/Subsurface_Inputs!$C$10)+Subsurface_Inputs!$C$11*(B152-AVERAGE($B$2:$B$242))</f>
        <v/>
      </c>
      <c r="G152" s="47">
        <f>B152-F152</f>
        <v/>
      </c>
      <c r="H152" s="47">
        <f>MIN(1,MAX(0,Subsurface_Inputs!$C$13*EXP(-0.5*((A152-Subsurface_Inputs!$C$14)/Subsurface_Inputs!$C$15)^2)+Subsurface_Inputs!$C$16*EXP(-0.5*((A152-Subsurface_Inputs!$C$17)/Subsurface_Inputs!$C$18)^2)))</f>
        <v/>
      </c>
      <c r="I152" s="47">
        <f>Subsurface_Inputs!$C$19+Subsurface_Inputs!$C$20*SIN(2*PI()*(A152-Subsurface_Inputs!$C$21)/Subsurface_Inputs!$C$22)-Subsurface_Inputs!$C$23*H152</f>
        <v/>
      </c>
      <c r="J152" s="47">
        <f>B152-I152</f>
        <v/>
      </c>
      <c r="K152" s="47">
        <f>Subsurface_Inputs!$C$25+Subsurface_Inputs!$C$26*SIN(2*PI()*(A152+Subsurface_Inputs!$C$27)/Subsurface_Inputs!$C$28)+Subsurface_Inputs!$C$29*COS(2*PI()*(A152-Subsurface_Inputs!$C$30)/Subsurface_Inputs!$C$31)-Subsurface_Inputs!$C$32*(B152-AVERAGE($B$2:$B$242))</f>
        <v/>
      </c>
      <c r="L152" s="47">
        <f>B152-K152</f>
        <v/>
      </c>
      <c r="M152" s="47">
        <f>2*Subsurface_Inputs!$C$34*F152/Subsurface_Inputs!$C$35*1000000</f>
        <v/>
      </c>
      <c r="N152" s="47">
        <f>2*Subsurface_Inputs!$C$34*I152/Subsurface_Inputs!$C$35*1000000</f>
        <v/>
      </c>
      <c r="O152" s="47">
        <f>2*Subsurface_Inputs!$C$34*K152/Subsurface_Inputs!$C$35*1000000</f>
        <v/>
      </c>
      <c r="P152" s="47">
        <f>Subsurface_Inputs!$C$37-2*Subsurface_Inputs!$C$36*(F152/1000)</f>
        <v/>
      </c>
      <c r="Q152" s="47">
        <f>Subsurface_Inputs!$C$38+Subsurface_Inputs!$C$39*H152-2*Subsurface_Inputs!$C$36*(I152/1000)</f>
        <v/>
      </c>
      <c r="R152" s="47">
        <f>Subsurface_Inputs!$C$40-2*Subsurface_Inputs!$C$36*(K152/1000)-Subsurface_Inputs!$C$41*ABS(L152-AVERAGE($L$2:$L$242))</f>
        <v/>
      </c>
      <c r="S152" s="47">
        <f>K152-AVERAGE($K$2:$K$242)</f>
        <v/>
      </c>
      <c r="T152" s="47">
        <f>K152/F152</f>
        <v/>
      </c>
      <c r="U152" s="50">
        <f>IF(H152&gt;=Subsurface_Inputs!$C$42,"Lens visible","Weak/no lens")</f>
        <v/>
      </c>
      <c r="V152" s="50">
        <f>IF(R152&gt;=W152,"Likely visible","Weak")</f>
        <v/>
      </c>
      <c r="W152" s="47">
        <f>Subsurface_Inputs!$C$43</f>
        <v/>
      </c>
      <c r="X152" s="47">
        <f>Q152-W152</f>
        <v/>
      </c>
      <c r="Y152" s="47">
        <f>R152-W152</f>
        <v/>
      </c>
      <c r="Z152" s="47">
        <f>MAX(Q152,R152)-W152</f>
        <v/>
      </c>
      <c r="AA152" s="47" t="n">
        <v>0</v>
      </c>
    </row>
    <row r="153">
      <c r="A153" s="47">
        <f>Model_Data!A153</f>
        <v/>
      </c>
      <c r="B153" s="47">
        <f>Model_Data!Y153</f>
        <v/>
      </c>
      <c r="C153" s="47">
        <f>Model_Data!X153</f>
        <v/>
      </c>
      <c r="D153" s="47">
        <f>Model_Data!B153</f>
        <v/>
      </c>
      <c r="E153" s="47">
        <f>Inputs!$C$6</f>
        <v/>
      </c>
      <c r="F153" s="47">
        <f>Subsurface_Inputs!$C$5+Subsurface_Inputs!$C$6*SIN(2*PI()*(A153+Subsurface_Inputs!$C$7)/Subsurface_Inputs!$C$8)+Subsurface_Inputs!$C$9*COS(2*PI()*A153/Subsurface_Inputs!$C$10)+Subsurface_Inputs!$C$11*(B153-AVERAGE($B$2:$B$242))</f>
        <v/>
      </c>
      <c r="G153" s="47">
        <f>B153-F153</f>
        <v/>
      </c>
      <c r="H153" s="47">
        <f>MIN(1,MAX(0,Subsurface_Inputs!$C$13*EXP(-0.5*((A153-Subsurface_Inputs!$C$14)/Subsurface_Inputs!$C$15)^2)+Subsurface_Inputs!$C$16*EXP(-0.5*((A153-Subsurface_Inputs!$C$17)/Subsurface_Inputs!$C$18)^2)))</f>
        <v/>
      </c>
      <c r="I153" s="47">
        <f>Subsurface_Inputs!$C$19+Subsurface_Inputs!$C$20*SIN(2*PI()*(A153-Subsurface_Inputs!$C$21)/Subsurface_Inputs!$C$22)-Subsurface_Inputs!$C$23*H153</f>
        <v/>
      </c>
      <c r="J153" s="47">
        <f>B153-I153</f>
        <v/>
      </c>
      <c r="K153" s="47">
        <f>Subsurface_Inputs!$C$25+Subsurface_Inputs!$C$26*SIN(2*PI()*(A153+Subsurface_Inputs!$C$27)/Subsurface_Inputs!$C$28)+Subsurface_Inputs!$C$29*COS(2*PI()*(A153-Subsurface_Inputs!$C$30)/Subsurface_Inputs!$C$31)-Subsurface_Inputs!$C$32*(B153-AVERAGE($B$2:$B$242))</f>
        <v/>
      </c>
      <c r="L153" s="47">
        <f>B153-K153</f>
        <v/>
      </c>
      <c r="M153" s="47">
        <f>2*Subsurface_Inputs!$C$34*F153/Subsurface_Inputs!$C$35*1000000</f>
        <v/>
      </c>
      <c r="N153" s="47">
        <f>2*Subsurface_Inputs!$C$34*I153/Subsurface_Inputs!$C$35*1000000</f>
        <v/>
      </c>
      <c r="O153" s="47">
        <f>2*Subsurface_Inputs!$C$34*K153/Subsurface_Inputs!$C$35*1000000</f>
        <v/>
      </c>
      <c r="P153" s="47">
        <f>Subsurface_Inputs!$C$37-2*Subsurface_Inputs!$C$36*(F153/1000)</f>
        <v/>
      </c>
      <c r="Q153" s="47">
        <f>Subsurface_Inputs!$C$38+Subsurface_Inputs!$C$39*H153-2*Subsurface_Inputs!$C$36*(I153/1000)</f>
        <v/>
      </c>
      <c r="R153" s="47">
        <f>Subsurface_Inputs!$C$40-2*Subsurface_Inputs!$C$36*(K153/1000)-Subsurface_Inputs!$C$41*ABS(L153-AVERAGE($L$2:$L$242))</f>
        <v/>
      </c>
      <c r="S153" s="47">
        <f>K153-AVERAGE($K$2:$K$242)</f>
        <v/>
      </c>
      <c r="T153" s="47">
        <f>K153/F153</f>
        <v/>
      </c>
      <c r="U153" s="50">
        <f>IF(H153&gt;=Subsurface_Inputs!$C$42,"Lens visible","Weak/no lens")</f>
        <v/>
      </c>
      <c r="V153" s="50">
        <f>IF(R153&gt;=W153,"Likely visible","Weak")</f>
        <v/>
      </c>
      <c r="W153" s="47">
        <f>Subsurface_Inputs!$C$43</f>
        <v/>
      </c>
      <c r="X153" s="47">
        <f>Q153-W153</f>
        <v/>
      </c>
      <c r="Y153" s="47">
        <f>R153-W153</f>
        <v/>
      </c>
      <c r="Z153" s="47">
        <f>MAX(Q153,R153)-W153</f>
        <v/>
      </c>
      <c r="AA153" s="47" t="n">
        <v>0</v>
      </c>
    </row>
    <row r="154">
      <c r="A154" s="47">
        <f>Model_Data!A154</f>
        <v/>
      </c>
      <c r="B154" s="47">
        <f>Model_Data!Y154</f>
        <v/>
      </c>
      <c r="C154" s="47">
        <f>Model_Data!X154</f>
        <v/>
      </c>
      <c r="D154" s="47">
        <f>Model_Data!B154</f>
        <v/>
      </c>
      <c r="E154" s="47">
        <f>Inputs!$C$6</f>
        <v/>
      </c>
      <c r="F154" s="47">
        <f>Subsurface_Inputs!$C$5+Subsurface_Inputs!$C$6*SIN(2*PI()*(A154+Subsurface_Inputs!$C$7)/Subsurface_Inputs!$C$8)+Subsurface_Inputs!$C$9*COS(2*PI()*A154/Subsurface_Inputs!$C$10)+Subsurface_Inputs!$C$11*(B154-AVERAGE($B$2:$B$242))</f>
        <v/>
      </c>
      <c r="G154" s="47">
        <f>B154-F154</f>
        <v/>
      </c>
      <c r="H154" s="47">
        <f>MIN(1,MAX(0,Subsurface_Inputs!$C$13*EXP(-0.5*((A154-Subsurface_Inputs!$C$14)/Subsurface_Inputs!$C$15)^2)+Subsurface_Inputs!$C$16*EXP(-0.5*((A154-Subsurface_Inputs!$C$17)/Subsurface_Inputs!$C$18)^2)))</f>
        <v/>
      </c>
      <c r="I154" s="47">
        <f>Subsurface_Inputs!$C$19+Subsurface_Inputs!$C$20*SIN(2*PI()*(A154-Subsurface_Inputs!$C$21)/Subsurface_Inputs!$C$22)-Subsurface_Inputs!$C$23*H154</f>
        <v/>
      </c>
      <c r="J154" s="47">
        <f>B154-I154</f>
        <v/>
      </c>
      <c r="K154" s="47">
        <f>Subsurface_Inputs!$C$25+Subsurface_Inputs!$C$26*SIN(2*PI()*(A154+Subsurface_Inputs!$C$27)/Subsurface_Inputs!$C$28)+Subsurface_Inputs!$C$29*COS(2*PI()*(A154-Subsurface_Inputs!$C$30)/Subsurface_Inputs!$C$31)-Subsurface_Inputs!$C$32*(B154-AVERAGE($B$2:$B$242))</f>
        <v/>
      </c>
      <c r="L154" s="47">
        <f>B154-K154</f>
        <v/>
      </c>
      <c r="M154" s="47">
        <f>2*Subsurface_Inputs!$C$34*F154/Subsurface_Inputs!$C$35*1000000</f>
        <v/>
      </c>
      <c r="N154" s="47">
        <f>2*Subsurface_Inputs!$C$34*I154/Subsurface_Inputs!$C$35*1000000</f>
        <v/>
      </c>
      <c r="O154" s="47">
        <f>2*Subsurface_Inputs!$C$34*K154/Subsurface_Inputs!$C$35*1000000</f>
        <v/>
      </c>
      <c r="P154" s="47">
        <f>Subsurface_Inputs!$C$37-2*Subsurface_Inputs!$C$36*(F154/1000)</f>
        <v/>
      </c>
      <c r="Q154" s="47">
        <f>Subsurface_Inputs!$C$38+Subsurface_Inputs!$C$39*H154-2*Subsurface_Inputs!$C$36*(I154/1000)</f>
        <v/>
      </c>
      <c r="R154" s="47">
        <f>Subsurface_Inputs!$C$40-2*Subsurface_Inputs!$C$36*(K154/1000)-Subsurface_Inputs!$C$41*ABS(L154-AVERAGE($L$2:$L$242))</f>
        <v/>
      </c>
      <c r="S154" s="47">
        <f>K154-AVERAGE($K$2:$K$242)</f>
        <v/>
      </c>
      <c r="T154" s="47">
        <f>K154/F154</f>
        <v/>
      </c>
      <c r="U154" s="50">
        <f>IF(H154&gt;=Subsurface_Inputs!$C$42,"Lens visible","Weak/no lens")</f>
        <v/>
      </c>
      <c r="V154" s="50">
        <f>IF(R154&gt;=W154,"Likely visible","Weak")</f>
        <v/>
      </c>
      <c r="W154" s="47">
        <f>Subsurface_Inputs!$C$43</f>
        <v/>
      </c>
      <c r="X154" s="47">
        <f>Q154-W154</f>
        <v/>
      </c>
      <c r="Y154" s="47">
        <f>R154-W154</f>
        <v/>
      </c>
      <c r="Z154" s="47">
        <f>MAX(Q154,R154)-W154</f>
        <v/>
      </c>
      <c r="AA154" s="47" t="n">
        <v>0</v>
      </c>
    </row>
    <row r="155">
      <c r="A155" s="47">
        <f>Model_Data!A155</f>
        <v/>
      </c>
      <c r="B155" s="47">
        <f>Model_Data!Y155</f>
        <v/>
      </c>
      <c r="C155" s="47">
        <f>Model_Data!X155</f>
        <v/>
      </c>
      <c r="D155" s="47">
        <f>Model_Data!B155</f>
        <v/>
      </c>
      <c r="E155" s="47">
        <f>Inputs!$C$6</f>
        <v/>
      </c>
      <c r="F155" s="47">
        <f>Subsurface_Inputs!$C$5+Subsurface_Inputs!$C$6*SIN(2*PI()*(A155+Subsurface_Inputs!$C$7)/Subsurface_Inputs!$C$8)+Subsurface_Inputs!$C$9*COS(2*PI()*A155/Subsurface_Inputs!$C$10)+Subsurface_Inputs!$C$11*(B155-AVERAGE($B$2:$B$242))</f>
        <v/>
      </c>
      <c r="G155" s="47">
        <f>B155-F155</f>
        <v/>
      </c>
      <c r="H155" s="47">
        <f>MIN(1,MAX(0,Subsurface_Inputs!$C$13*EXP(-0.5*((A155-Subsurface_Inputs!$C$14)/Subsurface_Inputs!$C$15)^2)+Subsurface_Inputs!$C$16*EXP(-0.5*((A155-Subsurface_Inputs!$C$17)/Subsurface_Inputs!$C$18)^2)))</f>
        <v/>
      </c>
      <c r="I155" s="47">
        <f>Subsurface_Inputs!$C$19+Subsurface_Inputs!$C$20*SIN(2*PI()*(A155-Subsurface_Inputs!$C$21)/Subsurface_Inputs!$C$22)-Subsurface_Inputs!$C$23*H155</f>
        <v/>
      </c>
      <c r="J155" s="47">
        <f>B155-I155</f>
        <v/>
      </c>
      <c r="K155" s="47">
        <f>Subsurface_Inputs!$C$25+Subsurface_Inputs!$C$26*SIN(2*PI()*(A155+Subsurface_Inputs!$C$27)/Subsurface_Inputs!$C$28)+Subsurface_Inputs!$C$29*COS(2*PI()*(A155-Subsurface_Inputs!$C$30)/Subsurface_Inputs!$C$31)-Subsurface_Inputs!$C$32*(B155-AVERAGE($B$2:$B$242))</f>
        <v/>
      </c>
      <c r="L155" s="47">
        <f>B155-K155</f>
        <v/>
      </c>
      <c r="M155" s="47">
        <f>2*Subsurface_Inputs!$C$34*F155/Subsurface_Inputs!$C$35*1000000</f>
        <v/>
      </c>
      <c r="N155" s="47">
        <f>2*Subsurface_Inputs!$C$34*I155/Subsurface_Inputs!$C$35*1000000</f>
        <v/>
      </c>
      <c r="O155" s="47">
        <f>2*Subsurface_Inputs!$C$34*K155/Subsurface_Inputs!$C$35*1000000</f>
        <v/>
      </c>
      <c r="P155" s="47">
        <f>Subsurface_Inputs!$C$37-2*Subsurface_Inputs!$C$36*(F155/1000)</f>
        <v/>
      </c>
      <c r="Q155" s="47">
        <f>Subsurface_Inputs!$C$38+Subsurface_Inputs!$C$39*H155-2*Subsurface_Inputs!$C$36*(I155/1000)</f>
        <v/>
      </c>
      <c r="R155" s="47">
        <f>Subsurface_Inputs!$C$40-2*Subsurface_Inputs!$C$36*(K155/1000)-Subsurface_Inputs!$C$41*ABS(L155-AVERAGE($L$2:$L$242))</f>
        <v/>
      </c>
      <c r="S155" s="47">
        <f>K155-AVERAGE($K$2:$K$242)</f>
        <v/>
      </c>
      <c r="T155" s="47">
        <f>K155/F155</f>
        <v/>
      </c>
      <c r="U155" s="50">
        <f>IF(H155&gt;=Subsurface_Inputs!$C$42,"Lens visible","Weak/no lens")</f>
        <v/>
      </c>
      <c r="V155" s="50">
        <f>IF(R155&gt;=W155,"Likely visible","Weak")</f>
        <v/>
      </c>
      <c r="W155" s="47">
        <f>Subsurface_Inputs!$C$43</f>
        <v/>
      </c>
      <c r="X155" s="47">
        <f>Q155-W155</f>
        <v/>
      </c>
      <c r="Y155" s="47">
        <f>R155-W155</f>
        <v/>
      </c>
      <c r="Z155" s="47">
        <f>MAX(Q155,R155)-W155</f>
        <v/>
      </c>
      <c r="AA155" s="47" t="n">
        <v>0</v>
      </c>
    </row>
    <row r="156">
      <c r="A156" s="47">
        <f>Model_Data!A156</f>
        <v/>
      </c>
      <c r="B156" s="47">
        <f>Model_Data!Y156</f>
        <v/>
      </c>
      <c r="C156" s="47">
        <f>Model_Data!X156</f>
        <v/>
      </c>
      <c r="D156" s="47">
        <f>Model_Data!B156</f>
        <v/>
      </c>
      <c r="E156" s="47">
        <f>Inputs!$C$6</f>
        <v/>
      </c>
      <c r="F156" s="47">
        <f>Subsurface_Inputs!$C$5+Subsurface_Inputs!$C$6*SIN(2*PI()*(A156+Subsurface_Inputs!$C$7)/Subsurface_Inputs!$C$8)+Subsurface_Inputs!$C$9*COS(2*PI()*A156/Subsurface_Inputs!$C$10)+Subsurface_Inputs!$C$11*(B156-AVERAGE($B$2:$B$242))</f>
        <v/>
      </c>
      <c r="G156" s="47">
        <f>B156-F156</f>
        <v/>
      </c>
      <c r="H156" s="47">
        <f>MIN(1,MAX(0,Subsurface_Inputs!$C$13*EXP(-0.5*((A156-Subsurface_Inputs!$C$14)/Subsurface_Inputs!$C$15)^2)+Subsurface_Inputs!$C$16*EXP(-0.5*((A156-Subsurface_Inputs!$C$17)/Subsurface_Inputs!$C$18)^2)))</f>
        <v/>
      </c>
      <c r="I156" s="47">
        <f>Subsurface_Inputs!$C$19+Subsurface_Inputs!$C$20*SIN(2*PI()*(A156-Subsurface_Inputs!$C$21)/Subsurface_Inputs!$C$22)-Subsurface_Inputs!$C$23*H156</f>
        <v/>
      </c>
      <c r="J156" s="47">
        <f>B156-I156</f>
        <v/>
      </c>
      <c r="K156" s="47">
        <f>Subsurface_Inputs!$C$25+Subsurface_Inputs!$C$26*SIN(2*PI()*(A156+Subsurface_Inputs!$C$27)/Subsurface_Inputs!$C$28)+Subsurface_Inputs!$C$29*COS(2*PI()*(A156-Subsurface_Inputs!$C$30)/Subsurface_Inputs!$C$31)-Subsurface_Inputs!$C$32*(B156-AVERAGE($B$2:$B$242))</f>
        <v/>
      </c>
      <c r="L156" s="47">
        <f>B156-K156</f>
        <v/>
      </c>
      <c r="M156" s="47">
        <f>2*Subsurface_Inputs!$C$34*F156/Subsurface_Inputs!$C$35*1000000</f>
        <v/>
      </c>
      <c r="N156" s="47">
        <f>2*Subsurface_Inputs!$C$34*I156/Subsurface_Inputs!$C$35*1000000</f>
        <v/>
      </c>
      <c r="O156" s="47">
        <f>2*Subsurface_Inputs!$C$34*K156/Subsurface_Inputs!$C$35*1000000</f>
        <v/>
      </c>
      <c r="P156" s="47">
        <f>Subsurface_Inputs!$C$37-2*Subsurface_Inputs!$C$36*(F156/1000)</f>
        <v/>
      </c>
      <c r="Q156" s="47">
        <f>Subsurface_Inputs!$C$38+Subsurface_Inputs!$C$39*H156-2*Subsurface_Inputs!$C$36*(I156/1000)</f>
        <v/>
      </c>
      <c r="R156" s="47">
        <f>Subsurface_Inputs!$C$40-2*Subsurface_Inputs!$C$36*(K156/1000)-Subsurface_Inputs!$C$41*ABS(L156-AVERAGE($L$2:$L$242))</f>
        <v/>
      </c>
      <c r="S156" s="47">
        <f>K156-AVERAGE($K$2:$K$242)</f>
        <v/>
      </c>
      <c r="T156" s="47">
        <f>K156/F156</f>
        <v/>
      </c>
      <c r="U156" s="50">
        <f>IF(H156&gt;=Subsurface_Inputs!$C$42,"Lens visible","Weak/no lens")</f>
        <v/>
      </c>
      <c r="V156" s="50">
        <f>IF(R156&gt;=W156,"Likely visible","Weak")</f>
        <v/>
      </c>
      <c r="W156" s="47">
        <f>Subsurface_Inputs!$C$43</f>
        <v/>
      </c>
      <c r="X156" s="47">
        <f>Q156-W156</f>
        <v/>
      </c>
      <c r="Y156" s="47">
        <f>R156-W156</f>
        <v/>
      </c>
      <c r="Z156" s="47">
        <f>MAX(Q156,R156)-W156</f>
        <v/>
      </c>
      <c r="AA156" s="47" t="n">
        <v>0</v>
      </c>
    </row>
    <row r="157">
      <c r="A157" s="47">
        <f>Model_Data!A157</f>
        <v/>
      </c>
      <c r="B157" s="47">
        <f>Model_Data!Y157</f>
        <v/>
      </c>
      <c r="C157" s="47">
        <f>Model_Data!X157</f>
        <v/>
      </c>
      <c r="D157" s="47">
        <f>Model_Data!B157</f>
        <v/>
      </c>
      <c r="E157" s="47">
        <f>Inputs!$C$6</f>
        <v/>
      </c>
      <c r="F157" s="47">
        <f>Subsurface_Inputs!$C$5+Subsurface_Inputs!$C$6*SIN(2*PI()*(A157+Subsurface_Inputs!$C$7)/Subsurface_Inputs!$C$8)+Subsurface_Inputs!$C$9*COS(2*PI()*A157/Subsurface_Inputs!$C$10)+Subsurface_Inputs!$C$11*(B157-AVERAGE($B$2:$B$242))</f>
        <v/>
      </c>
      <c r="G157" s="47">
        <f>B157-F157</f>
        <v/>
      </c>
      <c r="H157" s="47">
        <f>MIN(1,MAX(0,Subsurface_Inputs!$C$13*EXP(-0.5*((A157-Subsurface_Inputs!$C$14)/Subsurface_Inputs!$C$15)^2)+Subsurface_Inputs!$C$16*EXP(-0.5*((A157-Subsurface_Inputs!$C$17)/Subsurface_Inputs!$C$18)^2)))</f>
        <v/>
      </c>
      <c r="I157" s="47">
        <f>Subsurface_Inputs!$C$19+Subsurface_Inputs!$C$20*SIN(2*PI()*(A157-Subsurface_Inputs!$C$21)/Subsurface_Inputs!$C$22)-Subsurface_Inputs!$C$23*H157</f>
        <v/>
      </c>
      <c r="J157" s="47">
        <f>B157-I157</f>
        <v/>
      </c>
      <c r="K157" s="47">
        <f>Subsurface_Inputs!$C$25+Subsurface_Inputs!$C$26*SIN(2*PI()*(A157+Subsurface_Inputs!$C$27)/Subsurface_Inputs!$C$28)+Subsurface_Inputs!$C$29*COS(2*PI()*(A157-Subsurface_Inputs!$C$30)/Subsurface_Inputs!$C$31)-Subsurface_Inputs!$C$32*(B157-AVERAGE($B$2:$B$242))</f>
        <v/>
      </c>
      <c r="L157" s="47">
        <f>B157-K157</f>
        <v/>
      </c>
      <c r="M157" s="47">
        <f>2*Subsurface_Inputs!$C$34*F157/Subsurface_Inputs!$C$35*1000000</f>
        <v/>
      </c>
      <c r="N157" s="47">
        <f>2*Subsurface_Inputs!$C$34*I157/Subsurface_Inputs!$C$35*1000000</f>
        <v/>
      </c>
      <c r="O157" s="47">
        <f>2*Subsurface_Inputs!$C$34*K157/Subsurface_Inputs!$C$35*1000000</f>
        <v/>
      </c>
      <c r="P157" s="47">
        <f>Subsurface_Inputs!$C$37-2*Subsurface_Inputs!$C$36*(F157/1000)</f>
        <v/>
      </c>
      <c r="Q157" s="47">
        <f>Subsurface_Inputs!$C$38+Subsurface_Inputs!$C$39*H157-2*Subsurface_Inputs!$C$36*(I157/1000)</f>
        <v/>
      </c>
      <c r="R157" s="47">
        <f>Subsurface_Inputs!$C$40-2*Subsurface_Inputs!$C$36*(K157/1000)-Subsurface_Inputs!$C$41*ABS(L157-AVERAGE($L$2:$L$242))</f>
        <v/>
      </c>
      <c r="S157" s="47">
        <f>K157-AVERAGE($K$2:$K$242)</f>
        <v/>
      </c>
      <c r="T157" s="47">
        <f>K157/F157</f>
        <v/>
      </c>
      <c r="U157" s="50">
        <f>IF(H157&gt;=Subsurface_Inputs!$C$42,"Lens visible","Weak/no lens")</f>
        <v/>
      </c>
      <c r="V157" s="50">
        <f>IF(R157&gt;=W157,"Likely visible","Weak")</f>
        <v/>
      </c>
      <c r="W157" s="47">
        <f>Subsurface_Inputs!$C$43</f>
        <v/>
      </c>
      <c r="X157" s="47">
        <f>Q157-W157</f>
        <v/>
      </c>
      <c r="Y157" s="47">
        <f>R157-W157</f>
        <v/>
      </c>
      <c r="Z157" s="47">
        <f>MAX(Q157,R157)-W157</f>
        <v/>
      </c>
      <c r="AA157" s="47" t="n">
        <v>0</v>
      </c>
    </row>
    <row r="158">
      <c r="A158" s="47">
        <f>Model_Data!A158</f>
        <v/>
      </c>
      <c r="B158" s="47">
        <f>Model_Data!Y158</f>
        <v/>
      </c>
      <c r="C158" s="47">
        <f>Model_Data!X158</f>
        <v/>
      </c>
      <c r="D158" s="47">
        <f>Model_Data!B158</f>
        <v/>
      </c>
      <c r="E158" s="47">
        <f>Inputs!$C$6</f>
        <v/>
      </c>
      <c r="F158" s="47">
        <f>Subsurface_Inputs!$C$5+Subsurface_Inputs!$C$6*SIN(2*PI()*(A158+Subsurface_Inputs!$C$7)/Subsurface_Inputs!$C$8)+Subsurface_Inputs!$C$9*COS(2*PI()*A158/Subsurface_Inputs!$C$10)+Subsurface_Inputs!$C$11*(B158-AVERAGE($B$2:$B$242))</f>
        <v/>
      </c>
      <c r="G158" s="47">
        <f>B158-F158</f>
        <v/>
      </c>
      <c r="H158" s="47">
        <f>MIN(1,MAX(0,Subsurface_Inputs!$C$13*EXP(-0.5*((A158-Subsurface_Inputs!$C$14)/Subsurface_Inputs!$C$15)^2)+Subsurface_Inputs!$C$16*EXP(-0.5*((A158-Subsurface_Inputs!$C$17)/Subsurface_Inputs!$C$18)^2)))</f>
        <v/>
      </c>
      <c r="I158" s="47">
        <f>Subsurface_Inputs!$C$19+Subsurface_Inputs!$C$20*SIN(2*PI()*(A158-Subsurface_Inputs!$C$21)/Subsurface_Inputs!$C$22)-Subsurface_Inputs!$C$23*H158</f>
        <v/>
      </c>
      <c r="J158" s="47">
        <f>B158-I158</f>
        <v/>
      </c>
      <c r="K158" s="47">
        <f>Subsurface_Inputs!$C$25+Subsurface_Inputs!$C$26*SIN(2*PI()*(A158+Subsurface_Inputs!$C$27)/Subsurface_Inputs!$C$28)+Subsurface_Inputs!$C$29*COS(2*PI()*(A158-Subsurface_Inputs!$C$30)/Subsurface_Inputs!$C$31)-Subsurface_Inputs!$C$32*(B158-AVERAGE($B$2:$B$242))</f>
        <v/>
      </c>
      <c r="L158" s="47">
        <f>B158-K158</f>
        <v/>
      </c>
      <c r="M158" s="47">
        <f>2*Subsurface_Inputs!$C$34*F158/Subsurface_Inputs!$C$35*1000000</f>
        <v/>
      </c>
      <c r="N158" s="47">
        <f>2*Subsurface_Inputs!$C$34*I158/Subsurface_Inputs!$C$35*1000000</f>
        <v/>
      </c>
      <c r="O158" s="47">
        <f>2*Subsurface_Inputs!$C$34*K158/Subsurface_Inputs!$C$35*1000000</f>
        <v/>
      </c>
      <c r="P158" s="47">
        <f>Subsurface_Inputs!$C$37-2*Subsurface_Inputs!$C$36*(F158/1000)</f>
        <v/>
      </c>
      <c r="Q158" s="47">
        <f>Subsurface_Inputs!$C$38+Subsurface_Inputs!$C$39*H158-2*Subsurface_Inputs!$C$36*(I158/1000)</f>
        <v/>
      </c>
      <c r="R158" s="47">
        <f>Subsurface_Inputs!$C$40-2*Subsurface_Inputs!$C$36*(K158/1000)-Subsurface_Inputs!$C$41*ABS(L158-AVERAGE($L$2:$L$242))</f>
        <v/>
      </c>
      <c r="S158" s="47">
        <f>K158-AVERAGE($K$2:$K$242)</f>
        <v/>
      </c>
      <c r="T158" s="47">
        <f>K158/F158</f>
        <v/>
      </c>
      <c r="U158" s="50">
        <f>IF(H158&gt;=Subsurface_Inputs!$C$42,"Lens visible","Weak/no lens")</f>
        <v/>
      </c>
      <c r="V158" s="50">
        <f>IF(R158&gt;=W158,"Likely visible","Weak")</f>
        <v/>
      </c>
      <c r="W158" s="47">
        <f>Subsurface_Inputs!$C$43</f>
        <v/>
      </c>
      <c r="X158" s="47">
        <f>Q158-W158</f>
        <v/>
      </c>
      <c r="Y158" s="47">
        <f>R158-W158</f>
        <v/>
      </c>
      <c r="Z158" s="47">
        <f>MAX(Q158,R158)-W158</f>
        <v/>
      </c>
      <c r="AA158" s="47" t="n">
        <v>0</v>
      </c>
    </row>
    <row r="159">
      <c r="A159" s="47">
        <f>Model_Data!A159</f>
        <v/>
      </c>
      <c r="B159" s="47">
        <f>Model_Data!Y159</f>
        <v/>
      </c>
      <c r="C159" s="47">
        <f>Model_Data!X159</f>
        <v/>
      </c>
      <c r="D159" s="47">
        <f>Model_Data!B159</f>
        <v/>
      </c>
      <c r="E159" s="47">
        <f>Inputs!$C$6</f>
        <v/>
      </c>
      <c r="F159" s="47">
        <f>Subsurface_Inputs!$C$5+Subsurface_Inputs!$C$6*SIN(2*PI()*(A159+Subsurface_Inputs!$C$7)/Subsurface_Inputs!$C$8)+Subsurface_Inputs!$C$9*COS(2*PI()*A159/Subsurface_Inputs!$C$10)+Subsurface_Inputs!$C$11*(B159-AVERAGE($B$2:$B$242))</f>
        <v/>
      </c>
      <c r="G159" s="47">
        <f>B159-F159</f>
        <v/>
      </c>
      <c r="H159" s="47">
        <f>MIN(1,MAX(0,Subsurface_Inputs!$C$13*EXP(-0.5*((A159-Subsurface_Inputs!$C$14)/Subsurface_Inputs!$C$15)^2)+Subsurface_Inputs!$C$16*EXP(-0.5*((A159-Subsurface_Inputs!$C$17)/Subsurface_Inputs!$C$18)^2)))</f>
        <v/>
      </c>
      <c r="I159" s="47">
        <f>Subsurface_Inputs!$C$19+Subsurface_Inputs!$C$20*SIN(2*PI()*(A159-Subsurface_Inputs!$C$21)/Subsurface_Inputs!$C$22)-Subsurface_Inputs!$C$23*H159</f>
        <v/>
      </c>
      <c r="J159" s="47">
        <f>B159-I159</f>
        <v/>
      </c>
      <c r="K159" s="47">
        <f>Subsurface_Inputs!$C$25+Subsurface_Inputs!$C$26*SIN(2*PI()*(A159+Subsurface_Inputs!$C$27)/Subsurface_Inputs!$C$28)+Subsurface_Inputs!$C$29*COS(2*PI()*(A159-Subsurface_Inputs!$C$30)/Subsurface_Inputs!$C$31)-Subsurface_Inputs!$C$32*(B159-AVERAGE($B$2:$B$242))</f>
        <v/>
      </c>
      <c r="L159" s="47">
        <f>B159-K159</f>
        <v/>
      </c>
      <c r="M159" s="47">
        <f>2*Subsurface_Inputs!$C$34*F159/Subsurface_Inputs!$C$35*1000000</f>
        <v/>
      </c>
      <c r="N159" s="47">
        <f>2*Subsurface_Inputs!$C$34*I159/Subsurface_Inputs!$C$35*1000000</f>
        <v/>
      </c>
      <c r="O159" s="47">
        <f>2*Subsurface_Inputs!$C$34*K159/Subsurface_Inputs!$C$35*1000000</f>
        <v/>
      </c>
      <c r="P159" s="47">
        <f>Subsurface_Inputs!$C$37-2*Subsurface_Inputs!$C$36*(F159/1000)</f>
        <v/>
      </c>
      <c r="Q159" s="47">
        <f>Subsurface_Inputs!$C$38+Subsurface_Inputs!$C$39*H159-2*Subsurface_Inputs!$C$36*(I159/1000)</f>
        <v/>
      </c>
      <c r="R159" s="47">
        <f>Subsurface_Inputs!$C$40-2*Subsurface_Inputs!$C$36*(K159/1000)-Subsurface_Inputs!$C$41*ABS(L159-AVERAGE($L$2:$L$242))</f>
        <v/>
      </c>
      <c r="S159" s="47">
        <f>K159-AVERAGE($K$2:$K$242)</f>
        <v/>
      </c>
      <c r="T159" s="47">
        <f>K159/F159</f>
        <v/>
      </c>
      <c r="U159" s="50">
        <f>IF(H159&gt;=Subsurface_Inputs!$C$42,"Lens visible","Weak/no lens")</f>
        <v/>
      </c>
      <c r="V159" s="50">
        <f>IF(R159&gt;=W159,"Likely visible","Weak")</f>
        <v/>
      </c>
      <c r="W159" s="47">
        <f>Subsurface_Inputs!$C$43</f>
        <v/>
      </c>
      <c r="X159" s="47">
        <f>Q159-W159</f>
        <v/>
      </c>
      <c r="Y159" s="47">
        <f>R159-W159</f>
        <v/>
      </c>
      <c r="Z159" s="47">
        <f>MAX(Q159,R159)-W159</f>
        <v/>
      </c>
      <c r="AA159" s="47" t="n">
        <v>0</v>
      </c>
    </row>
    <row r="160">
      <c r="A160" s="47">
        <f>Model_Data!A160</f>
        <v/>
      </c>
      <c r="B160" s="47">
        <f>Model_Data!Y160</f>
        <v/>
      </c>
      <c r="C160" s="47">
        <f>Model_Data!X160</f>
        <v/>
      </c>
      <c r="D160" s="47">
        <f>Model_Data!B160</f>
        <v/>
      </c>
      <c r="E160" s="47">
        <f>Inputs!$C$6</f>
        <v/>
      </c>
      <c r="F160" s="47">
        <f>Subsurface_Inputs!$C$5+Subsurface_Inputs!$C$6*SIN(2*PI()*(A160+Subsurface_Inputs!$C$7)/Subsurface_Inputs!$C$8)+Subsurface_Inputs!$C$9*COS(2*PI()*A160/Subsurface_Inputs!$C$10)+Subsurface_Inputs!$C$11*(B160-AVERAGE($B$2:$B$242))</f>
        <v/>
      </c>
      <c r="G160" s="47">
        <f>B160-F160</f>
        <v/>
      </c>
      <c r="H160" s="47">
        <f>MIN(1,MAX(0,Subsurface_Inputs!$C$13*EXP(-0.5*((A160-Subsurface_Inputs!$C$14)/Subsurface_Inputs!$C$15)^2)+Subsurface_Inputs!$C$16*EXP(-0.5*((A160-Subsurface_Inputs!$C$17)/Subsurface_Inputs!$C$18)^2)))</f>
        <v/>
      </c>
      <c r="I160" s="47">
        <f>Subsurface_Inputs!$C$19+Subsurface_Inputs!$C$20*SIN(2*PI()*(A160-Subsurface_Inputs!$C$21)/Subsurface_Inputs!$C$22)-Subsurface_Inputs!$C$23*H160</f>
        <v/>
      </c>
      <c r="J160" s="47">
        <f>B160-I160</f>
        <v/>
      </c>
      <c r="K160" s="47">
        <f>Subsurface_Inputs!$C$25+Subsurface_Inputs!$C$26*SIN(2*PI()*(A160+Subsurface_Inputs!$C$27)/Subsurface_Inputs!$C$28)+Subsurface_Inputs!$C$29*COS(2*PI()*(A160-Subsurface_Inputs!$C$30)/Subsurface_Inputs!$C$31)-Subsurface_Inputs!$C$32*(B160-AVERAGE($B$2:$B$242))</f>
        <v/>
      </c>
      <c r="L160" s="47">
        <f>B160-K160</f>
        <v/>
      </c>
      <c r="M160" s="47">
        <f>2*Subsurface_Inputs!$C$34*F160/Subsurface_Inputs!$C$35*1000000</f>
        <v/>
      </c>
      <c r="N160" s="47">
        <f>2*Subsurface_Inputs!$C$34*I160/Subsurface_Inputs!$C$35*1000000</f>
        <v/>
      </c>
      <c r="O160" s="47">
        <f>2*Subsurface_Inputs!$C$34*K160/Subsurface_Inputs!$C$35*1000000</f>
        <v/>
      </c>
      <c r="P160" s="47">
        <f>Subsurface_Inputs!$C$37-2*Subsurface_Inputs!$C$36*(F160/1000)</f>
        <v/>
      </c>
      <c r="Q160" s="47">
        <f>Subsurface_Inputs!$C$38+Subsurface_Inputs!$C$39*H160-2*Subsurface_Inputs!$C$36*(I160/1000)</f>
        <v/>
      </c>
      <c r="R160" s="47">
        <f>Subsurface_Inputs!$C$40-2*Subsurface_Inputs!$C$36*(K160/1000)-Subsurface_Inputs!$C$41*ABS(L160-AVERAGE($L$2:$L$242))</f>
        <v/>
      </c>
      <c r="S160" s="47">
        <f>K160-AVERAGE($K$2:$K$242)</f>
        <v/>
      </c>
      <c r="T160" s="47">
        <f>K160/F160</f>
        <v/>
      </c>
      <c r="U160" s="50">
        <f>IF(H160&gt;=Subsurface_Inputs!$C$42,"Lens visible","Weak/no lens")</f>
        <v/>
      </c>
      <c r="V160" s="50">
        <f>IF(R160&gt;=W160,"Likely visible","Weak")</f>
        <v/>
      </c>
      <c r="W160" s="47">
        <f>Subsurface_Inputs!$C$43</f>
        <v/>
      </c>
      <c r="X160" s="47">
        <f>Q160-W160</f>
        <v/>
      </c>
      <c r="Y160" s="47">
        <f>R160-W160</f>
        <v/>
      </c>
      <c r="Z160" s="47">
        <f>MAX(Q160,R160)-W160</f>
        <v/>
      </c>
      <c r="AA160" s="47" t="n">
        <v>0</v>
      </c>
    </row>
    <row r="161">
      <c r="A161" s="47">
        <f>Model_Data!A161</f>
        <v/>
      </c>
      <c r="B161" s="47">
        <f>Model_Data!Y161</f>
        <v/>
      </c>
      <c r="C161" s="47">
        <f>Model_Data!X161</f>
        <v/>
      </c>
      <c r="D161" s="47">
        <f>Model_Data!B161</f>
        <v/>
      </c>
      <c r="E161" s="47">
        <f>Inputs!$C$6</f>
        <v/>
      </c>
      <c r="F161" s="47">
        <f>Subsurface_Inputs!$C$5+Subsurface_Inputs!$C$6*SIN(2*PI()*(A161+Subsurface_Inputs!$C$7)/Subsurface_Inputs!$C$8)+Subsurface_Inputs!$C$9*COS(2*PI()*A161/Subsurface_Inputs!$C$10)+Subsurface_Inputs!$C$11*(B161-AVERAGE($B$2:$B$242))</f>
        <v/>
      </c>
      <c r="G161" s="47">
        <f>B161-F161</f>
        <v/>
      </c>
      <c r="H161" s="47">
        <f>MIN(1,MAX(0,Subsurface_Inputs!$C$13*EXP(-0.5*((A161-Subsurface_Inputs!$C$14)/Subsurface_Inputs!$C$15)^2)+Subsurface_Inputs!$C$16*EXP(-0.5*((A161-Subsurface_Inputs!$C$17)/Subsurface_Inputs!$C$18)^2)))</f>
        <v/>
      </c>
      <c r="I161" s="47">
        <f>Subsurface_Inputs!$C$19+Subsurface_Inputs!$C$20*SIN(2*PI()*(A161-Subsurface_Inputs!$C$21)/Subsurface_Inputs!$C$22)-Subsurface_Inputs!$C$23*H161</f>
        <v/>
      </c>
      <c r="J161" s="47">
        <f>B161-I161</f>
        <v/>
      </c>
      <c r="K161" s="47">
        <f>Subsurface_Inputs!$C$25+Subsurface_Inputs!$C$26*SIN(2*PI()*(A161+Subsurface_Inputs!$C$27)/Subsurface_Inputs!$C$28)+Subsurface_Inputs!$C$29*COS(2*PI()*(A161-Subsurface_Inputs!$C$30)/Subsurface_Inputs!$C$31)-Subsurface_Inputs!$C$32*(B161-AVERAGE($B$2:$B$242))</f>
        <v/>
      </c>
      <c r="L161" s="47">
        <f>B161-K161</f>
        <v/>
      </c>
      <c r="M161" s="47">
        <f>2*Subsurface_Inputs!$C$34*F161/Subsurface_Inputs!$C$35*1000000</f>
        <v/>
      </c>
      <c r="N161" s="47">
        <f>2*Subsurface_Inputs!$C$34*I161/Subsurface_Inputs!$C$35*1000000</f>
        <v/>
      </c>
      <c r="O161" s="47">
        <f>2*Subsurface_Inputs!$C$34*K161/Subsurface_Inputs!$C$35*1000000</f>
        <v/>
      </c>
      <c r="P161" s="47">
        <f>Subsurface_Inputs!$C$37-2*Subsurface_Inputs!$C$36*(F161/1000)</f>
        <v/>
      </c>
      <c r="Q161" s="47">
        <f>Subsurface_Inputs!$C$38+Subsurface_Inputs!$C$39*H161-2*Subsurface_Inputs!$C$36*(I161/1000)</f>
        <v/>
      </c>
      <c r="R161" s="47">
        <f>Subsurface_Inputs!$C$40-2*Subsurface_Inputs!$C$36*(K161/1000)-Subsurface_Inputs!$C$41*ABS(L161-AVERAGE($L$2:$L$242))</f>
        <v/>
      </c>
      <c r="S161" s="47">
        <f>K161-AVERAGE($K$2:$K$242)</f>
        <v/>
      </c>
      <c r="T161" s="47">
        <f>K161/F161</f>
        <v/>
      </c>
      <c r="U161" s="50">
        <f>IF(H161&gt;=Subsurface_Inputs!$C$42,"Lens visible","Weak/no lens")</f>
        <v/>
      </c>
      <c r="V161" s="50">
        <f>IF(R161&gt;=W161,"Likely visible","Weak")</f>
        <v/>
      </c>
      <c r="W161" s="47">
        <f>Subsurface_Inputs!$C$43</f>
        <v/>
      </c>
      <c r="X161" s="47">
        <f>Q161-W161</f>
        <v/>
      </c>
      <c r="Y161" s="47">
        <f>R161-W161</f>
        <v/>
      </c>
      <c r="Z161" s="47">
        <f>MAX(Q161,R161)-W161</f>
        <v/>
      </c>
      <c r="AA161" s="47" t="n">
        <v>0</v>
      </c>
    </row>
    <row r="162">
      <c r="A162" s="47">
        <f>Model_Data!A162</f>
        <v/>
      </c>
      <c r="B162" s="47">
        <f>Model_Data!Y162</f>
        <v/>
      </c>
      <c r="C162" s="47">
        <f>Model_Data!X162</f>
        <v/>
      </c>
      <c r="D162" s="47">
        <f>Model_Data!B162</f>
        <v/>
      </c>
      <c r="E162" s="47">
        <f>Inputs!$C$6</f>
        <v/>
      </c>
      <c r="F162" s="47">
        <f>Subsurface_Inputs!$C$5+Subsurface_Inputs!$C$6*SIN(2*PI()*(A162+Subsurface_Inputs!$C$7)/Subsurface_Inputs!$C$8)+Subsurface_Inputs!$C$9*COS(2*PI()*A162/Subsurface_Inputs!$C$10)+Subsurface_Inputs!$C$11*(B162-AVERAGE($B$2:$B$242))</f>
        <v/>
      </c>
      <c r="G162" s="47">
        <f>B162-F162</f>
        <v/>
      </c>
      <c r="H162" s="47">
        <f>MIN(1,MAX(0,Subsurface_Inputs!$C$13*EXP(-0.5*((A162-Subsurface_Inputs!$C$14)/Subsurface_Inputs!$C$15)^2)+Subsurface_Inputs!$C$16*EXP(-0.5*((A162-Subsurface_Inputs!$C$17)/Subsurface_Inputs!$C$18)^2)))</f>
        <v/>
      </c>
      <c r="I162" s="47">
        <f>Subsurface_Inputs!$C$19+Subsurface_Inputs!$C$20*SIN(2*PI()*(A162-Subsurface_Inputs!$C$21)/Subsurface_Inputs!$C$22)-Subsurface_Inputs!$C$23*H162</f>
        <v/>
      </c>
      <c r="J162" s="47">
        <f>B162-I162</f>
        <v/>
      </c>
      <c r="K162" s="47">
        <f>Subsurface_Inputs!$C$25+Subsurface_Inputs!$C$26*SIN(2*PI()*(A162+Subsurface_Inputs!$C$27)/Subsurface_Inputs!$C$28)+Subsurface_Inputs!$C$29*COS(2*PI()*(A162-Subsurface_Inputs!$C$30)/Subsurface_Inputs!$C$31)-Subsurface_Inputs!$C$32*(B162-AVERAGE($B$2:$B$242))</f>
        <v/>
      </c>
      <c r="L162" s="47">
        <f>B162-K162</f>
        <v/>
      </c>
      <c r="M162" s="47">
        <f>2*Subsurface_Inputs!$C$34*F162/Subsurface_Inputs!$C$35*1000000</f>
        <v/>
      </c>
      <c r="N162" s="47">
        <f>2*Subsurface_Inputs!$C$34*I162/Subsurface_Inputs!$C$35*1000000</f>
        <v/>
      </c>
      <c r="O162" s="47">
        <f>2*Subsurface_Inputs!$C$34*K162/Subsurface_Inputs!$C$35*1000000</f>
        <v/>
      </c>
      <c r="P162" s="47">
        <f>Subsurface_Inputs!$C$37-2*Subsurface_Inputs!$C$36*(F162/1000)</f>
        <v/>
      </c>
      <c r="Q162" s="47">
        <f>Subsurface_Inputs!$C$38+Subsurface_Inputs!$C$39*H162-2*Subsurface_Inputs!$C$36*(I162/1000)</f>
        <v/>
      </c>
      <c r="R162" s="47">
        <f>Subsurface_Inputs!$C$40-2*Subsurface_Inputs!$C$36*(K162/1000)-Subsurface_Inputs!$C$41*ABS(L162-AVERAGE($L$2:$L$242))</f>
        <v/>
      </c>
      <c r="S162" s="47">
        <f>K162-AVERAGE($K$2:$K$242)</f>
        <v/>
      </c>
      <c r="T162" s="47">
        <f>K162/F162</f>
        <v/>
      </c>
      <c r="U162" s="50">
        <f>IF(H162&gt;=Subsurface_Inputs!$C$42,"Lens visible","Weak/no lens")</f>
        <v/>
      </c>
      <c r="V162" s="50">
        <f>IF(R162&gt;=W162,"Likely visible","Weak")</f>
        <v/>
      </c>
      <c r="W162" s="47">
        <f>Subsurface_Inputs!$C$43</f>
        <v/>
      </c>
      <c r="X162" s="47">
        <f>Q162-W162</f>
        <v/>
      </c>
      <c r="Y162" s="47">
        <f>R162-W162</f>
        <v/>
      </c>
      <c r="Z162" s="47">
        <f>MAX(Q162,R162)-W162</f>
        <v/>
      </c>
      <c r="AA162" s="47" t="n">
        <v>0</v>
      </c>
    </row>
    <row r="163">
      <c r="A163" s="47">
        <f>Model_Data!A163</f>
        <v/>
      </c>
      <c r="B163" s="47">
        <f>Model_Data!Y163</f>
        <v/>
      </c>
      <c r="C163" s="47">
        <f>Model_Data!X163</f>
        <v/>
      </c>
      <c r="D163" s="47">
        <f>Model_Data!B163</f>
        <v/>
      </c>
      <c r="E163" s="47">
        <f>Inputs!$C$6</f>
        <v/>
      </c>
      <c r="F163" s="47">
        <f>Subsurface_Inputs!$C$5+Subsurface_Inputs!$C$6*SIN(2*PI()*(A163+Subsurface_Inputs!$C$7)/Subsurface_Inputs!$C$8)+Subsurface_Inputs!$C$9*COS(2*PI()*A163/Subsurface_Inputs!$C$10)+Subsurface_Inputs!$C$11*(B163-AVERAGE($B$2:$B$242))</f>
        <v/>
      </c>
      <c r="G163" s="47">
        <f>B163-F163</f>
        <v/>
      </c>
      <c r="H163" s="47">
        <f>MIN(1,MAX(0,Subsurface_Inputs!$C$13*EXP(-0.5*((A163-Subsurface_Inputs!$C$14)/Subsurface_Inputs!$C$15)^2)+Subsurface_Inputs!$C$16*EXP(-0.5*((A163-Subsurface_Inputs!$C$17)/Subsurface_Inputs!$C$18)^2)))</f>
        <v/>
      </c>
      <c r="I163" s="47">
        <f>Subsurface_Inputs!$C$19+Subsurface_Inputs!$C$20*SIN(2*PI()*(A163-Subsurface_Inputs!$C$21)/Subsurface_Inputs!$C$22)-Subsurface_Inputs!$C$23*H163</f>
        <v/>
      </c>
      <c r="J163" s="47">
        <f>B163-I163</f>
        <v/>
      </c>
      <c r="K163" s="47">
        <f>Subsurface_Inputs!$C$25+Subsurface_Inputs!$C$26*SIN(2*PI()*(A163+Subsurface_Inputs!$C$27)/Subsurface_Inputs!$C$28)+Subsurface_Inputs!$C$29*COS(2*PI()*(A163-Subsurface_Inputs!$C$30)/Subsurface_Inputs!$C$31)-Subsurface_Inputs!$C$32*(B163-AVERAGE($B$2:$B$242))</f>
        <v/>
      </c>
      <c r="L163" s="47">
        <f>B163-K163</f>
        <v/>
      </c>
      <c r="M163" s="47">
        <f>2*Subsurface_Inputs!$C$34*F163/Subsurface_Inputs!$C$35*1000000</f>
        <v/>
      </c>
      <c r="N163" s="47">
        <f>2*Subsurface_Inputs!$C$34*I163/Subsurface_Inputs!$C$35*1000000</f>
        <v/>
      </c>
      <c r="O163" s="47">
        <f>2*Subsurface_Inputs!$C$34*K163/Subsurface_Inputs!$C$35*1000000</f>
        <v/>
      </c>
      <c r="P163" s="47">
        <f>Subsurface_Inputs!$C$37-2*Subsurface_Inputs!$C$36*(F163/1000)</f>
        <v/>
      </c>
      <c r="Q163" s="47">
        <f>Subsurface_Inputs!$C$38+Subsurface_Inputs!$C$39*H163-2*Subsurface_Inputs!$C$36*(I163/1000)</f>
        <v/>
      </c>
      <c r="R163" s="47">
        <f>Subsurface_Inputs!$C$40-2*Subsurface_Inputs!$C$36*(K163/1000)-Subsurface_Inputs!$C$41*ABS(L163-AVERAGE($L$2:$L$242))</f>
        <v/>
      </c>
      <c r="S163" s="47">
        <f>K163-AVERAGE($K$2:$K$242)</f>
        <v/>
      </c>
      <c r="T163" s="47">
        <f>K163/F163</f>
        <v/>
      </c>
      <c r="U163" s="50">
        <f>IF(H163&gt;=Subsurface_Inputs!$C$42,"Lens visible","Weak/no lens")</f>
        <v/>
      </c>
      <c r="V163" s="50">
        <f>IF(R163&gt;=W163,"Likely visible","Weak")</f>
        <v/>
      </c>
      <c r="W163" s="47">
        <f>Subsurface_Inputs!$C$43</f>
        <v/>
      </c>
      <c r="X163" s="47">
        <f>Q163-W163</f>
        <v/>
      </c>
      <c r="Y163" s="47">
        <f>R163-W163</f>
        <v/>
      </c>
      <c r="Z163" s="47">
        <f>MAX(Q163,R163)-W163</f>
        <v/>
      </c>
      <c r="AA163" s="47" t="n">
        <v>0</v>
      </c>
    </row>
    <row r="164">
      <c r="A164" s="47">
        <f>Model_Data!A164</f>
        <v/>
      </c>
      <c r="B164" s="47">
        <f>Model_Data!Y164</f>
        <v/>
      </c>
      <c r="C164" s="47">
        <f>Model_Data!X164</f>
        <v/>
      </c>
      <c r="D164" s="47">
        <f>Model_Data!B164</f>
        <v/>
      </c>
      <c r="E164" s="47">
        <f>Inputs!$C$6</f>
        <v/>
      </c>
      <c r="F164" s="47">
        <f>Subsurface_Inputs!$C$5+Subsurface_Inputs!$C$6*SIN(2*PI()*(A164+Subsurface_Inputs!$C$7)/Subsurface_Inputs!$C$8)+Subsurface_Inputs!$C$9*COS(2*PI()*A164/Subsurface_Inputs!$C$10)+Subsurface_Inputs!$C$11*(B164-AVERAGE($B$2:$B$242))</f>
        <v/>
      </c>
      <c r="G164" s="47">
        <f>B164-F164</f>
        <v/>
      </c>
      <c r="H164" s="47">
        <f>MIN(1,MAX(0,Subsurface_Inputs!$C$13*EXP(-0.5*((A164-Subsurface_Inputs!$C$14)/Subsurface_Inputs!$C$15)^2)+Subsurface_Inputs!$C$16*EXP(-0.5*((A164-Subsurface_Inputs!$C$17)/Subsurface_Inputs!$C$18)^2)))</f>
        <v/>
      </c>
      <c r="I164" s="47">
        <f>Subsurface_Inputs!$C$19+Subsurface_Inputs!$C$20*SIN(2*PI()*(A164-Subsurface_Inputs!$C$21)/Subsurface_Inputs!$C$22)-Subsurface_Inputs!$C$23*H164</f>
        <v/>
      </c>
      <c r="J164" s="47">
        <f>B164-I164</f>
        <v/>
      </c>
      <c r="K164" s="47">
        <f>Subsurface_Inputs!$C$25+Subsurface_Inputs!$C$26*SIN(2*PI()*(A164+Subsurface_Inputs!$C$27)/Subsurface_Inputs!$C$28)+Subsurface_Inputs!$C$29*COS(2*PI()*(A164-Subsurface_Inputs!$C$30)/Subsurface_Inputs!$C$31)-Subsurface_Inputs!$C$32*(B164-AVERAGE($B$2:$B$242))</f>
        <v/>
      </c>
      <c r="L164" s="47">
        <f>B164-K164</f>
        <v/>
      </c>
      <c r="M164" s="47">
        <f>2*Subsurface_Inputs!$C$34*F164/Subsurface_Inputs!$C$35*1000000</f>
        <v/>
      </c>
      <c r="N164" s="47">
        <f>2*Subsurface_Inputs!$C$34*I164/Subsurface_Inputs!$C$35*1000000</f>
        <v/>
      </c>
      <c r="O164" s="47">
        <f>2*Subsurface_Inputs!$C$34*K164/Subsurface_Inputs!$C$35*1000000</f>
        <v/>
      </c>
      <c r="P164" s="47">
        <f>Subsurface_Inputs!$C$37-2*Subsurface_Inputs!$C$36*(F164/1000)</f>
        <v/>
      </c>
      <c r="Q164" s="47">
        <f>Subsurface_Inputs!$C$38+Subsurface_Inputs!$C$39*H164-2*Subsurface_Inputs!$C$36*(I164/1000)</f>
        <v/>
      </c>
      <c r="R164" s="47">
        <f>Subsurface_Inputs!$C$40-2*Subsurface_Inputs!$C$36*(K164/1000)-Subsurface_Inputs!$C$41*ABS(L164-AVERAGE($L$2:$L$242))</f>
        <v/>
      </c>
      <c r="S164" s="47">
        <f>K164-AVERAGE($K$2:$K$242)</f>
        <v/>
      </c>
      <c r="T164" s="47">
        <f>K164/F164</f>
        <v/>
      </c>
      <c r="U164" s="50">
        <f>IF(H164&gt;=Subsurface_Inputs!$C$42,"Lens visible","Weak/no lens")</f>
        <v/>
      </c>
      <c r="V164" s="50">
        <f>IF(R164&gt;=W164,"Likely visible","Weak")</f>
        <v/>
      </c>
      <c r="W164" s="47">
        <f>Subsurface_Inputs!$C$43</f>
        <v/>
      </c>
      <c r="X164" s="47">
        <f>Q164-W164</f>
        <v/>
      </c>
      <c r="Y164" s="47">
        <f>R164-W164</f>
        <v/>
      </c>
      <c r="Z164" s="47">
        <f>MAX(Q164,R164)-W164</f>
        <v/>
      </c>
      <c r="AA164" s="47" t="n">
        <v>0</v>
      </c>
    </row>
    <row r="165">
      <c r="A165" s="47">
        <f>Model_Data!A165</f>
        <v/>
      </c>
      <c r="B165" s="47">
        <f>Model_Data!Y165</f>
        <v/>
      </c>
      <c r="C165" s="47">
        <f>Model_Data!X165</f>
        <v/>
      </c>
      <c r="D165" s="47">
        <f>Model_Data!B165</f>
        <v/>
      </c>
      <c r="E165" s="47">
        <f>Inputs!$C$6</f>
        <v/>
      </c>
      <c r="F165" s="47">
        <f>Subsurface_Inputs!$C$5+Subsurface_Inputs!$C$6*SIN(2*PI()*(A165+Subsurface_Inputs!$C$7)/Subsurface_Inputs!$C$8)+Subsurface_Inputs!$C$9*COS(2*PI()*A165/Subsurface_Inputs!$C$10)+Subsurface_Inputs!$C$11*(B165-AVERAGE($B$2:$B$242))</f>
        <v/>
      </c>
      <c r="G165" s="47">
        <f>B165-F165</f>
        <v/>
      </c>
      <c r="H165" s="47">
        <f>MIN(1,MAX(0,Subsurface_Inputs!$C$13*EXP(-0.5*((A165-Subsurface_Inputs!$C$14)/Subsurface_Inputs!$C$15)^2)+Subsurface_Inputs!$C$16*EXP(-0.5*((A165-Subsurface_Inputs!$C$17)/Subsurface_Inputs!$C$18)^2)))</f>
        <v/>
      </c>
      <c r="I165" s="47">
        <f>Subsurface_Inputs!$C$19+Subsurface_Inputs!$C$20*SIN(2*PI()*(A165-Subsurface_Inputs!$C$21)/Subsurface_Inputs!$C$22)-Subsurface_Inputs!$C$23*H165</f>
        <v/>
      </c>
      <c r="J165" s="47">
        <f>B165-I165</f>
        <v/>
      </c>
      <c r="K165" s="47">
        <f>Subsurface_Inputs!$C$25+Subsurface_Inputs!$C$26*SIN(2*PI()*(A165+Subsurface_Inputs!$C$27)/Subsurface_Inputs!$C$28)+Subsurface_Inputs!$C$29*COS(2*PI()*(A165-Subsurface_Inputs!$C$30)/Subsurface_Inputs!$C$31)-Subsurface_Inputs!$C$32*(B165-AVERAGE($B$2:$B$242))</f>
        <v/>
      </c>
      <c r="L165" s="47">
        <f>B165-K165</f>
        <v/>
      </c>
      <c r="M165" s="47">
        <f>2*Subsurface_Inputs!$C$34*F165/Subsurface_Inputs!$C$35*1000000</f>
        <v/>
      </c>
      <c r="N165" s="47">
        <f>2*Subsurface_Inputs!$C$34*I165/Subsurface_Inputs!$C$35*1000000</f>
        <v/>
      </c>
      <c r="O165" s="47">
        <f>2*Subsurface_Inputs!$C$34*K165/Subsurface_Inputs!$C$35*1000000</f>
        <v/>
      </c>
      <c r="P165" s="47">
        <f>Subsurface_Inputs!$C$37-2*Subsurface_Inputs!$C$36*(F165/1000)</f>
        <v/>
      </c>
      <c r="Q165" s="47">
        <f>Subsurface_Inputs!$C$38+Subsurface_Inputs!$C$39*H165-2*Subsurface_Inputs!$C$36*(I165/1000)</f>
        <v/>
      </c>
      <c r="R165" s="47">
        <f>Subsurface_Inputs!$C$40-2*Subsurface_Inputs!$C$36*(K165/1000)-Subsurface_Inputs!$C$41*ABS(L165-AVERAGE($L$2:$L$242))</f>
        <v/>
      </c>
      <c r="S165" s="47">
        <f>K165-AVERAGE($K$2:$K$242)</f>
        <v/>
      </c>
      <c r="T165" s="47">
        <f>K165/F165</f>
        <v/>
      </c>
      <c r="U165" s="50">
        <f>IF(H165&gt;=Subsurface_Inputs!$C$42,"Lens visible","Weak/no lens")</f>
        <v/>
      </c>
      <c r="V165" s="50">
        <f>IF(R165&gt;=W165,"Likely visible","Weak")</f>
        <v/>
      </c>
      <c r="W165" s="47">
        <f>Subsurface_Inputs!$C$43</f>
        <v/>
      </c>
      <c r="X165" s="47">
        <f>Q165-W165</f>
        <v/>
      </c>
      <c r="Y165" s="47">
        <f>R165-W165</f>
        <v/>
      </c>
      <c r="Z165" s="47">
        <f>MAX(Q165,R165)-W165</f>
        <v/>
      </c>
      <c r="AA165" s="47" t="n">
        <v>0</v>
      </c>
    </row>
    <row r="166">
      <c r="A166" s="47">
        <f>Model_Data!A166</f>
        <v/>
      </c>
      <c r="B166" s="47">
        <f>Model_Data!Y166</f>
        <v/>
      </c>
      <c r="C166" s="47">
        <f>Model_Data!X166</f>
        <v/>
      </c>
      <c r="D166" s="47">
        <f>Model_Data!B166</f>
        <v/>
      </c>
      <c r="E166" s="47">
        <f>Inputs!$C$6</f>
        <v/>
      </c>
      <c r="F166" s="47">
        <f>Subsurface_Inputs!$C$5+Subsurface_Inputs!$C$6*SIN(2*PI()*(A166+Subsurface_Inputs!$C$7)/Subsurface_Inputs!$C$8)+Subsurface_Inputs!$C$9*COS(2*PI()*A166/Subsurface_Inputs!$C$10)+Subsurface_Inputs!$C$11*(B166-AVERAGE($B$2:$B$242))</f>
        <v/>
      </c>
      <c r="G166" s="47">
        <f>B166-F166</f>
        <v/>
      </c>
      <c r="H166" s="47">
        <f>MIN(1,MAX(0,Subsurface_Inputs!$C$13*EXP(-0.5*((A166-Subsurface_Inputs!$C$14)/Subsurface_Inputs!$C$15)^2)+Subsurface_Inputs!$C$16*EXP(-0.5*((A166-Subsurface_Inputs!$C$17)/Subsurface_Inputs!$C$18)^2)))</f>
        <v/>
      </c>
      <c r="I166" s="47">
        <f>Subsurface_Inputs!$C$19+Subsurface_Inputs!$C$20*SIN(2*PI()*(A166-Subsurface_Inputs!$C$21)/Subsurface_Inputs!$C$22)-Subsurface_Inputs!$C$23*H166</f>
        <v/>
      </c>
      <c r="J166" s="47">
        <f>B166-I166</f>
        <v/>
      </c>
      <c r="K166" s="47">
        <f>Subsurface_Inputs!$C$25+Subsurface_Inputs!$C$26*SIN(2*PI()*(A166+Subsurface_Inputs!$C$27)/Subsurface_Inputs!$C$28)+Subsurface_Inputs!$C$29*COS(2*PI()*(A166-Subsurface_Inputs!$C$30)/Subsurface_Inputs!$C$31)-Subsurface_Inputs!$C$32*(B166-AVERAGE($B$2:$B$242))</f>
        <v/>
      </c>
      <c r="L166" s="47">
        <f>B166-K166</f>
        <v/>
      </c>
      <c r="M166" s="47">
        <f>2*Subsurface_Inputs!$C$34*F166/Subsurface_Inputs!$C$35*1000000</f>
        <v/>
      </c>
      <c r="N166" s="47">
        <f>2*Subsurface_Inputs!$C$34*I166/Subsurface_Inputs!$C$35*1000000</f>
        <v/>
      </c>
      <c r="O166" s="47">
        <f>2*Subsurface_Inputs!$C$34*K166/Subsurface_Inputs!$C$35*1000000</f>
        <v/>
      </c>
      <c r="P166" s="47">
        <f>Subsurface_Inputs!$C$37-2*Subsurface_Inputs!$C$36*(F166/1000)</f>
        <v/>
      </c>
      <c r="Q166" s="47">
        <f>Subsurface_Inputs!$C$38+Subsurface_Inputs!$C$39*H166-2*Subsurface_Inputs!$C$36*(I166/1000)</f>
        <v/>
      </c>
      <c r="R166" s="47">
        <f>Subsurface_Inputs!$C$40-2*Subsurface_Inputs!$C$36*(K166/1000)-Subsurface_Inputs!$C$41*ABS(L166-AVERAGE($L$2:$L$242))</f>
        <v/>
      </c>
      <c r="S166" s="47">
        <f>K166-AVERAGE($K$2:$K$242)</f>
        <v/>
      </c>
      <c r="T166" s="47">
        <f>K166/F166</f>
        <v/>
      </c>
      <c r="U166" s="50">
        <f>IF(H166&gt;=Subsurface_Inputs!$C$42,"Lens visible","Weak/no lens")</f>
        <v/>
      </c>
      <c r="V166" s="50">
        <f>IF(R166&gt;=W166,"Likely visible","Weak")</f>
        <v/>
      </c>
      <c r="W166" s="47">
        <f>Subsurface_Inputs!$C$43</f>
        <v/>
      </c>
      <c r="X166" s="47">
        <f>Q166-W166</f>
        <v/>
      </c>
      <c r="Y166" s="47">
        <f>R166-W166</f>
        <v/>
      </c>
      <c r="Z166" s="47">
        <f>MAX(Q166,R166)-W166</f>
        <v/>
      </c>
      <c r="AA166" s="47" t="n">
        <v>0</v>
      </c>
    </row>
    <row r="167">
      <c r="A167" s="47">
        <f>Model_Data!A167</f>
        <v/>
      </c>
      <c r="B167" s="47">
        <f>Model_Data!Y167</f>
        <v/>
      </c>
      <c r="C167" s="47">
        <f>Model_Data!X167</f>
        <v/>
      </c>
      <c r="D167" s="47">
        <f>Model_Data!B167</f>
        <v/>
      </c>
      <c r="E167" s="47">
        <f>Inputs!$C$6</f>
        <v/>
      </c>
      <c r="F167" s="47">
        <f>Subsurface_Inputs!$C$5+Subsurface_Inputs!$C$6*SIN(2*PI()*(A167+Subsurface_Inputs!$C$7)/Subsurface_Inputs!$C$8)+Subsurface_Inputs!$C$9*COS(2*PI()*A167/Subsurface_Inputs!$C$10)+Subsurface_Inputs!$C$11*(B167-AVERAGE($B$2:$B$242))</f>
        <v/>
      </c>
      <c r="G167" s="47">
        <f>B167-F167</f>
        <v/>
      </c>
      <c r="H167" s="47">
        <f>MIN(1,MAX(0,Subsurface_Inputs!$C$13*EXP(-0.5*((A167-Subsurface_Inputs!$C$14)/Subsurface_Inputs!$C$15)^2)+Subsurface_Inputs!$C$16*EXP(-0.5*((A167-Subsurface_Inputs!$C$17)/Subsurface_Inputs!$C$18)^2)))</f>
        <v/>
      </c>
      <c r="I167" s="47">
        <f>Subsurface_Inputs!$C$19+Subsurface_Inputs!$C$20*SIN(2*PI()*(A167-Subsurface_Inputs!$C$21)/Subsurface_Inputs!$C$22)-Subsurface_Inputs!$C$23*H167</f>
        <v/>
      </c>
      <c r="J167" s="47">
        <f>B167-I167</f>
        <v/>
      </c>
      <c r="K167" s="47">
        <f>Subsurface_Inputs!$C$25+Subsurface_Inputs!$C$26*SIN(2*PI()*(A167+Subsurface_Inputs!$C$27)/Subsurface_Inputs!$C$28)+Subsurface_Inputs!$C$29*COS(2*PI()*(A167-Subsurface_Inputs!$C$30)/Subsurface_Inputs!$C$31)-Subsurface_Inputs!$C$32*(B167-AVERAGE($B$2:$B$242))</f>
        <v/>
      </c>
      <c r="L167" s="47">
        <f>B167-K167</f>
        <v/>
      </c>
      <c r="M167" s="47">
        <f>2*Subsurface_Inputs!$C$34*F167/Subsurface_Inputs!$C$35*1000000</f>
        <v/>
      </c>
      <c r="N167" s="47">
        <f>2*Subsurface_Inputs!$C$34*I167/Subsurface_Inputs!$C$35*1000000</f>
        <v/>
      </c>
      <c r="O167" s="47">
        <f>2*Subsurface_Inputs!$C$34*K167/Subsurface_Inputs!$C$35*1000000</f>
        <v/>
      </c>
      <c r="P167" s="47">
        <f>Subsurface_Inputs!$C$37-2*Subsurface_Inputs!$C$36*(F167/1000)</f>
        <v/>
      </c>
      <c r="Q167" s="47">
        <f>Subsurface_Inputs!$C$38+Subsurface_Inputs!$C$39*H167-2*Subsurface_Inputs!$C$36*(I167/1000)</f>
        <v/>
      </c>
      <c r="R167" s="47">
        <f>Subsurface_Inputs!$C$40-2*Subsurface_Inputs!$C$36*(K167/1000)-Subsurface_Inputs!$C$41*ABS(L167-AVERAGE($L$2:$L$242))</f>
        <v/>
      </c>
      <c r="S167" s="47">
        <f>K167-AVERAGE($K$2:$K$242)</f>
        <v/>
      </c>
      <c r="T167" s="47">
        <f>K167/F167</f>
        <v/>
      </c>
      <c r="U167" s="50">
        <f>IF(H167&gt;=Subsurface_Inputs!$C$42,"Lens visible","Weak/no lens")</f>
        <v/>
      </c>
      <c r="V167" s="50">
        <f>IF(R167&gt;=W167,"Likely visible","Weak")</f>
        <v/>
      </c>
      <c r="W167" s="47">
        <f>Subsurface_Inputs!$C$43</f>
        <v/>
      </c>
      <c r="X167" s="47">
        <f>Q167-W167</f>
        <v/>
      </c>
      <c r="Y167" s="47">
        <f>R167-W167</f>
        <v/>
      </c>
      <c r="Z167" s="47">
        <f>MAX(Q167,R167)-W167</f>
        <v/>
      </c>
      <c r="AA167" s="47" t="n">
        <v>0</v>
      </c>
    </row>
    <row r="168">
      <c r="A168" s="47">
        <f>Model_Data!A168</f>
        <v/>
      </c>
      <c r="B168" s="47">
        <f>Model_Data!Y168</f>
        <v/>
      </c>
      <c r="C168" s="47">
        <f>Model_Data!X168</f>
        <v/>
      </c>
      <c r="D168" s="47">
        <f>Model_Data!B168</f>
        <v/>
      </c>
      <c r="E168" s="47">
        <f>Inputs!$C$6</f>
        <v/>
      </c>
      <c r="F168" s="47">
        <f>Subsurface_Inputs!$C$5+Subsurface_Inputs!$C$6*SIN(2*PI()*(A168+Subsurface_Inputs!$C$7)/Subsurface_Inputs!$C$8)+Subsurface_Inputs!$C$9*COS(2*PI()*A168/Subsurface_Inputs!$C$10)+Subsurface_Inputs!$C$11*(B168-AVERAGE($B$2:$B$242))</f>
        <v/>
      </c>
      <c r="G168" s="47">
        <f>B168-F168</f>
        <v/>
      </c>
      <c r="H168" s="47">
        <f>MIN(1,MAX(0,Subsurface_Inputs!$C$13*EXP(-0.5*((A168-Subsurface_Inputs!$C$14)/Subsurface_Inputs!$C$15)^2)+Subsurface_Inputs!$C$16*EXP(-0.5*((A168-Subsurface_Inputs!$C$17)/Subsurface_Inputs!$C$18)^2)))</f>
        <v/>
      </c>
      <c r="I168" s="47">
        <f>Subsurface_Inputs!$C$19+Subsurface_Inputs!$C$20*SIN(2*PI()*(A168-Subsurface_Inputs!$C$21)/Subsurface_Inputs!$C$22)-Subsurface_Inputs!$C$23*H168</f>
        <v/>
      </c>
      <c r="J168" s="47">
        <f>B168-I168</f>
        <v/>
      </c>
      <c r="K168" s="47">
        <f>Subsurface_Inputs!$C$25+Subsurface_Inputs!$C$26*SIN(2*PI()*(A168+Subsurface_Inputs!$C$27)/Subsurface_Inputs!$C$28)+Subsurface_Inputs!$C$29*COS(2*PI()*(A168-Subsurface_Inputs!$C$30)/Subsurface_Inputs!$C$31)-Subsurface_Inputs!$C$32*(B168-AVERAGE($B$2:$B$242))</f>
        <v/>
      </c>
      <c r="L168" s="47">
        <f>B168-K168</f>
        <v/>
      </c>
      <c r="M168" s="47">
        <f>2*Subsurface_Inputs!$C$34*F168/Subsurface_Inputs!$C$35*1000000</f>
        <v/>
      </c>
      <c r="N168" s="47">
        <f>2*Subsurface_Inputs!$C$34*I168/Subsurface_Inputs!$C$35*1000000</f>
        <v/>
      </c>
      <c r="O168" s="47">
        <f>2*Subsurface_Inputs!$C$34*K168/Subsurface_Inputs!$C$35*1000000</f>
        <v/>
      </c>
      <c r="P168" s="47">
        <f>Subsurface_Inputs!$C$37-2*Subsurface_Inputs!$C$36*(F168/1000)</f>
        <v/>
      </c>
      <c r="Q168" s="47">
        <f>Subsurface_Inputs!$C$38+Subsurface_Inputs!$C$39*H168-2*Subsurface_Inputs!$C$36*(I168/1000)</f>
        <v/>
      </c>
      <c r="R168" s="47">
        <f>Subsurface_Inputs!$C$40-2*Subsurface_Inputs!$C$36*(K168/1000)-Subsurface_Inputs!$C$41*ABS(L168-AVERAGE($L$2:$L$242))</f>
        <v/>
      </c>
      <c r="S168" s="47">
        <f>K168-AVERAGE($K$2:$K$242)</f>
        <v/>
      </c>
      <c r="T168" s="47">
        <f>K168/F168</f>
        <v/>
      </c>
      <c r="U168" s="50">
        <f>IF(H168&gt;=Subsurface_Inputs!$C$42,"Lens visible","Weak/no lens")</f>
        <v/>
      </c>
      <c r="V168" s="50">
        <f>IF(R168&gt;=W168,"Likely visible","Weak")</f>
        <v/>
      </c>
      <c r="W168" s="47">
        <f>Subsurface_Inputs!$C$43</f>
        <v/>
      </c>
      <c r="X168" s="47">
        <f>Q168-W168</f>
        <v/>
      </c>
      <c r="Y168" s="47">
        <f>R168-W168</f>
        <v/>
      </c>
      <c r="Z168" s="47">
        <f>MAX(Q168,R168)-W168</f>
        <v/>
      </c>
      <c r="AA168" s="47" t="n">
        <v>0</v>
      </c>
    </row>
    <row r="169">
      <c r="A169" s="47">
        <f>Model_Data!A169</f>
        <v/>
      </c>
      <c r="B169" s="47">
        <f>Model_Data!Y169</f>
        <v/>
      </c>
      <c r="C169" s="47">
        <f>Model_Data!X169</f>
        <v/>
      </c>
      <c r="D169" s="47">
        <f>Model_Data!B169</f>
        <v/>
      </c>
      <c r="E169" s="47">
        <f>Inputs!$C$6</f>
        <v/>
      </c>
      <c r="F169" s="47">
        <f>Subsurface_Inputs!$C$5+Subsurface_Inputs!$C$6*SIN(2*PI()*(A169+Subsurface_Inputs!$C$7)/Subsurface_Inputs!$C$8)+Subsurface_Inputs!$C$9*COS(2*PI()*A169/Subsurface_Inputs!$C$10)+Subsurface_Inputs!$C$11*(B169-AVERAGE($B$2:$B$242))</f>
        <v/>
      </c>
      <c r="G169" s="47">
        <f>B169-F169</f>
        <v/>
      </c>
      <c r="H169" s="47">
        <f>MIN(1,MAX(0,Subsurface_Inputs!$C$13*EXP(-0.5*((A169-Subsurface_Inputs!$C$14)/Subsurface_Inputs!$C$15)^2)+Subsurface_Inputs!$C$16*EXP(-0.5*((A169-Subsurface_Inputs!$C$17)/Subsurface_Inputs!$C$18)^2)))</f>
        <v/>
      </c>
      <c r="I169" s="47">
        <f>Subsurface_Inputs!$C$19+Subsurface_Inputs!$C$20*SIN(2*PI()*(A169-Subsurface_Inputs!$C$21)/Subsurface_Inputs!$C$22)-Subsurface_Inputs!$C$23*H169</f>
        <v/>
      </c>
      <c r="J169" s="47">
        <f>B169-I169</f>
        <v/>
      </c>
      <c r="K169" s="47">
        <f>Subsurface_Inputs!$C$25+Subsurface_Inputs!$C$26*SIN(2*PI()*(A169+Subsurface_Inputs!$C$27)/Subsurface_Inputs!$C$28)+Subsurface_Inputs!$C$29*COS(2*PI()*(A169-Subsurface_Inputs!$C$30)/Subsurface_Inputs!$C$31)-Subsurface_Inputs!$C$32*(B169-AVERAGE($B$2:$B$242))</f>
        <v/>
      </c>
      <c r="L169" s="47">
        <f>B169-K169</f>
        <v/>
      </c>
      <c r="M169" s="47">
        <f>2*Subsurface_Inputs!$C$34*F169/Subsurface_Inputs!$C$35*1000000</f>
        <v/>
      </c>
      <c r="N169" s="47">
        <f>2*Subsurface_Inputs!$C$34*I169/Subsurface_Inputs!$C$35*1000000</f>
        <v/>
      </c>
      <c r="O169" s="47">
        <f>2*Subsurface_Inputs!$C$34*K169/Subsurface_Inputs!$C$35*1000000</f>
        <v/>
      </c>
      <c r="P169" s="47">
        <f>Subsurface_Inputs!$C$37-2*Subsurface_Inputs!$C$36*(F169/1000)</f>
        <v/>
      </c>
      <c r="Q169" s="47">
        <f>Subsurface_Inputs!$C$38+Subsurface_Inputs!$C$39*H169-2*Subsurface_Inputs!$C$36*(I169/1000)</f>
        <v/>
      </c>
      <c r="R169" s="47">
        <f>Subsurface_Inputs!$C$40-2*Subsurface_Inputs!$C$36*(K169/1000)-Subsurface_Inputs!$C$41*ABS(L169-AVERAGE($L$2:$L$242))</f>
        <v/>
      </c>
      <c r="S169" s="47">
        <f>K169-AVERAGE($K$2:$K$242)</f>
        <v/>
      </c>
      <c r="T169" s="47">
        <f>K169/F169</f>
        <v/>
      </c>
      <c r="U169" s="50">
        <f>IF(H169&gt;=Subsurface_Inputs!$C$42,"Lens visible","Weak/no lens")</f>
        <v/>
      </c>
      <c r="V169" s="50">
        <f>IF(R169&gt;=W169,"Likely visible","Weak")</f>
        <v/>
      </c>
      <c r="W169" s="47">
        <f>Subsurface_Inputs!$C$43</f>
        <v/>
      </c>
      <c r="X169" s="47">
        <f>Q169-W169</f>
        <v/>
      </c>
      <c r="Y169" s="47">
        <f>R169-W169</f>
        <v/>
      </c>
      <c r="Z169" s="47">
        <f>MAX(Q169,R169)-W169</f>
        <v/>
      </c>
      <c r="AA169" s="47" t="n">
        <v>0</v>
      </c>
    </row>
    <row r="170">
      <c r="A170" s="47">
        <f>Model_Data!A170</f>
        <v/>
      </c>
      <c r="B170" s="47">
        <f>Model_Data!Y170</f>
        <v/>
      </c>
      <c r="C170" s="47">
        <f>Model_Data!X170</f>
        <v/>
      </c>
      <c r="D170" s="47">
        <f>Model_Data!B170</f>
        <v/>
      </c>
      <c r="E170" s="47">
        <f>Inputs!$C$6</f>
        <v/>
      </c>
      <c r="F170" s="47">
        <f>Subsurface_Inputs!$C$5+Subsurface_Inputs!$C$6*SIN(2*PI()*(A170+Subsurface_Inputs!$C$7)/Subsurface_Inputs!$C$8)+Subsurface_Inputs!$C$9*COS(2*PI()*A170/Subsurface_Inputs!$C$10)+Subsurface_Inputs!$C$11*(B170-AVERAGE($B$2:$B$242))</f>
        <v/>
      </c>
      <c r="G170" s="47">
        <f>B170-F170</f>
        <v/>
      </c>
      <c r="H170" s="47">
        <f>MIN(1,MAX(0,Subsurface_Inputs!$C$13*EXP(-0.5*((A170-Subsurface_Inputs!$C$14)/Subsurface_Inputs!$C$15)^2)+Subsurface_Inputs!$C$16*EXP(-0.5*((A170-Subsurface_Inputs!$C$17)/Subsurface_Inputs!$C$18)^2)))</f>
        <v/>
      </c>
      <c r="I170" s="47">
        <f>Subsurface_Inputs!$C$19+Subsurface_Inputs!$C$20*SIN(2*PI()*(A170-Subsurface_Inputs!$C$21)/Subsurface_Inputs!$C$22)-Subsurface_Inputs!$C$23*H170</f>
        <v/>
      </c>
      <c r="J170" s="47">
        <f>B170-I170</f>
        <v/>
      </c>
      <c r="K170" s="47">
        <f>Subsurface_Inputs!$C$25+Subsurface_Inputs!$C$26*SIN(2*PI()*(A170+Subsurface_Inputs!$C$27)/Subsurface_Inputs!$C$28)+Subsurface_Inputs!$C$29*COS(2*PI()*(A170-Subsurface_Inputs!$C$30)/Subsurface_Inputs!$C$31)-Subsurface_Inputs!$C$32*(B170-AVERAGE($B$2:$B$242))</f>
        <v/>
      </c>
      <c r="L170" s="47">
        <f>B170-K170</f>
        <v/>
      </c>
      <c r="M170" s="47">
        <f>2*Subsurface_Inputs!$C$34*F170/Subsurface_Inputs!$C$35*1000000</f>
        <v/>
      </c>
      <c r="N170" s="47">
        <f>2*Subsurface_Inputs!$C$34*I170/Subsurface_Inputs!$C$35*1000000</f>
        <v/>
      </c>
      <c r="O170" s="47">
        <f>2*Subsurface_Inputs!$C$34*K170/Subsurface_Inputs!$C$35*1000000</f>
        <v/>
      </c>
      <c r="P170" s="47">
        <f>Subsurface_Inputs!$C$37-2*Subsurface_Inputs!$C$36*(F170/1000)</f>
        <v/>
      </c>
      <c r="Q170" s="47">
        <f>Subsurface_Inputs!$C$38+Subsurface_Inputs!$C$39*H170-2*Subsurface_Inputs!$C$36*(I170/1000)</f>
        <v/>
      </c>
      <c r="R170" s="47">
        <f>Subsurface_Inputs!$C$40-2*Subsurface_Inputs!$C$36*(K170/1000)-Subsurface_Inputs!$C$41*ABS(L170-AVERAGE($L$2:$L$242))</f>
        <v/>
      </c>
      <c r="S170" s="47">
        <f>K170-AVERAGE($K$2:$K$242)</f>
        <v/>
      </c>
      <c r="T170" s="47">
        <f>K170/F170</f>
        <v/>
      </c>
      <c r="U170" s="50">
        <f>IF(H170&gt;=Subsurface_Inputs!$C$42,"Lens visible","Weak/no lens")</f>
        <v/>
      </c>
      <c r="V170" s="50">
        <f>IF(R170&gt;=W170,"Likely visible","Weak")</f>
        <v/>
      </c>
      <c r="W170" s="47">
        <f>Subsurface_Inputs!$C$43</f>
        <v/>
      </c>
      <c r="X170" s="47">
        <f>Q170-W170</f>
        <v/>
      </c>
      <c r="Y170" s="47">
        <f>R170-W170</f>
        <v/>
      </c>
      <c r="Z170" s="47">
        <f>MAX(Q170,R170)-W170</f>
        <v/>
      </c>
      <c r="AA170" s="47" t="n">
        <v>0</v>
      </c>
    </row>
    <row r="171">
      <c r="A171" s="47">
        <f>Model_Data!A171</f>
        <v/>
      </c>
      <c r="B171" s="47">
        <f>Model_Data!Y171</f>
        <v/>
      </c>
      <c r="C171" s="47">
        <f>Model_Data!X171</f>
        <v/>
      </c>
      <c r="D171" s="47">
        <f>Model_Data!B171</f>
        <v/>
      </c>
      <c r="E171" s="47">
        <f>Inputs!$C$6</f>
        <v/>
      </c>
      <c r="F171" s="47">
        <f>Subsurface_Inputs!$C$5+Subsurface_Inputs!$C$6*SIN(2*PI()*(A171+Subsurface_Inputs!$C$7)/Subsurface_Inputs!$C$8)+Subsurface_Inputs!$C$9*COS(2*PI()*A171/Subsurface_Inputs!$C$10)+Subsurface_Inputs!$C$11*(B171-AVERAGE($B$2:$B$242))</f>
        <v/>
      </c>
      <c r="G171" s="47">
        <f>B171-F171</f>
        <v/>
      </c>
      <c r="H171" s="47">
        <f>MIN(1,MAX(0,Subsurface_Inputs!$C$13*EXP(-0.5*((A171-Subsurface_Inputs!$C$14)/Subsurface_Inputs!$C$15)^2)+Subsurface_Inputs!$C$16*EXP(-0.5*((A171-Subsurface_Inputs!$C$17)/Subsurface_Inputs!$C$18)^2)))</f>
        <v/>
      </c>
      <c r="I171" s="47">
        <f>Subsurface_Inputs!$C$19+Subsurface_Inputs!$C$20*SIN(2*PI()*(A171-Subsurface_Inputs!$C$21)/Subsurface_Inputs!$C$22)-Subsurface_Inputs!$C$23*H171</f>
        <v/>
      </c>
      <c r="J171" s="47">
        <f>B171-I171</f>
        <v/>
      </c>
      <c r="K171" s="47">
        <f>Subsurface_Inputs!$C$25+Subsurface_Inputs!$C$26*SIN(2*PI()*(A171+Subsurface_Inputs!$C$27)/Subsurface_Inputs!$C$28)+Subsurface_Inputs!$C$29*COS(2*PI()*(A171-Subsurface_Inputs!$C$30)/Subsurface_Inputs!$C$31)-Subsurface_Inputs!$C$32*(B171-AVERAGE($B$2:$B$242))</f>
        <v/>
      </c>
      <c r="L171" s="47">
        <f>B171-K171</f>
        <v/>
      </c>
      <c r="M171" s="47">
        <f>2*Subsurface_Inputs!$C$34*F171/Subsurface_Inputs!$C$35*1000000</f>
        <v/>
      </c>
      <c r="N171" s="47">
        <f>2*Subsurface_Inputs!$C$34*I171/Subsurface_Inputs!$C$35*1000000</f>
        <v/>
      </c>
      <c r="O171" s="47">
        <f>2*Subsurface_Inputs!$C$34*K171/Subsurface_Inputs!$C$35*1000000</f>
        <v/>
      </c>
      <c r="P171" s="47">
        <f>Subsurface_Inputs!$C$37-2*Subsurface_Inputs!$C$36*(F171/1000)</f>
        <v/>
      </c>
      <c r="Q171" s="47">
        <f>Subsurface_Inputs!$C$38+Subsurface_Inputs!$C$39*H171-2*Subsurface_Inputs!$C$36*(I171/1000)</f>
        <v/>
      </c>
      <c r="R171" s="47">
        <f>Subsurface_Inputs!$C$40-2*Subsurface_Inputs!$C$36*(K171/1000)-Subsurface_Inputs!$C$41*ABS(L171-AVERAGE($L$2:$L$242))</f>
        <v/>
      </c>
      <c r="S171" s="47">
        <f>K171-AVERAGE($K$2:$K$242)</f>
        <v/>
      </c>
      <c r="T171" s="47">
        <f>K171/F171</f>
        <v/>
      </c>
      <c r="U171" s="50">
        <f>IF(H171&gt;=Subsurface_Inputs!$C$42,"Lens visible","Weak/no lens")</f>
        <v/>
      </c>
      <c r="V171" s="50">
        <f>IF(R171&gt;=W171,"Likely visible","Weak")</f>
        <v/>
      </c>
      <c r="W171" s="47">
        <f>Subsurface_Inputs!$C$43</f>
        <v/>
      </c>
      <c r="X171" s="47">
        <f>Q171-W171</f>
        <v/>
      </c>
      <c r="Y171" s="47">
        <f>R171-W171</f>
        <v/>
      </c>
      <c r="Z171" s="47">
        <f>MAX(Q171,R171)-W171</f>
        <v/>
      </c>
      <c r="AA171" s="47" t="n">
        <v>0</v>
      </c>
    </row>
    <row r="172">
      <c r="A172" s="47">
        <f>Model_Data!A172</f>
        <v/>
      </c>
      <c r="B172" s="47">
        <f>Model_Data!Y172</f>
        <v/>
      </c>
      <c r="C172" s="47">
        <f>Model_Data!X172</f>
        <v/>
      </c>
      <c r="D172" s="47">
        <f>Model_Data!B172</f>
        <v/>
      </c>
      <c r="E172" s="47">
        <f>Inputs!$C$6</f>
        <v/>
      </c>
      <c r="F172" s="47">
        <f>Subsurface_Inputs!$C$5+Subsurface_Inputs!$C$6*SIN(2*PI()*(A172+Subsurface_Inputs!$C$7)/Subsurface_Inputs!$C$8)+Subsurface_Inputs!$C$9*COS(2*PI()*A172/Subsurface_Inputs!$C$10)+Subsurface_Inputs!$C$11*(B172-AVERAGE($B$2:$B$242))</f>
        <v/>
      </c>
      <c r="G172" s="47">
        <f>B172-F172</f>
        <v/>
      </c>
      <c r="H172" s="47">
        <f>MIN(1,MAX(0,Subsurface_Inputs!$C$13*EXP(-0.5*((A172-Subsurface_Inputs!$C$14)/Subsurface_Inputs!$C$15)^2)+Subsurface_Inputs!$C$16*EXP(-0.5*((A172-Subsurface_Inputs!$C$17)/Subsurface_Inputs!$C$18)^2)))</f>
        <v/>
      </c>
      <c r="I172" s="47">
        <f>Subsurface_Inputs!$C$19+Subsurface_Inputs!$C$20*SIN(2*PI()*(A172-Subsurface_Inputs!$C$21)/Subsurface_Inputs!$C$22)-Subsurface_Inputs!$C$23*H172</f>
        <v/>
      </c>
      <c r="J172" s="47">
        <f>B172-I172</f>
        <v/>
      </c>
      <c r="K172" s="47">
        <f>Subsurface_Inputs!$C$25+Subsurface_Inputs!$C$26*SIN(2*PI()*(A172+Subsurface_Inputs!$C$27)/Subsurface_Inputs!$C$28)+Subsurface_Inputs!$C$29*COS(2*PI()*(A172-Subsurface_Inputs!$C$30)/Subsurface_Inputs!$C$31)-Subsurface_Inputs!$C$32*(B172-AVERAGE($B$2:$B$242))</f>
        <v/>
      </c>
      <c r="L172" s="47">
        <f>B172-K172</f>
        <v/>
      </c>
      <c r="M172" s="47">
        <f>2*Subsurface_Inputs!$C$34*F172/Subsurface_Inputs!$C$35*1000000</f>
        <v/>
      </c>
      <c r="N172" s="47">
        <f>2*Subsurface_Inputs!$C$34*I172/Subsurface_Inputs!$C$35*1000000</f>
        <v/>
      </c>
      <c r="O172" s="47">
        <f>2*Subsurface_Inputs!$C$34*K172/Subsurface_Inputs!$C$35*1000000</f>
        <v/>
      </c>
      <c r="P172" s="47">
        <f>Subsurface_Inputs!$C$37-2*Subsurface_Inputs!$C$36*(F172/1000)</f>
        <v/>
      </c>
      <c r="Q172" s="47">
        <f>Subsurface_Inputs!$C$38+Subsurface_Inputs!$C$39*H172-2*Subsurface_Inputs!$C$36*(I172/1000)</f>
        <v/>
      </c>
      <c r="R172" s="47">
        <f>Subsurface_Inputs!$C$40-2*Subsurface_Inputs!$C$36*(K172/1000)-Subsurface_Inputs!$C$41*ABS(L172-AVERAGE($L$2:$L$242))</f>
        <v/>
      </c>
      <c r="S172" s="47">
        <f>K172-AVERAGE($K$2:$K$242)</f>
        <v/>
      </c>
      <c r="T172" s="47">
        <f>K172/F172</f>
        <v/>
      </c>
      <c r="U172" s="50">
        <f>IF(H172&gt;=Subsurface_Inputs!$C$42,"Lens visible","Weak/no lens")</f>
        <v/>
      </c>
      <c r="V172" s="50">
        <f>IF(R172&gt;=W172,"Likely visible","Weak")</f>
        <v/>
      </c>
      <c r="W172" s="47">
        <f>Subsurface_Inputs!$C$43</f>
        <v/>
      </c>
      <c r="X172" s="47">
        <f>Q172-W172</f>
        <v/>
      </c>
      <c r="Y172" s="47">
        <f>R172-W172</f>
        <v/>
      </c>
      <c r="Z172" s="47">
        <f>MAX(Q172,R172)-W172</f>
        <v/>
      </c>
      <c r="AA172" s="47" t="n">
        <v>0</v>
      </c>
    </row>
    <row r="173">
      <c r="A173" s="47">
        <f>Model_Data!A173</f>
        <v/>
      </c>
      <c r="B173" s="47">
        <f>Model_Data!Y173</f>
        <v/>
      </c>
      <c r="C173" s="47">
        <f>Model_Data!X173</f>
        <v/>
      </c>
      <c r="D173" s="47">
        <f>Model_Data!B173</f>
        <v/>
      </c>
      <c r="E173" s="47">
        <f>Inputs!$C$6</f>
        <v/>
      </c>
      <c r="F173" s="47">
        <f>Subsurface_Inputs!$C$5+Subsurface_Inputs!$C$6*SIN(2*PI()*(A173+Subsurface_Inputs!$C$7)/Subsurface_Inputs!$C$8)+Subsurface_Inputs!$C$9*COS(2*PI()*A173/Subsurface_Inputs!$C$10)+Subsurface_Inputs!$C$11*(B173-AVERAGE($B$2:$B$242))</f>
        <v/>
      </c>
      <c r="G173" s="47">
        <f>B173-F173</f>
        <v/>
      </c>
      <c r="H173" s="47">
        <f>MIN(1,MAX(0,Subsurface_Inputs!$C$13*EXP(-0.5*((A173-Subsurface_Inputs!$C$14)/Subsurface_Inputs!$C$15)^2)+Subsurface_Inputs!$C$16*EXP(-0.5*((A173-Subsurface_Inputs!$C$17)/Subsurface_Inputs!$C$18)^2)))</f>
        <v/>
      </c>
      <c r="I173" s="47">
        <f>Subsurface_Inputs!$C$19+Subsurface_Inputs!$C$20*SIN(2*PI()*(A173-Subsurface_Inputs!$C$21)/Subsurface_Inputs!$C$22)-Subsurface_Inputs!$C$23*H173</f>
        <v/>
      </c>
      <c r="J173" s="47">
        <f>B173-I173</f>
        <v/>
      </c>
      <c r="K173" s="47">
        <f>Subsurface_Inputs!$C$25+Subsurface_Inputs!$C$26*SIN(2*PI()*(A173+Subsurface_Inputs!$C$27)/Subsurface_Inputs!$C$28)+Subsurface_Inputs!$C$29*COS(2*PI()*(A173-Subsurface_Inputs!$C$30)/Subsurface_Inputs!$C$31)-Subsurface_Inputs!$C$32*(B173-AVERAGE($B$2:$B$242))</f>
        <v/>
      </c>
      <c r="L173" s="47">
        <f>B173-K173</f>
        <v/>
      </c>
      <c r="M173" s="47">
        <f>2*Subsurface_Inputs!$C$34*F173/Subsurface_Inputs!$C$35*1000000</f>
        <v/>
      </c>
      <c r="N173" s="47">
        <f>2*Subsurface_Inputs!$C$34*I173/Subsurface_Inputs!$C$35*1000000</f>
        <v/>
      </c>
      <c r="O173" s="47">
        <f>2*Subsurface_Inputs!$C$34*K173/Subsurface_Inputs!$C$35*1000000</f>
        <v/>
      </c>
      <c r="P173" s="47">
        <f>Subsurface_Inputs!$C$37-2*Subsurface_Inputs!$C$36*(F173/1000)</f>
        <v/>
      </c>
      <c r="Q173" s="47">
        <f>Subsurface_Inputs!$C$38+Subsurface_Inputs!$C$39*H173-2*Subsurface_Inputs!$C$36*(I173/1000)</f>
        <v/>
      </c>
      <c r="R173" s="47">
        <f>Subsurface_Inputs!$C$40-2*Subsurface_Inputs!$C$36*(K173/1000)-Subsurface_Inputs!$C$41*ABS(L173-AVERAGE($L$2:$L$242))</f>
        <v/>
      </c>
      <c r="S173" s="47">
        <f>K173-AVERAGE($K$2:$K$242)</f>
        <v/>
      </c>
      <c r="T173" s="47">
        <f>K173/F173</f>
        <v/>
      </c>
      <c r="U173" s="50">
        <f>IF(H173&gt;=Subsurface_Inputs!$C$42,"Lens visible","Weak/no lens")</f>
        <v/>
      </c>
      <c r="V173" s="50">
        <f>IF(R173&gt;=W173,"Likely visible","Weak")</f>
        <v/>
      </c>
      <c r="W173" s="47">
        <f>Subsurface_Inputs!$C$43</f>
        <v/>
      </c>
      <c r="X173" s="47">
        <f>Q173-W173</f>
        <v/>
      </c>
      <c r="Y173" s="47">
        <f>R173-W173</f>
        <v/>
      </c>
      <c r="Z173" s="47">
        <f>MAX(Q173,R173)-W173</f>
        <v/>
      </c>
      <c r="AA173" s="47" t="n">
        <v>0</v>
      </c>
    </row>
    <row r="174">
      <c r="A174" s="47">
        <f>Model_Data!A174</f>
        <v/>
      </c>
      <c r="B174" s="47">
        <f>Model_Data!Y174</f>
        <v/>
      </c>
      <c r="C174" s="47">
        <f>Model_Data!X174</f>
        <v/>
      </c>
      <c r="D174" s="47">
        <f>Model_Data!B174</f>
        <v/>
      </c>
      <c r="E174" s="47">
        <f>Inputs!$C$6</f>
        <v/>
      </c>
      <c r="F174" s="47">
        <f>Subsurface_Inputs!$C$5+Subsurface_Inputs!$C$6*SIN(2*PI()*(A174+Subsurface_Inputs!$C$7)/Subsurface_Inputs!$C$8)+Subsurface_Inputs!$C$9*COS(2*PI()*A174/Subsurface_Inputs!$C$10)+Subsurface_Inputs!$C$11*(B174-AVERAGE($B$2:$B$242))</f>
        <v/>
      </c>
      <c r="G174" s="47">
        <f>B174-F174</f>
        <v/>
      </c>
      <c r="H174" s="47">
        <f>MIN(1,MAX(0,Subsurface_Inputs!$C$13*EXP(-0.5*((A174-Subsurface_Inputs!$C$14)/Subsurface_Inputs!$C$15)^2)+Subsurface_Inputs!$C$16*EXP(-0.5*((A174-Subsurface_Inputs!$C$17)/Subsurface_Inputs!$C$18)^2)))</f>
        <v/>
      </c>
      <c r="I174" s="47">
        <f>Subsurface_Inputs!$C$19+Subsurface_Inputs!$C$20*SIN(2*PI()*(A174-Subsurface_Inputs!$C$21)/Subsurface_Inputs!$C$22)-Subsurface_Inputs!$C$23*H174</f>
        <v/>
      </c>
      <c r="J174" s="47">
        <f>B174-I174</f>
        <v/>
      </c>
      <c r="K174" s="47">
        <f>Subsurface_Inputs!$C$25+Subsurface_Inputs!$C$26*SIN(2*PI()*(A174+Subsurface_Inputs!$C$27)/Subsurface_Inputs!$C$28)+Subsurface_Inputs!$C$29*COS(2*PI()*(A174-Subsurface_Inputs!$C$30)/Subsurface_Inputs!$C$31)-Subsurface_Inputs!$C$32*(B174-AVERAGE($B$2:$B$242))</f>
        <v/>
      </c>
      <c r="L174" s="47">
        <f>B174-K174</f>
        <v/>
      </c>
      <c r="M174" s="47">
        <f>2*Subsurface_Inputs!$C$34*F174/Subsurface_Inputs!$C$35*1000000</f>
        <v/>
      </c>
      <c r="N174" s="47">
        <f>2*Subsurface_Inputs!$C$34*I174/Subsurface_Inputs!$C$35*1000000</f>
        <v/>
      </c>
      <c r="O174" s="47">
        <f>2*Subsurface_Inputs!$C$34*K174/Subsurface_Inputs!$C$35*1000000</f>
        <v/>
      </c>
      <c r="P174" s="47">
        <f>Subsurface_Inputs!$C$37-2*Subsurface_Inputs!$C$36*(F174/1000)</f>
        <v/>
      </c>
      <c r="Q174" s="47">
        <f>Subsurface_Inputs!$C$38+Subsurface_Inputs!$C$39*H174-2*Subsurface_Inputs!$C$36*(I174/1000)</f>
        <v/>
      </c>
      <c r="R174" s="47">
        <f>Subsurface_Inputs!$C$40-2*Subsurface_Inputs!$C$36*(K174/1000)-Subsurface_Inputs!$C$41*ABS(L174-AVERAGE($L$2:$L$242))</f>
        <v/>
      </c>
      <c r="S174" s="47">
        <f>K174-AVERAGE($K$2:$K$242)</f>
        <v/>
      </c>
      <c r="T174" s="47">
        <f>K174/F174</f>
        <v/>
      </c>
      <c r="U174" s="50">
        <f>IF(H174&gt;=Subsurface_Inputs!$C$42,"Lens visible","Weak/no lens")</f>
        <v/>
      </c>
      <c r="V174" s="50">
        <f>IF(R174&gt;=W174,"Likely visible","Weak")</f>
        <v/>
      </c>
      <c r="W174" s="47">
        <f>Subsurface_Inputs!$C$43</f>
        <v/>
      </c>
      <c r="X174" s="47">
        <f>Q174-W174</f>
        <v/>
      </c>
      <c r="Y174" s="47">
        <f>R174-W174</f>
        <v/>
      </c>
      <c r="Z174" s="47">
        <f>MAX(Q174,R174)-W174</f>
        <v/>
      </c>
      <c r="AA174" s="47" t="n">
        <v>0</v>
      </c>
    </row>
    <row r="175">
      <c r="A175" s="47">
        <f>Model_Data!A175</f>
        <v/>
      </c>
      <c r="B175" s="47">
        <f>Model_Data!Y175</f>
        <v/>
      </c>
      <c r="C175" s="47">
        <f>Model_Data!X175</f>
        <v/>
      </c>
      <c r="D175" s="47">
        <f>Model_Data!B175</f>
        <v/>
      </c>
      <c r="E175" s="47">
        <f>Inputs!$C$6</f>
        <v/>
      </c>
      <c r="F175" s="47">
        <f>Subsurface_Inputs!$C$5+Subsurface_Inputs!$C$6*SIN(2*PI()*(A175+Subsurface_Inputs!$C$7)/Subsurface_Inputs!$C$8)+Subsurface_Inputs!$C$9*COS(2*PI()*A175/Subsurface_Inputs!$C$10)+Subsurface_Inputs!$C$11*(B175-AVERAGE($B$2:$B$242))</f>
        <v/>
      </c>
      <c r="G175" s="47">
        <f>B175-F175</f>
        <v/>
      </c>
      <c r="H175" s="47">
        <f>MIN(1,MAX(0,Subsurface_Inputs!$C$13*EXP(-0.5*((A175-Subsurface_Inputs!$C$14)/Subsurface_Inputs!$C$15)^2)+Subsurface_Inputs!$C$16*EXP(-0.5*((A175-Subsurface_Inputs!$C$17)/Subsurface_Inputs!$C$18)^2)))</f>
        <v/>
      </c>
      <c r="I175" s="47">
        <f>Subsurface_Inputs!$C$19+Subsurface_Inputs!$C$20*SIN(2*PI()*(A175-Subsurface_Inputs!$C$21)/Subsurface_Inputs!$C$22)-Subsurface_Inputs!$C$23*H175</f>
        <v/>
      </c>
      <c r="J175" s="47">
        <f>B175-I175</f>
        <v/>
      </c>
      <c r="K175" s="47">
        <f>Subsurface_Inputs!$C$25+Subsurface_Inputs!$C$26*SIN(2*PI()*(A175+Subsurface_Inputs!$C$27)/Subsurface_Inputs!$C$28)+Subsurface_Inputs!$C$29*COS(2*PI()*(A175-Subsurface_Inputs!$C$30)/Subsurface_Inputs!$C$31)-Subsurface_Inputs!$C$32*(B175-AVERAGE($B$2:$B$242))</f>
        <v/>
      </c>
      <c r="L175" s="47">
        <f>B175-K175</f>
        <v/>
      </c>
      <c r="M175" s="47">
        <f>2*Subsurface_Inputs!$C$34*F175/Subsurface_Inputs!$C$35*1000000</f>
        <v/>
      </c>
      <c r="N175" s="47">
        <f>2*Subsurface_Inputs!$C$34*I175/Subsurface_Inputs!$C$35*1000000</f>
        <v/>
      </c>
      <c r="O175" s="47">
        <f>2*Subsurface_Inputs!$C$34*K175/Subsurface_Inputs!$C$35*1000000</f>
        <v/>
      </c>
      <c r="P175" s="47">
        <f>Subsurface_Inputs!$C$37-2*Subsurface_Inputs!$C$36*(F175/1000)</f>
        <v/>
      </c>
      <c r="Q175" s="47">
        <f>Subsurface_Inputs!$C$38+Subsurface_Inputs!$C$39*H175-2*Subsurface_Inputs!$C$36*(I175/1000)</f>
        <v/>
      </c>
      <c r="R175" s="47">
        <f>Subsurface_Inputs!$C$40-2*Subsurface_Inputs!$C$36*(K175/1000)-Subsurface_Inputs!$C$41*ABS(L175-AVERAGE($L$2:$L$242))</f>
        <v/>
      </c>
      <c r="S175" s="47">
        <f>K175-AVERAGE($K$2:$K$242)</f>
        <v/>
      </c>
      <c r="T175" s="47">
        <f>K175/F175</f>
        <v/>
      </c>
      <c r="U175" s="50">
        <f>IF(H175&gt;=Subsurface_Inputs!$C$42,"Lens visible","Weak/no lens")</f>
        <v/>
      </c>
      <c r="V175" s="50">
        <f>IF(R175&gt;=W175,"Likely visible","Weak")</f>
        <v/>
      </c>
      <c r="W175" s="47">
        <f>Subsurface_Inputs!$C$43</f>
        <v/>
      </c>
      <c r="X175" s="47">
        <f>Q175-W175</f>
        <v/>
      </c>
      <c r="Y175" s="47">
        <f>R175-W175</f>
        <v/>
      </c>
      <c r="Z175" s="47">
        <f>MAX(Q175,R175)-W175</f>
        <v/>
      </c>
      <c r="AA175" s="47" t="n">
        <v>0</v>
      </c>
    </row>
    <row r="176">
      <c r="A176" s="47">
        <f>Model_Data!A176</f>
        <v/>
      </c>
      <c r="B176" s="47">
        <f>Model_Data!Y176</f>
        <v/>
      </c>
      <c r="C176" s="47">
        <f>Model_Data!X176</f>
        <v/>
      </c>
      <c r="D176" s="47">
        <f>Model_Data!B176</f>
        <v/>
      </c>
      <c r="E176" s="47">
        <f>Inputs!$C$6</f>
        <v/>
      </c>
      <c r="F176" s="47">
        <f>Subsurface_Inputs!$C$5+Subsurface_Inputs!$C$6*SIN(2*PI()*(A176+Subsurface_Inputs!$C$7)/Subsurface_Inputs!$C$8)+Subsurface_Inputs!$C$9*COS(2*PI()*A176/Subsurface_Inputs!$C$10)+Subsurface_Inputs!$C$11*(B176-AVERAGE($B$2:$B$242))</f>
        <v/>
      </c>
      <c r="G176" s="47">
        <f>B176-F176</f>
        <v/>
      </c>
      <c r="H176" s="47">
        <f>MIN(1,MAX(0,Subsurface_Inputs!$C$13*EXP(-0.5*((A176-Subsurface_Inputs!$C$14)/Subsurface_Inputs!$C$15)^2)+Subsurface_Inputs!$C$16*EXP(-0.5*((A176-Subsurface_Inputs!$C$17)/Subsurface_Inputs!$C$18)^2)))</f>
        <v/>
      </c>
      <c r="I176" s="47">
        <f>Subsurface_Inputs!$C$19+Subsurface_Inputs!$C$20*SIN(2*PI()*(A176-Subsurface_Inputs!$C$21)/Subsurface_Inputs!$C$22)-Subsurface_Inputs!$C$23*H176</f>
        <v/>
      </c>
      <c r="J176" s="47">
        <f>B176-I176</f>
        <v/>
      </c>
      <c r="K176" s="47">
        <f>Subsurface_Inputs!$C$25+Subsurface_Inputs!$C$26*SIN(2*PI()*(A176+Subsurface_Inputs!$C$27)/Subsurface_Inputs!$C$28)+Subsurface_Inputs!$C$29*COS(2*PI()*(A176-Subsurface_Inputs!$C$30)/Subsurface_Inputs!$C$31)-Subsurface_Inputs!$C$32*(B176-AVERAGE($B$2:$B$242))</f>
        <v/>
      </c>
      <c r="L176" s="47">
        <f>B176-K176</f>
        <v/>
      </c>
      <c r="M176" s="47">
        <f>2*Subsurface_Inputs!$C$34*F176/Subsurface_Inputs!$C$35*1000000</f>
        <v/>
      </c>
      <c r="N176" s="47">
        <f>2*Subsurface_Inputs!$C$34*I176/Subsurface_Inputs!$C$35*1000000</f>
        <v/>
      </c>
      <c r="O176" s="47">
        <f>2*Subsurface_Inputs!$C$34*K176/Subsurface_Inputs!$C$35*1000000</f>
        <v/>
      </c>
      <c r="P176" s="47">
        <f>Subsurface_Inputs!$C$37-2*Subsurface_Inputs!$C$36*(F176/1000)</f>
        <v/>
      </c>
      <c r="Q176" s="47">
        <f>Subsurface_Inputs!$C$38+Subsurface_Inputs!$C$39*H176-2*Subsurface_Inputs!$C$36*(I176/1000)</f>
        <v/>
      </c>
      <c r="R176" s="47">
        <f>Subsurface_Inputs!$C$40-2*Subsurface_Inputs!$C$36*(K176/1000)-Subsurface_Inputs!$C$41*ABS(L176-AVERAGE($L$2:$L$242))</f>
        <v/>
      </c>
      <c r="S176" s="47">
        <f>K176-AVERAGE($K$2:$K$242)</f>
        <v/>
      </c>
      <c r="T176" s="47">
        <f>K176/F176</f>
        <v/>
      </c>
      <c r="U176" s="50">
        <f>IF(H176&gt;=Subsurface_Inputs!$C$42,"Lens visible","Weak/no lens")</f>
        <v/>
      </c>
      <c r="V176" s="50">
        <f>IF(R176&gt;=W176,"Likely visible","Weak")</f>
        <v/>
      </c>
      <c r="W176" s="47">
        <f>Subsurface_Inputs!$C$43</f>
        <v/>
      </c>
      <c r="X176" s="47">
        <f>Q176-W176</f>
        <v/>
      </c>
      <c r="Y176" s="47">
        <f>R176-W176</f>
        <v/>
      </c>
      <c r="Z176" s="47">
        <f>MAX(Q176,R176)-W176</f>
        <v/>
      </c>
      <c r="AA176" s="47" t="n">
        <v>0</v>
      </c>
    </row>
    <row r="177">
      <c r="A177" s="47">
        <f>Model_Data!A177</f>
        <v/>
      </c>
      <c r="B177" s="47">
        <f>Model_Data!Y177</f>
        <v/>
      </c>
      <c r="C177" s="47">
        <f>Model_Data!X177</f>
        <v/>
      </c>
      <c r="D177" s="47">
        <f>Model_Data!B177</f>
        <v/>
      </c>
      <c r="E177" s="47">
        <f>Inputs!$C$6</f>
        <v/>
      </c>
      <c r="F177" s="47">
        <f>Subsurface_Inputs!$C$5+Subsurface_Inputs!$C$6*SIN(2*PI()*(A177+Subsurface_Inputs!$C$7)/Subsurface_Inputs!$C$8)+Subsurface_Inputs!$C$9*COS(2*PI()*A177/Subsurface_Inputs!$C$10)+Subsurface_Inputs!$C$11*(B177-AVERAGE($B$2:$B$242))</f>
        <v/>
      </c>
      <c r="G177" s="47">
        <f>B177-F177</f>
        <v/>
      </c>
      <c r="H177" s="47">
        <f>MIN(1,MAX(0,Subsurface_Inputs!$C$13*EXP(-0.5*((A177-Subsurface_Inputs!$C$14)/Subsurface_Inputs!$C$15)^2)+Subsurface_Inputs!$C$16*EXP(-0.5*((A177-Subsurface_Inputs!$C$17)/Subsurface_Inputs!$C$18)^2)))</f>
        <v/>
      </c>
      <c r="I177" s="47">
        <f>Subsurface_Inputs!$C$19+Subsurface_Inputs!$C$20*SIN(2*PI()*(A177-Subsurface_Inputs!$C$21)/Subsurface_Inputs!$C$22)-Subsurface_Inputs!$C$23*H177</f>
        <v/>
      </c>
      <c r="J177" s="47">
        <f>B177-I177</f>
        <v/>
      </c>
      <c r="K177" s="47">
        <f>Subsurface_Inputs!$C$25+Subsurface_Inputs!$C$26*SIN(2*PI()*(A177+Subsurface_Inputs!$C$27)/Subsurface_Inputs!$C$28)+Subsurface_Inputs!$C$29*COS(2*PI()*(A177-Subsurface_Inputs!$C$30)/Subsurface_Inputs!$C$31)-Subsurface_Inputs!$C$32*(B177-AVERAGE($B$2:$B$242))</f>
        <v/>
      </c>
      <c r="L177" s="47">
        <f>B177-K177</f>
        <v/>
      </c>
      <c r="M177" s="47">
        <f>2*Subsurface_Inputs!$C$34*F177/Subsurface_Inputs!$C$35*1000000</f>
        <v/>
      </c>
      <c r="N177" s="47">
        <f>2*Subsurface_Inputs!$C$34*I177/Subsurface_Inputs!$C$35*1000000</f>
        <v/>
      </c>
      <c r="O177" s="47">
        <f>2*Subsurface_Inputs!$C$34*K177/Subsurface_Inputs!$C$35*1000000</f>
        <v/>
      </c>
      <c r="P177" s="47">
        <f>Subsurface_Inputs!$C$37-2*Subsurface_Inputs!$C$36*(F177/1000)</f>
        <v/>
      </c>
      <c r="Q177" s="47">
        <f>Subsurface_Inputs!$C$38+Subsurface_Inputs!$C$39*H177-2*Subsurface_Inputs!$C$36*(I177/1000)</f>
        <v/>
      </c>
      <c r="R177" s="47">
        <f>Subsurface_Inputs!$C$40-2*Subsurface_Inputs!$C$36*(K177/1000)-Subsurface_Inputs!$C$41*ABS(L177-AVERAGE($L$2:$L$242))</f>
        <v/>
      </c>
      <c r="S177" s="47">
        <f>K177-AVERAGE($K$2:$K$242)</f>
        <v/>
      </c>
      <c r="T177" s="47">
        <f>K177/F177</f>
        <v/>
      </c>
      <c r="U177" s="50">
        <f>IF(H177&gt;=Subsurface_Inputs!$C$42,"Lens visible","Weak/no lens")</f>
        <v/>
      </c>
      <c r="V177" s="50">
        <f>IF(R177&gt;=W177,"Likely visible","Weak")</f>
        <v/>
      </c>
      <c r="W177" s="47">
        <f>Subsurface_Inputs!$C$43</f>
        <v/>
      </c>
      <c r="X177" s="47">
        <f>Q177-W177</f>
        <v/>
      </c>
      <c r="Y177" s="47">
        <f>R177-W177</f>
        <v/>
      </c>
      <c r="Z177" s="47">
        <f>MAX(Q177,R177)-W177</f>
        <v/>
      </c>
      <c r="AA177" s="47" t="n">
        <v>0</v>
      </c>
    </row>
    <row r="178">
      <c r="A178" s="47">
        <f>Model_Data!A178</f>
        <v/>
      </c>
      <c r="B178" s="47">
        <f>Model_Data!Y178</f>
        <v/>
      </c>
      <c r="C178" s="47">
        <f>Model_Data!X178</f>
        <v/>
      </c>
      <c r="D178" s="47">
        <f>Model_Data!B178</f>
        <v/>
      </c>
      <c r="E178" s="47">
        <f>Inputs!$C$6</f>
        <v/>
      </c>
      <c r="F178" s="47">
        <f>Subsurface_Inputs!$C$5+Subsurface_Inputs!$C$6*SIN(2*PI()*(A178+Subsurface_Inputs!$C$7)/Subsurface_Inputs!$C$8)+Subsurface_Inputs!$C$9*COS(2*PI()*A178/Subsurface_Inputs!$C$10)+Subsurface_Inputs!$C$11*(B178-AVERAGE($B$2:$B$242))</f>
        <v/>
      </c>
      <c r="G178" s="47">
        <f>B178-F178</f>
        <v/>
      </c>
      <c r="H178" s="47">
        <f>MIN(1,MAX(0,Subsurface_Inputs!$C$13*EXP(-0.5*((A178-Subsurface_Inputs!$C$14)/Subsurface_Inputs!$C$15)^2)+Subsurface_Inputs!$C$16*EXP(-0.5*((A178-Subsurface_Inputs!$C$17)/Subsurface_Inputs!$C$18)^2)))</f>
        <v/>
      </c>
      <c r="I178" s="47">
        <f>Subsurface_Inputs!$C$19+Subsurface_Inputs!$C$20*SIN(2*PI()*(A178-Subsurface_Inputs!$C$21)/Subsurface_Inputs!$C$22)-Subsurface_Inputs!$C$23*H178</f>
        <v/>
      </c>
      <c r="J178" s="47">
        <f>B178-I178</f>
        <v/>
      </c>
      <c r="K178" s="47">
        <f>Subsurface_Inputs!$C$25+Subsurface_Inputs!$C$26*SIN(2*PI()*(A178+Subsurface_Inputs!$C$27)/Subsurface_Inputs!$C$28)+Subsurface_Inputs!$C$29*COS(2*PI()*(A178-Subsurface_Inputs!$C$30)/Subsurface_Inputs!$C$31)-Subsurface_Inputs!$C$32*(B178-AVERAGE($B$2:$B$242))</f>
        <v/>
      </c>
      <c r="L178" s="47">
        <f>B178-K178</f>
        <v/>
      </c>
      <c r="M178" s="47">
        <f>2*Subsurface_Inputs!$C$34*F178/Subsurface_Inputs!$C$35*1000000</f>
        <v/>
      </c>
      <c r="N178" s="47">
        <f>2*Subsurface_Inputs!$C$34*I178/Subsurface_Inputs!$C$35*1000000</f>
        <v/>
      </c>
      <c r="O178" s="47">
        <f>2*Subsurface_Inputs!$C$34*K178/Subsurface_Inputs!$C$35*1000000</f>
        <v/>
      </c>
      <c r="P178" s="47">
        <f>Subsurface_Inputs!$C$37-2*Subsurface_Inputs!$C$36*(F178/1000)</f>
        <v/>
      </c>
      <c r="Q178" s="47">
        <f>Subsurface_Inputs!$C$38+Subsurface_Inputs!$C$39*H178-2*Subsurface_Inputs!$C$36*(I178/1000)</f>
        <v/>
      </c>
      <c r="R178" s="47">
        <f>Subsurface_Inputs!$C$40-2*Subsurface_Inputs!$C$36*(K178/1000)-Subsurface_Inputs!$C$41*ABS(L178-AVERAGE($L$2:$L$242))</f>
        <v/>
      </c>
      <c r="S178" s="47">
        <f>K178-AVERAGE($K$2:$K$242)</f>
        <v/>
      </c>
      <c r="T178" s="47">
        <f>K178/F178</f>
        <v/>
      </c>
      <c r="U178" s="50">
        <f>IF(H178&gt;=Subsurface_Inputs!$C$42,"Lens visible","Weak/no lens")</f>
        <v/>
      </c>
      <c r="V178" s="50">
        <f>IF(R178&gt;=W178,"Likely visible","Weak")</f>
        <v/>
      </c>
      <c r="W178" s="47">
        <f>Subsurface_Inputs!$C$43</f>
        <v/>
      </c>
      <c r="X178" s="47">
        <f>Q178-W178</f>
        <v/>
      </c>
      <c r="Y178" s="47">
        <f>R178-W178</f>
        <v/>
      </c>
      <c r="Z178" s="47">
        <f>MAX(Q178,R178)-W178</f>
        <v/>
      </c>
      <c r="AA178" s="47" t="n">
        <v>0</v>
      </c>
    </row>
    <row r="179">
      <c r="A179" s="47">
        <f>Model_Data!A179</f>
        <v/>
      </c>
      <c r="B179" s="47">
        <f>Model_Data!Y179</f>
        <v/>
      </c>
      <c r="C179" s="47">
        <f>Model_Data!X179</f>
        <v/>
      </c>
      <c r="D179" s="47">
        <f>Model_Data!B179</f>
        <v/>
      </c>
      <c r="E179" s="47">
        <f>Inputs!$C$6</f>
        <v/>
      </c>
      <c r="F179" s="47">
        <f>Subsurface_Inputs!$C$5+Subsurface_Inputs!$C$6*SIN(2*PI()*(A179+Subsurface_Inputs!$C$7)/Subsurface_Inputs!$C$8)+Subsurface_Inputs!$C$9*COS(2*PI()*A179/Subsurface_Inputs!$C$10)+Subsurface_Inputs!$C$11*(B179-AVERAGE($B$2:$B$242))</f>
        <v/>
      </c>
      <c r="G179" s="47">
        <f>B179-F179</f>
        <v/>
      </c>
      <c r="H179" s="47">
        <f>MIN(1,MAX(0,Subsurface_Inputs!$C$13*EXP(-0.5*((A179-Subsurface_Inputs!$C$14)/Subsurface_Inputs!$C$15)^2)+Subsurface_Inputs!$C$16*EXP(-0.5*((A179-Subsurface_Inputs!$C$17)/Subsurface_Inputs!$C$18)^2)))</f>
        <v/>
      </c>
      <c r="I179" s="47">
        <f>Subsurface_Inputs!$C$19+Subsurface_Inputs!$C$20*SIN(2*PI()*(A179-Subsurface_Inputs!$C$21)/Subsurface_Inputs!$C$22)-Subsurface_Inputs!$C$23*H179</f>
        <v/>
      </c>
      <c r="J179" s="47">
        <f>B179-I179</f>
        <v/>
      </c>
      <c r="K179" s="47">
        <f>Subsurface_Inputs!$C$25+Subsurface_Inputs!$C$26*SIN(2*PI()*(A179+Subsurface_Inputs!$C$27)/Subsurface_Inputs!$C$28)+Subsurface_Inputs!$C$29*COS(2*PI()*(A179-Subsurface_Inputs!$C$30)/Subsurface_Inputs!$C$31)-Subsurface_Inputs!$C$32*(B179-AVERAGE($B$2:$B$242))</f>
        <v/>
      </c>
      <c r="L179" s="47">
        <f>B179-K179</f>
        <v/>
      </c>
      <c r="M179" s="47">
        <f>2*Subsurface_Inputs!$C$34*F179/Subsurface_Inputs!$C$35*1000000</f>
        <v/>
      </c>
      <c r="N179" s="47">
        <f>2*Subsurface_Inputs!$C$34*I179/Subsurface_Inputs!$C$35*1000000</f>
        <v/>
      </c>
      <c r="O179" s="47">
        <f>2*Subsurface_Inputs!$C$34*K179/Subsurface_Inputs!$C$35*1000000</f>
        <v/>
      </c>
      <c r="P179" s="47">
        <f>Subsurface_Inputs!$C$37-2*Subsurface_Inputs!$C$36*(F179/1000)</f>
        <v/>
      </c>
      <c r="Q179" s="47">
        <f>Subsurface_Inputs!$C$38+Subsurface_Inputs!$C$39*H179-2*Subsurface_Inputs!$C$36*(I179/1000)</f>
        <v/>
      </c>
      <c r="R179" s="47">
        <f>Subsurface_Inputs!$C$40-2*Subsurface_Inputs!$C$36*(K179/1000)-Subsurface_Inputs!$C$41*ABS(L179-AVERAGE($L$2:$L$242))</f>
        <v/>
      </c>
      <c r="S179" s="47">
        <f>K179-AVERAGE($K$2:$K$242)</f>
        <v/>
      </c>
      <c r="T179" s="47">
        <f>K179/F179</f>
        <v/>
      </c>
      <c r="U179" s="50">
        <f>IF(H179&gt;=Subsurface_Inputs!$C$42,"Lens visible","Weak/no lens")</f>
        <v/>
      </c>
      <c r="V179" s="50">
        <f>IF(R179&gt;=W179,"Likely visible","Weak")</f>
        <v/>
      </c>
      <c r="W179" s="47">
        <f>Subsurface_Inputs!$C$43</f>
        <v/>
      </c>
      <c r="X179" s="47">
        <f>Q179-W179</f>
        <v/>
      </c>
      <c r="Y179" s="47">
        <f>R179-W179</f>
        <v/>
      </c>
      <c r="Z179" s="47">
        <f>MAX(Q179,R179)-W179</f>
        <v/>
      </c>
      <c r="AA179" s="47" t="n">
        <v>0</v>
      </c>
    </row>
    <row r="180">
      <c r="A180" s="47">
        <f>Model_Data!A180</f>
        <v/>
      </c>
      <c r="B180" s="47">
        <f>Model_Data!Y180</f>
        <v/>
      </c>
      <c r="C180" s="47">
        <f>Model_Data!X180</f>
        <v/>
      </c>
      <c r="D180" s="47">
        <f>Model_Data!B180</f>
        <v/>
      </c>
      <c r="E180" s="47">
        <f>Inputs!$C$6</f>
        <v/>
      </c>
      <c r="F180" s="47">
        <f>Subsurface_Inputs!$C$5+Subsurface_Inputs!$C$6*SIN(2*PI()*(A180+Subsurface_Inputs!$C$7)/Subsurface_Inputs!$C$8)+Subsurface_Inputs!$C$9*COS(2*PI()*A180/Subsurface_Inputs!$C$10)+Subsurface_Inputs!$C$11*(B180-AVERAGE($B$2:$B$242))</f>
        <v/>
      </c>
      <c r="G180" s="47">
        <f>B180-F180</f>
        <v/>
      </c>
      <c r="H180" s="47">
        <f>MIN(1,MAX(0,Subsurface_Inputs!$C$13*EXP(-0.5*((A180-Subsurface_Inputs!$C$14)/Subsurface_Inputs!$C$15)^2)+Subsurface_Inputs!$C$16*EXP(-0.5*((A180-Subsurface_Inputs!$C$17)/Subsurface_Inputs!$C$18)^2)))</f>
        <v/>
      </c>
      <c r="I180" s="47">
        <f>Subsurface_Inputs!$C$19+Subsurface_Inputs!$C$20*SIN(2*PI()*(A180-Subsurface_Inputs!$C$21)/Subsurface_Inputs!$C$22)-Subsurface_Inputs!$C$23*H180</f>
        <v/>
      </c>
      <c r="J180" s="47">
        <f>B180-I180</f>
        <v/>
      </c>
      <c r="K180" s="47">
        <f>Subsurface_Inputs!$C$25+Subsurface_Inputs!$C$26*SIN(2*PI()*(A180+Subsurface_Inputs!$C$27)/Subsurface_Inputs!$C$28)+Subsurface_Inputs!$C$29*COS(2*PI()*(A180-Subsurface_Inputs!$C$30)/Subsurface_Inputs!$C$31)-Subsurface_Inputs!$C$32*(B180-AVERAGE($B$2:$B$242))</f>
        <v/>
      </c>
      <c r="L180" s="47">
        <f>B180-K180</f>
        <v/>
      </c>
      <c r="M180" s="47">
        <f>2*Subsurface_Inputs!$C$34*F180/Subsurface_Inputs!$C$35*1000000</f>
        <v/>
      </c>
      <c r="N180" s="47">
        <f>2*Subsurface_Inputs!$C$34*I180/Subsurface_Inputs!$C$35*1000000</f>
        <v/>
      </c>
      <c r="O180" s="47">
        <f>2*Subsurface_Inputs!$C$34*K180/Subsurface_Inputs!$C$35*1000000</f>
        <v/>
      </c>
      <c r="P180" s="47">
        <f>Subsurface_Inputs!$C$37-2*Subsurface_Inputs!$C$36*(F180/1000)</f>
        <v/>
      </c>
      <c r="Q180" s="47">
        <f>Subsurface_Inputs!$C$38+Subsurface_Inputs!$C$39*H180-2*Subsurface_Inputs!$C$36*(I180/1000)</f>
        <v/>
      </c>
      <c r="R180" s="47">
        <f>Subsurface_Inputs!$C$40-2*Subsurface_Inputs!$C$36*(K180/1000)-Subsurface_Inputs!$C$41*ABS(L180-AVERAGE($L$2:$L$242))</f>
        <v/>
      </c>
      <c r="S180" s="47">
        <f>K180-AVERAGE($K$2:$K$242)</f>
        <v/>
      </c>
      <c r="T180" s="47">
        <f>K180/F180</f>
        <v/>
      </c>
      <c r="U180" s="50">
        <f>IF(H180&gt;=Subsurface_Inputs!$C$42,"Lens visible","Weak/no lens")</f>
        <v/>
      </c>
      <c r="V180" s="50">
        <f>IF(R180&gt;=W180,"Likely visible","Weak")</f>
        <v/>
      </c>
      <c r="W180" s="47">
        <f>Subsurface_Inputs!$C$43</f>
        <v/>
      </c>
      <c r="X180" s="47">
        <f>Q180-W180</f>
        <v/>
      </c>
      <c r="Y180" s="47">
        <f>R180-W180</f>
        <v/>
      </c>
      <c r="Z180" s="47">
        <f>MAX(Q180,R180)-W180</f>
        <v/>
      </c>
      <c r="AA180" s="47" t="n">
        <v>0</v>
      </c>
    </row>
    <row r="181">
      <c r="A181" s="47">
        <f>Model_Data!A181</f>
        <v/>
      </c>
      <c r="B181" s="47">
        <f>Model_Data!Y181</f>
        <v/>
      </c>
      <c r="C181" s="47">
        <f>Model_Data!X181</f>
        <v/>
      </c>
      <c r="D181" s="47">
        <f>Model_Data!B181</f>
        <v/>
      </c>
      <c r="E181" s="47">
        <f>Inputs!$C$6</f>
        <v/>
      </c>
      <c r="F181" s="47">
        <f>Subsurface_Inputs!$C$5+Subsurface_Inputs!$C$6*SIN(2*PI()*(A181+Subsurface_Inputs!$C$7)/Subsurface_Inputs!$C$8)+Subsurface_Inputs!$C$9*COS(2*PI()*A181/Subsurface_Inputs!$C$10)+Subsurface_Inputs!$C$11*(B181-AVERAGE($B$2:$B$242))</f>
        <v/>
      </c>
      <c r="G181" s="47">
        <f>B181-F181</f>
        <v/>
      </c>
      <c r="H181" s="47">
        <f>MIN(1,MAX(0,Subsurface_Inputs!$C$13*EXP(-0.5*((A181-Subsurface_Inputs!$C$14)/Subsurface_Inputs!$C$15)^2)+Subsurface_Inputs!$C$16*EXP(-0.5*((A181-Subsurface_Inputs!$C$17)/Subsurface_Inputs!$C$18)^2)))</f>
        <v/>
      </c>
      <c r="I181" s="47">
        <f>Subsurface_Inputs!$C$19+Subsurface_Inputs!$C$20*SIN(2*PI()*(A181-Subsurface_Inputs!$C$21)/Subsurface_Inputs!$C$22)-Subsurface_Inputs!$C$23*H181</f>
        <v/>
      </c>
      <c r="J181" s="47">
        <f>B181-I181</f>
        <v/>
      </c>
      <c r="K181" s="47">
        <f>Subsurface_Inputs!$C$25+Subsurface_Inputs!$C$26*SIN(2*PI()*(A181+Subsurface_Inputs!$C$27)/Subsurface_Inputs!$C$28)+Subsurface_Inputs!$C$29*COS(2*PI()*(A181-Subsurface_Inputs!$C$30)/Subsurface_Inputs!$C$31)-Subsurface_Inputs!$C$32*(B181-AVERAGE($B$2:$B$242))</f>
        <v/>
      </c>
      <c r="L181" s="47">
        <f>B181-K181</f>
        <v/>
      </c>
      <c r="M181" s="47">
        <f>2*Subsurface_Inputs!$C$34*F181/Subsurface_Inputs!$C$35*1000000</f>
        <v/>
      </c>
      <c r="N181" s="47">
        <f>2*Subsurface_Inputs!$C$34*I181/Subsurface_Inputs!$C$35*1000000</f>
        <v/>
      </c>
      <c r="O181" s="47">
        <f>2*Subsurface_Inputs!$C$34*K181/Subsurface_Inputs!$C$35*1000000</f>
        <v/>
      </c>
      <c r="P181" s="47">
        <f>Subsurface_Inputs!$C$37-2*Subsurface_Inputs!$C$36*(F181/1000)</f>
        <v/>
      </c>
      <c r="Q181" s="47">
        <f>Subsurface_Inputs!$C$38+Subsurface_Inputs!$C$39*H181-2*Subsurface_Inputs!$C$36*(I181/1000)</f>
        <v/>
      </c>
      <c r="R181" s="47">
        <f>Subsurface_Inputs!$C$40-2*Subsurface_Inputs!$C$36*(K181/1000)-Subsurface_Inputs!$C$41*ABS(L181-AVERAGE($L$2:$L$242))</f>
        <v/>
      </c>
      <c r="S181" s="47">
        <f>K181-AVERAGE($K$2:$K$242)</f>
        <v/>
      </c>
      <c r="T181" s="47">
        <f>K181/F181</f>
        <v/>
      </c>
      <c r="U181" s="50">
        <f>IF(H181&gt;=Subsurface_Inputs!$C$42,"Lens visible","Weak/no lens")</f>
        <v/>
      </c>
      <c r="V181" s="50">
        <f>IF(R181&gt;=W181,"Likely visible","Weak")</f>
        <v/>
      </c>
      <c r="W181" s="47">
        <f>Subsurface_Inputs!$C$43</f>
        <v/>
      </c>
      <c r="X181" s="47">
        <f>Q181-W181</f>
        <v/>
      </c>
      <c r="Y181" s="47">
        <f>R181-W181</f>
        <v/>
      </c>
      <c r="Z181" s="47">
        <f>MAX(Q181,R181)-W181</f>
        <v/>
      </c>
      <c r="AA181" s="47" t="n">
        <v>0</v>
      </c>
    </row>
    <row r="182">
      <c r="A182" s="47">
        <f>Model_Data!A182</f>
        <v/>
      </c>
      <c r="B182" s="47">
        <f>Model_Data!Y182</f>
        <v/>
      </c>
      <c r="C182" s="47">
        <f>Model_Data!X182</f>
        <v/>
      </c>
      <c r="D182" s="47">
        <f>Model_Data!B182</f>
        <v/>
      </c>
      <c r="E182" s="47">
        <f>Inputs!$C$6</f>
        <v/>
      </c>
      <c r="F182" s="47">
        <f>Subsurface_Inputs!$C$5+Subsurface_Inputs!$C$6*SIN(2*PI()*(A182+Subsurface_Inputs!$C$7)/Subsurface_Inputs!$C$8)+Subsurface_Inputs!$C$9*COS(2*PI()*A182/Subsurface_Inputs!$C$10)+Subsurface_Inputs!$C$11*(B182-AVERAGE($B$2:$B$242))</f>
        <v/>
      </c>
      <c r="G182" s="47">
        <f>B182-F182</f>
        <v/>
      </c>
      <c r="H182" s="47">
        <f>MIN(1,MAX(0,Subsurface_Inputs!$C$13*EXP(-0.5*((A182-Subsurface_Inputs!$C$14)/Subsurface_Inputs!$C$15)^2)+Subsurface_Inputs!$C$16*EXP(-0.5*((A182-Subsurface_Inputs!$C$17)/Subsurface_Inputs!$C$18)^2)))</f>
        <v/>
      </c>
      <c r="I182" s="47">
        <f>Subsurface_Inputs!$C$19+Subsurface_Inputs!$C$20*SIN(2*PI()*(A182-Subsurface_Inputs!$C$21)/Subsurface_Inputs!$C$22)-Subsurface_Inputs!$C$23*H182</f>
        <v/>
      </c>
      <c r="J182" s="47">
        <f>B182-I182</f>
        <v/>
      </c>
      <c r="K182" s="47">
        <f>Subsurface_Inputs!$C$25+Subsurface_Inputs!$C$26*SIN(2*PI()*(A182+Subsurface_Inputs!$C$27)/Subsurface_Inputs!$C$28)+Subsurface_Inputs!$C$29*COS(2*PI()*(A182-Subsurface_Inputs!$C$30)/Subsurface_Inputs!$C$31)-Subsurface_Inputs!$C$32*(B182-AVERAGE($B$2:$B$242))</f>
        <v/>
      </c>
      <c r="L182" s="47">
        <f>B182-K182</f>
        <v/>
      </c>
      <c r="M182" s="47">
        <f>2*Subsurface_Inputs!$C$34*F182/Subsurface_Inputs!$C$35*1000000</f>
        <v/>
      </c>
      <c r="N182" s="47">
        <f>2*Subsurface_Inputs!$C$34*I182/Subsurface_Inputs!$C$35*1000000</f>
        <v/>
      </c>
      <c r="O182" s="47">
        <f>2*Subsurface_Inputs!$C$34*K182/Subsurface_Inputs!$C$35*1000000</f>
        <v/>
      </c>
      <c r="P182" s="47">
        <f>Subsurface_Inputs!$C$37-2*Subsurface_Inputs!$C$36*(F182/1000)</f>
        <v/>
      </c>
      <c r="Q182" s="47">
        <f>Subsurface_Inputs!$C$38+Subsurface_Inputs!$C$39*H182-2*Subsurface_Inputs!$C$36*(I182/1000)</f>
        <v/>
      </c>
      <c r="R182" s="47">
        <f>Subsurface_Inputs!$C$40-2*Subsurface_Inputs!$C$36*(K182/1000)-Subsurface_Inputs!$C$41*ABS(L182-AVERAGE($L$2:$L$242))</f>
        <v/>
      </c>
      <c r="S182" s="47">
        <f>K182-AVERAGE($K$2:$K$242)</f>
        <v/>
      </c>
      <c r="T182" s="47">
        <f>K182/F182</f>
        <v/>
      </c>
      <c r="U182" s="50">
        <f>IF(H182&gt;=Subsurface_Inputs!$C$42,"Lens visible","Weak/no lens")</f>
        <v/>
      </c>
      <c r="V182" s="50">
        <f>IF(R182&gt;=W182,"Likely visible","Weak")</f>
        <v/>
      </c>
      <c r="W182" s="47">
        <f>Subsurface_Inputs!$C$43</f>
        <v/>
      </c>
      <c r="X182" s="47">
        <f>Q182-W182</f>
        <v/>
      </c>
      <c r="Y182" s="47">
        <f>R182-W182</f>
        <v/>
      </c>
      <c r="Z182" s="47">
        <f>MAX(Q182,R182)-W182</f>
        <v/>
      </c>
      <c r="AA182" s="47" t="n">
        <v>0</v>
      </c>
    </row>
    <row r="183">
      <c r="A183" s="47">
        <f>Model_Data!A183</f>
        <v/>
      </c>
      <c r="B183" s="47">
        <f>Model_Data!Y183</f>
        <v/>
      </c>
      <c r="C183" s="47">
        <f>Model_Data!X183</f>
        <v/>
      </c>
      <c r="D183" s="47">
        <f>Model_Data!B183</f>
        <v/>
      </c>
      <c r="E183" s="47">
        <f>Inputs!$C$6</f>
        <v/>
      </c>
      <c r="F183" s="47">
        <f>Subsurface_Inputs!$C$5+Subsurface_Inputs!$C$6*SIN(2*PI()*(A183+Subsurface_Inputs!$C$7)/Subsurface_Inputs!$C$8)+Subsurface_Inputs!$C$9*COS(2*PI()*A183/Subsurface_Inputs!$C$10)+Subsurface_Inputs!$C$11*(B183-AVERAGE($B$2:$B$242))</f>
        <v/>
      </c>
      <c r="G183" s="47">
        <f>B183-F183</f>
        <v/>
      </c>
      <c r="H183" s="47">
        <f>MIN(1,MAX(0,Subsurface_Inputs!$C$13*EXP(-0.5*((A183-Subsurface_Inputs!$C$14)/Subsurface_Inputs!$C$15)^2)+Subsurface_Inputs!$C$16*EXP(-0.5*((A183-Subsurface_Inputs!$C$17)/Subsurface_Inputs!$C$18)^2)))</f>
        <v/>
      </c>
      <c r="I183" s="47">
        <f>Subsurface_Inputs!$C$19+Subsurface_Inputs!$C$20*SIN(2*PI()*(A183-Subsurface_Inputs!$C$21)/Subsurface_Inputs!$C$22)-Subsurface_Inputs!$C$23*H183</f>
        <v/>
      </c>
      <c r="J183" s="47">
        <f>B183-I183</f>
        <v/>
      </c>
      <c r="K183" s="47">
        <f>Subsurface_Inputs!$C$25+Subsurface_Inputs!$C$26*SIN(2*PI()*(A183+Subsurface_Inputs!$C$27)/Subsurface_Inputs!$C$28)+Subsurface_Inputs!$C$29*COS(2*PI()*(A183-Subsurface_Inputs!$C$30)/Subsurface_Inputs!$C$31)-Subsurface_Inputs!$C$32*(B183-AVERAGE($B$2:$B$242))</f>
        <v/>
      </c>
      <c r="L183" s="47">
        <f>B183-K183</f>
        <v/>
      </c>
      <c r="M183" s="47">
        <f>2*Subsurface_Inputs!$C$34*F183/Subsurface_Inputs!$C$35*1000000</f>
        <v/>
      </c>
      <c r="N183" s="47">
        <f>2*Subsurface_Inputs!$C$34*I183/Subsurface_Inputs!$C$35*1000000</f>
        <v/>
      </c>
      <c r="O183" s="47">
        <f>2*Subsurface_Inputs!$C$34*K183/Subsurface_Inputs!$C$35*1000000</f>
        <v/>
      </c>
      <c r="P183" s="47">
        <f>Subsurface_Inputs!$C$37-2*Subsurface_Inputs!$C$36*(F183/1000)</f>
        <v/>
      </c>
      <c r="Q183" s="47">
        <f>Subsurface_Inputs!$C$38+Subsurface_Inputs!$C$39*H183-2*Subsurface_Inputs!$C$36*(I183/1000)</f>
        <v/>
      </c>
      <c r="R183" s="47">
        <f>Subsurface_Inputs!$C$40-2*Subsurface_Inputs!$C$36*(K183/1000)-Subsurface_Inputs!$C$41*ABS(L183-AVERAGE($L$2:$L$242))</f>
        <v/>
      </c>
      <c r="S183" s="47">
        <f>K183-AVERAGE($K$2:$K$242)</f>
        <v/>
      </c>
      <c r="T183" s="47">
        <f>K183/F183</f>
        <v/>
      </c>
      <c r="U183" s="50">
        <f>IF(H183&gt;=Subsurface_Inputs!$C$42,"Lens visible","Weak/no lens")</f>
        <v/>
      </c>
      <c r="V183" s="50">
        <f>IF(R183&gt;=W183,"Likely visible","Weak")</f>
        <v/>
      </c>
      <c r="W183" s="47">
        <f>Subsurface_Inputs!$C$43</f>
        <v/>
      </c>
      <c r="X183" s="47">
        <f>Q183-W183</f>
        <v/>
      </c>
      <c r="Y183" s="47">
        <f>R183-W183</f>
        <v/>
      </c>
      <c r="Z183" s="47">
        <f>MAX(Q183,R183)-W183</f>
        <v/>
      </c>
      <c r="AA183" s="47" t="n">
        <v>0</v>
      </c>
    </row>
    <row r="184">
      <c r="A184" s="47">
        <f>Model_Data!A184</f>
        <v/>
      </c>
      <c r="B184" s="47">
        <f>Model_Data!Y184</f>
        <v/>
      </c>
      <c r="C184" s="47">
        <f>Model_Data!X184</f>
        <v/>
      </c>
      <c r="D184" s="47">
        <f>Model_Data!B184</f>
        <v/>
      </c>
      <c r="E184" s="47">
        <f>Inputs!$C$6</f>
        <v/>
      </c>
      <c r="F184" s="47">
        <f>Subsurface_Inputs!$C$5+Subsurface_Inputs!$C$6*SIN(2*PI()*(A184+Subsurface_Inputs!$C$7)/Subsurface_Inputs!$C$8)+Subsurface_Inputs!$C$9*COS(2*PI()*A184/Subsurface_Inputs!$C$10)+Subsurface_Inputs!$C$11*(B184-AVERAGE($B$2:$B$242))</f>
        <v/>
      </c>
      <c r="G184" s="47">
        <f>B184-F184</f>
        <v/>
      </c>
      <c r="H184" s="47">
        <f>MIN(1,MAX(0,Subsurface_Inputs!$C$13*EXP(-0.5*((A184-Subsurface_Inputs!$C$14)/Subsurface_Inputs!$C$15)^2)+Subsurface_Inputs!$C$16*EXP(-0.5*((A184-Subsurface_Inputs!$C$17)/Subsurface_Inputs!$C$18)^2)))</f>
        <v/>
      </c>
      <c r="I184" s="47">
        <f>Subsurface_Inputs!$C$19+Subsurface_Inputs!$C$20*SIN(2*PI()*(A184-Subsurface_Inputs!$C$21)/Subsurface_Inputs!$C$22)-Subsurface_Inputs!$C$23*H184</f>
        <v/>
      </c>
      <c r="J184" s="47">
        <f>B184-I184</f>
        <v/>
      </c>
      <c r="K184" s="47">
        <f>Subsurface_Inputs!$C$25+Subsurface_Inputs!$C$26*SIN(2*PI()*(A184+Subsurface_Inputs!$C$27)/Subsurface_Inputs!$C$28)+Subsurface_Inputs!$C$29*COS(2*PI()*(A184-Subsurface_Inputs!$C$30)/Subsurface_Inputs!$C$31)-Subsurface_Inputs!$C$32*(B184-AVERAGE($B$2:$B$242))</f>
        <v/>
      </c>
      <c r="L184" s="47">
        <f>B184-K184</f>
        <v/>
      </c>
      <c r="M184" s="47">
        <f>2*Subsurface_Inputs!$C$34*F184/Subsurface_Inputs!$C$35*1000000</f>
        <v/>
      </c>
      <c r="N184" s="47">
        <f>2*Subsurface_Inputs!$C$34*I184/Subsurface_Inputs!$C$35*1000000</f>
        <v/>
      </c>
      <c r="O184" s="47">
        <f>2*Subsurface_Inputs!$C$34*K184/Subsurface_Inputs!$C$35*1000000</f>
        <v/>
      </c>
      <c r="P184" s="47">
        <f>Subsurface_Inputs!$C$37-2*Subsurface_Inputs!$C$36*(F184/1000)</f>
        <v/>
      </c>
      <c r="Q184" s="47">
        <f>Subsurface_Inputs!$C$38+Subsurface_Inputs!$C$39*H184-2*Subsurface_Inputs!$C$36*(I184/1000)</f>
        <v/>
      </c>
      <c r="R184" s="47">
        <f>Subsurface_Inputs!$C$40-2*Subsurface_Inputs!$C$36*(K184/1000)-Subsurface_Inputs!$C$41*ABS(L184-AVERAGE($L$2:$L$242))</f>
        <v/>
      </c>
      <c r="S184" s="47">
        <f>K184-AVERAGE($K$2:$K$242)</f>
        <v/>
      </c>
      <c r="T184" s="47">
        <f>K184/F184</f>
        <v/>
      </c>
      <c r="U184" s="50">
        <f>IF(H184&gt;=Subsurface_Inputs!$C$42,"Lens visible","Weak/no lens")</f>
        <v/>
      </c>
      <c r="V184" s="50">
        <f>IF(R184&gt;=W184,"Likely visible","Weak")</f>
        <v/>
      </c>
      <c r="W184" s="47">
        <f>Subsurface_Inputs!$C$43</f>
        <v/>
      </c>
      <c r="X184" s="47">
        <f>Q184-W184</f>
        <v/>
      </c>
      <c r="Y184" s="47">
        <f>R184-W184</f>
        <v/>
      </c>
      <c r="Z184" s="47">
        <f>MAX(Q184,R184)-W184</f>
        <v/>
      </c>
      <c r="AA184" s="47" t="n">
        <v>0</v>
      </c>
    </row>
    <row r="185">
      <c r="A185" s="47">
        <f>Model_Data!A185</f>
        <v/>
      </c>
      <c r="B185" s="47">
        <f>Model_Data!Y185</f>
        <v/>
      </c>
      <c r="C185" s="47">
        <f>Model_Data!X185</f>
        <v/>
      </c>
      <c r="D185" s="47">
        <f>Model_Data!B185</f>
        <v/>
      </c>
      <c r="E185" s="47">
        <f>Inputs!$C$6</f>
        <v/>
      </c>
      <c r="F185" s="47">
        <f>Subsurface_Inputs!$C$5+Subsurface_Inputs!$C$6*SIN(2*PI()*(A185+Subsurface_Inputs!$C$7)/Subsurface_Inputs!$C$8)+Subsurface_Inputs!$C$9*COS(2*PI()*A185/Subsurface_Inputs!$C$10)+Subsurface_Inputs!$C$11*(B185-AVERAGE($B$2:$B$242))</f>
        <v/>
      </c>
      <c r="G185" s="47">
        <f>B185-F185</f>
        <v/>
      </c>
      <c r="H185" s="47">
        <f>MIN(1,MAX(0,Subsurface_Inputs!$C$13*EXP(-0.5*((A185-Subsurface_Inputs!$C$14)/Subsurface_Inputs!$C$15)^2)+Subsurface_Inputs!$C$16*EXP(-0.5*((A185-Subsurface_Inputs!$C$17)/Subsurface_Inputs!$C$18)^2)))</f>
        <v/>
      </c>
      <c r="I185" s="47">
        <f>Subsurface_Inputs!$C$19+Subsurface_Inputs!$C$20*SIN(2*PI()*(A185-Subsurface_Inputs!$C$21)/Subsurface_Inputs!$C$22)-Subsurface_Inputs!$C$23*H185</f>
        <v/>
      </c>
      <c r="J185" s="47">
        <f>B185-I185</f>
        <v/>
      </c>
      <c r="K185" s="47">
        <f>Subsurface_Inputs!$C$25+Subsurface_Inputs!$C$26*SIN(2*PI()*(A185+Subsurface_Inputs!$C$27)/Subsurface_Inputs!$C$28)+Subsurface_Inputs!$C$29*COS(2*PI()*(A185-Subsurface_Inputs!$C$30)/Subsurface_Inputs!$C$31)-Subsurface_Inputs!$C$32*(B185-AVERAGE($B$2:$B$242))</f>
        <v/>
      </c>
      <c r="L185" s="47">
        <f>B185-K185</f>
        <v/>
      </c>
      <c r="M185" s="47">
        <f>2*Subsurface_Inputs!$C$34*F185/Subsurface_Inputs!$C$35*1000000</f>
        <v/>
      </c>
      <c r="N185" s="47">
        <f>2*Subsurface_Inputs!$C$34*I185/Subsurface_Inputs!$C$35*1000000</f>
        <v/>
      </c>
      <c r="O185" s="47">
        <f>2*Subsurface_Inputs!$C$34*K185/Subsurface_Inputs!$C$35*1000000</f>
        <v/>
      </c>
      <c r="P185" s="47">
        <f>Subsurface_Inputs!$C$37-2*Subsurface_Inputs!$C$36*(F185/1000)</f>
        <v/>
      </c>
      <c r="Q185" s="47">
        <f>Subsurface_Inputs!$C$38+Subsurface_Inputs!$C$39*H185-2*Subsurface_Inputs!$C$36*(I185/1000)</f>
        <v/>
      </c>
      <c r="R185" s="47">
        <f>Subsurface_Inputs!$C$40-2*Subsurface_Inputs!$C$36*(K185/1000)-Subsurface_Inputs!$C$41*ABS(L185-AVERAGE($L$2:$L$242))</f>
        <v/>
      </c>
      <c r="S185" s="47">
        <f>K185-AVERAGE($K$2:$K$242)</f>
        <v/>
      </c>
      <c r="T185" s="47">
        <f>K185/F185</f>
        <v/>
      </c>
      <c r="U185" s="50">
        <f>IF(H185&gt;=Subsurface_Inputs!$C$42,"Lens visible","Weak/no lens")</f>
        <v/>
      </c>
      <c r="V185" s="50">
        <f>IF(R185&gt;=W185,"Likely visible","Weak")</f>
        <v/>
      </c>
      <c r="W185" s="47">
        <f>Subsurface_Inputs!$C$43</f>
        <v/>
      </c>
      <c r="X185" s="47">
        <f>Q185-W185</f>
        <v/>
      </c>
      <c r="Y185" s="47">
        <f>R185-W185</f>
        <v/>
      </c>
      <c r="Z185" s="47">
        <f>MAX(Q185,R185)-W185</f>
        <v/>
      </c>
      <c r="AA185" s="47" t="n">
        <v>0</v>
      </c>
    </row>
    <row r="186">
      <c r="A186" s="47">
        <f>Model_Data!A186</f>
        <v/>
      </c>
      <c r="B186" s="47">
        <f>Model_Data!Y186</f>
        <v/>
      </c>
      <c r="C186" s="47">
        <f>Model_Data!X186</f>
        <v/>
      </c>
      <c r="D186" s="47">
        <f>Model_Data!B186</f>
        <v/>
      </c>
      <c r="E186" s="47">
        <f>Inputs!$C$6</f>
        <v/>
      </c>
      <c r="F186" s="47">
        <f>Subsurface_Inputs!$C$5+Subsurface_Inputs!$C$6*SIN(2*PI()*(A186+Subsurface_Inputs!$C$7)/Subsurface_Inputs!$C$8)+Subsurface_Inputs!$C$9*COS(2*PI()*A186/Subsurface_Inputs!$C$10)+Subsurface_Inputs!$C$11*(B186-AVERAGE($B$2:$B$242))</f>
        <v/>
      </c>
      <c r="G186" s="47">
        <f>B186-F186</f>
        <v/>
      </c>
      <c r="H186" s="47">
        <f>MIN(1,MAX(0,Subsurface_Inputs!$C$13*EXP(-0.5*((A186-Subsurface_Inputs!$C$14)/Subsurface_Inputs!$C$15)^2)+Subsurface_Inputs!$C$16*EXP(-0.5*((A186-Subsurface_Inputs!$C$17)/Subsurface_Inputs!$C$18)^2)))</f>
        <v/>
      </c>
      <c r="I186" s="47">
        <f>Subsurface_Inputs!$C$19+Subsurface_Inputs!$C$20*SIN(2*PI()*(A186-Subsurface_Inputs!$C$21)/Subsurface_Inputs!$C$22)-Subsurface_Inputs!$C$23*H186</f>
        <v/>
      </c>
      <c r="J186" s="47">
        <f>B186-I186</f>
        <v/>
      </c>
      <c r="K186" s="47">
        <f>Subsurface_Inputs!$C$25+Subsurface_Inputs!$C$26*SIN(2*PI()*(A186+Subsurface_Inputs!$C$27)/Subsurface_Inputs!$C$28)+Subsurface_Inputs!$C$29*COS(2*PI()*(A186-Subsurface_Inputs!$C$30)/Subsurface_Inputs!$C$31)-Subsurface_Inputs!$C$32*(B186-AVERAGE($B$2:$B$242))</f>
        <v/>
      </c>
      <c r="L186" s="47">
        <f>B186-K186</f>
        <v/>
      </c>
      <c r="M186" s="47">
        <f>2*Subsurface_Inputs!$C$34*F186/Subsurface_Inputs!$C$35*1000000</f>
        <v/>
      </c>
      <c r="N186" s="47">
        <f>2*Subsurface_Inputs!$C$34*I186/Subsurface_Inputs!$C$35*1000000</f>
        <v/>
      </c>
      <c r="O186" s="47">
        <f>2*Subsurface_Inputs!$C$34*K186/Subsurface_Inputs!$C$35*1000000</f>
        <v/>
      </c>
      <c r="P186" s="47">
        <f>Subsurface_Inputs!$C$37-2*Subsurface_Inputs!$C$36*(F186/1000)</f>
        <v/>
      </c>
      <c r="Q186" s="47">
        <f>Subsurface_Inputs!$C$38+Subsurface_Inputs!$C$39*H186-2*Subsurface_Inputs!$C$36*(I186/1000)</f>
        <v/>
      </c>
      <c r="R186" s="47">
        <f>Subsurface_Inputs!$C$40-2*Subsurface_Inputs!$C$36*(K186/1000)-Subsurface_Inputs!$C$41*ABS(L186-AVERAGE($L$2:$L$242))</f>
        <v/>
      </c>
      <c r="S186" s="47">
        <f>K186-AVERAGE($K$2:$K$242)</f>
        <v/>
      </c>
      <c r="T186" s="47">
        <f>K186/F186</f>
        <v/>
      </c>
      <c r="U186" s="50">
        <f>IF(H186&gt;=Subsurface_Inputs!$C$42,"Lens visible","Weak/no lens")</f>
        <v/>
      </c>
      <c r="V186" s="50">
        <f>IF(R186&gt;=W186,"Likely visible","Weak")</f>
        <v/>
      </c>
      <c r="W186" s="47">
        <f>Subsurface_Inputs!$C$43</f>
        <v/>
      </c>
      <c r="X186" s="47">
        <f>Q186-W186</f>
        <v/>
      </c>
      <c r="Y186" s="47">
        <f>R186-W186</f>
        <v/>
      </c>
      <c r="Z186" s="47">
        <f>MAX(Q186,R186)-W186</f>
        <v/>
      </c>
      <c r="AA186" s="47" t="n">
        <v>0</v>
      </c>
    </row>
    <row r="187">
      <c r="A187" s="47">
        <f>Model_Data!A187</f>
        <v/>
      </c>
      <c r="B187" s="47">
        <f>Model_Data!Y187</f>
        <v/>
      </c>
      <c r="C187" s="47">
        <f>Model_Data!X187</f>
        <v/>
      </c>
      <c r="D187" s="47">
        <f>Model_Data!B187</f>
        <v/>
      </c>
      <c r="E187" s="47">
        <f>Inputs!$C$6</f>
        <v/>
      </c>
      <c r="F187" s="47">
        <f>Subsurface_Inputs!$C$5+Subsurface_Inputs!$C$6*SIN(2*PI()*(A187+Subsurface_Inputs!$C$7)/Subsurface_Inputs!$C$8)+Subsurface_Inputs!$C$9*COS(2*PI()*A187/Subsurface_Inputs!$C$10)+Subsurface_Inputs!$C$11*(B187-AVERAGE($B$2:$B$242))</f>
        <v/>
      </c>
      <c r="G187" s="47">
        <f>B187-F187</f>
        <v/>
      </c>
      <c r="H187" s="47">
        <f>MIN(1,MAX(0,Subsurface_Inputs!$C$13*EXP(-0.5*((A187-Subsurface_Inputs!$C$14)/Subsurface_Inputs!$C$15)^2)+Subsurface_Inputs!$C$16*EXP(-0.5*((A187-Subsurface_Inputs!$C$17)/Subsurface_Inputs!$C$18)^2)))</f>
        <v/>
      </c>
      <c r="I187" s="47">
        <f>Subsurface_Inputs!$C$19+Subsurface_Inputs!$C$20*SIN(2*PI()*(A187-Subsurface_Inputs!$C$21)/Subsurface_Inputs!$C$22)-Subsurface_Inputs!$C$23*H187</f>
        <v/>
      </c>
      <c r="J187" s="47">
        <f>B187-I187</f>
        <v/>
      </c>
      <c r="K187" s="47">
        <f>Subsurface_Inputs!$C$25+Subsurface_Inputs!$C$26*SIN(2*PI()*(A187+Subsurface_Inputs!$C$27)/Subsurface_Inputs!$C$28)+Subsurface_Inputs!$C$29*COS(2*PI()*(A187-Subsurface_Inputs!$C$30)/Subsurface_Inputs!$C$31)-Subsurface_Inputs!$C$32*(B187-AVERAGE($B$2:$B$242))</f>
        <v/>
      </c>
      <c r="L187" s="47">
        <f>B187-K187</f>
        <v/>
      </c>
      <c r="M187" s="47">
        <f>2*Subsurface_Inputs!$C$34*F187/Subsurface_Inputs!$C$35*1000000</f>
        <v/>
      </c>
      <c r="N187" s="47">
        <f>2*Subsurface_Inputs!$C$34*I187/Subsurface_Inputs!$C$35*1000000</f>
        <v/>
      </c>
      <c r="O187" s="47">
        <f>2*Subsurface_Inputs!$C$34*K187/Subsurface_Inputs!$C$35*1000000</f>
        <v/>
      </c>
      <c r="P187" s="47">
        <f>Subsurface_Inputs!$C$37-2*Subsurface_Inputs!$C$36*(F187/1000)</f>
        <v/>
      </c>
      <c r="Q187" s="47">
        <f>Subsurface_Inputs!$C$38+Subsurface_Inputs!$C$39*H187-2*Subsurface_Inputs!$C$36*(I187/1000)</f>
        <v/>
      </c>
      <c r="R187" s="47">
        <f>Subsurface_Inputs!$C$40-2*Subsurface_Inputs!$C$36*(K187/1000)-Subsurface_Inputs!$C$41*ABS(L187-AVERAGE($L$2:$L$242))</f>
        <v/>
      </c>
      <c r="S187" s="47">
        <f>K187-AVERAGE($K$2:$K$242)</f>
        <v/>
      </c>
      <c r="T187" s="47">
        <f>K187/F187</f>
        <v/>
      </c>
      <c r="U187" s="50">
        <f>IF(H187&gt;=Subsurface_Inputs!$C$42,"Lens visible","Weak/no lens")</f>
        <v/>
      </c>
      <c r="V187" s="50">
        <f>IF(R187&gt;=W187,"Likely visible","Weak")</f>
        <v/>
      </c>
      <c r="W187" s="47">
        <f>Subsurface_Inputs!$C$43</f>
        <v/>
      </c>
      <c r="X187" s="47">
        <f>Q187-W187</f>
        <v/>
      </c>
      <c r="Y187" s="47">
        <f>R187-W187</f>
        <v/>
      </c>
      <c r="Z187" s="47">
        <f>MAX(Q187,R187)-W187</f>
        <v/>
      </c>
      <c r="AA187" s="47" t="n">
        <v>0</v>
      </c>
    </row>
    <row r="188">
      <c r="A188" s="47">
        <f>Model_Data!A188</f>
        <v/>
      </c>
      <c r="B188" s="47">
        <f>Model_Data!Y188</f>
        <v/>
      </c>
      <c r="C188" s="47">
        <f>Model_Data!X188</f>
        <v/>
      </c>
      <c r="D188" s="47">
        <f>Model_Data!B188</f>
        <v/>
      </c>
      <c r="E188" s="47">
        <f>Inputs!$C$6</f>
        <v/>
      </c>
      <c r="F188" s="47">
        <f>Subsurface_Inputs!$C$5+Subsurface_Inputs!$C$6*SIN(2*PI()*(A188+Subsurface_Inputs!$C$7)/Subsurface_Inputs!$C$8)+Subsurface_Inputs!$C$9*COS(2*PI()*A188/Subsurface_Inputs!$C$10)+Subsurface_Inputs!$C$11*(B188-AVERAGE($B$2:$B$242))</f>
        <v/>
      </c>
      <c r="G188" s="47">
        <f>B188-F188</f>
        <v/>
      </c>
      <c r="H188" s="47">
        <f>MIN(1,MAX(0,Subsurface_Inputs!$C$13*EXP(-0.5*((A188-Subsurface_Inputs!$C$14)/Subsurface_Inputs!$C$15)^2)+Subsurface_Inputs!$C$16*EXP(-0.5*((A188-Subsurface_Inputs!$C$17)/Subsurface_Inputs!$C$18)^2)))</f>
        <v/>
      </c>
      <c r="I188" s="47">
        <f>Subsurface_Inputs!$C$19+Subsurface_Inputs!$C$20*SIN(2*PI()*(A188-Subsurface_Inputs!$C$21)/Subsurface_Inputs!$C$22)-Subsurface_Inputs!$C$23*H188</f>
        <v/>
      </c>
      <c r="J188" s="47">
        <f>B188-I188</f>
        <v/>
      </c>
      <c r="K188" s="47">
        <f>Subsurface_Inputs!$C$25+Subsurface_Inputs!$C$26*SIN(2*PI()*(A188+Subsurface_Inputs!$C$27)/Subsurface_Inputs!$C$28)+Subsurface_Inputs!$C$29*COS(2*PI()*(A188-Subsurface_Inputs!$C$30)/Subsurface_Inputs!$C$31)-Subsurface_Inputs!$C$32*(B188-AVERAGE($B$2:$B$242))</f>
        <v/>
      </c>
      <c r="L188" s="47">
        <f>B188-K188</f>
        <v/>
      </c>
      <c r="M188" s="47">
        <f>2*Subsurface_Inputs!$C$34*F188/Subsurface_Inputs!$C$35*1000000</f>
        <v/>
      </c>
      <c r="N188" s="47">
        <f>2*Subsurface_Inputs!$C$34*I188/Subsurface_Inputs!$C$35*1000000</f>
        <v/>
      </c>
      <c r="O188" s="47">
        <f>2*Subsurface_Inputs!$C$34*K188/Subsurface_Inputs!$C$35*1000000</f>
        <v/>
      </c>
      <c r="P188" s="47">
        <f>Subsurface_Inputs!$C$37-2*Subsurface_Inputs!$C$36*(F188/1000)</f>
        <v/>
      </c>
      <c r="Q188" s="47">
        <f>Subsurface_Inputs!$C$38+Subsurface_Inputs!$C$39*H188-2*Subsurface_Inputs!$C$36*(I188/1000)</f>
        <v/>
      </c>
      <c r="R188" s="47">
        <f>Subsurface_Inputs!$C$40-2*Subsurface_Inputs!$C$36*(K188/1000)-Subsurface_Inputs!$C$41*ABS(L188-AVERAGE($L$2:$L$242))</f>
        <v/>
      </c>
      <c r="S188" s="47">
        <f>K188-AVERAGE($K$2:$K$242)</f>
        <v/>
      </c>
      <c r="T188" s="47">
        <f>K188/F188</f>
        <v/>
      </c>
      <c r="U188" s="50">
        <f>IF(H188&gt;=Subsurface_Inputs!$C$42,"Lens visible","Weak/no lens")</f>
        <v/>
      </c>
      <c r="V188" s="50">
        <f>IF(R188&gt;=W188,"Likely visible","Weak")</f>
        <v/>
      </c>
      <c r="W188" s="47">
        <f>Subsurface_Inputs!$C$43</f>
        <v/>
      </c>
      <c r="X188" s="47">
        <f>Q188-W188</f>
        <v/>
      </c>
      <c r="Y188" s="47">
        <f>R188-W188</f>
        <v/>
      </c>
      <c r="Z188" s="47">
        <f>MAX(Q188,R188)-W188</f>
        <v/>
      </c>
      <c r="AA188" s="47" t="n">
        <v>0</v>
      </c>
    </row>
    <row r="189">
      <c r="A189" s="47">
        <f>Model_Data!A189</f>
        <v/>
      </c>
      <c r="B189" s="47">
        <f>Model_Data!Y189</f>
        <v/>
      </c>
      <c r="C189" s="47">
        <f>Model_Data!X189</f>
        <v/>
      </c>
      <c r="D189" s="47">
        <f>Model_Data!B189</f>
        <v/>
      </c>
      <c r="E189" s="47">
        <f>Inputs!$C$6</f>
        <v/>
      </c>
      <c r="F189" s="47">
        <f>Subsurface_Inputs!$C$5+Subsurface_Inputs!$C$6*SIN(2*PI()*(A189+Subsurface_Inputs!$C$7)/Subsurface_Inputs!$C$8)+Subsurface_Inputs!$C$9*COS(2*PI()*A189/Subsurface_Inputs!$C$10)+Subsurface_Inputs!$C$11*(B189-AVERAGE($B$2:$B$242))</f>
        <v/>
      </c>
      <c r="G189" s="47">
        <f>B189-F189</f>
        <v/>
      </c>
      <c r="H189" s="47">
        <f>MIN(1,MAX(0,Subsurface_Inputs!$C$13*EXP(-0.5*((A189-Subsurface_Inputs!$C$14)/Subsurface_Inputs!$C$15)^2)+Subsurface_Inputs!$C$16*EXP(-0.5*((A189-Subsurface_Inputs!$C$17)/Subsurface_Inputs!$C$18)^2)))</f>
        <v/>
      </c>
      <c r="I189" s="47">
        <f>Subsurface_Inputs!$C$19+Subsurface_Inputs!$C$20*SIN(2*PI()*(A189-Subsurface_Inputs!$C$21)/Subsurface_Inputs!$C$22)-Subsurface_Inputs!$C$23*H189</f>
        <v/>
      </c>
      <c r="J189" s="47">
        <f>B189-I189</f>
        <v/>
      </c>
      <c r="K189" s="47">
        <f>Subsurface_Inputs!$C$25+Subsurface_Inputs!$C$26*SIN(2*PI()*(A189+Subsurface_Inputs!$C$27)/Subsurface_Inputs!$C$28)+Subsurface_Inputs!$C$29*COS(2*PI()*(A189-Subsurface_Inputs!$C$30)/Subsurface_Inputs!$C$31)-Subsurface_Inputs!$C$32*(B189-AVERAGE($B$2:$B$242))</f>
        <v/>
      </c>
      <c r="L189" s="47">
        <f>B189-K189</f>
        <v/>
      </c>
      <c r="M189" s="47">
        <f>2*Subsurface_Inputs!$C$34*F189/Subsurface_Inputs!$C$35*1000000</f>
        <v/>
      </c>
      <c r="N189" s="47">
        <f>2*Subsurface_Inputs!$C$34*I189/Subsurface_Inputs!$C$35*1000000</f>
        <v/>
      </c>
      <c r="O189" s="47">
        <f>2*Subsurface_Inputs!$C$34*K189/Subsurface_Inputs!$C$35*1000000</f>
        <v/>
      </c>
      <c r="P189" s="47">
        <f>Subsurface_Inputs!$C$37-2*Subsurface_Inputs!$C$36*(F189/1000)</f>
        <v/>
      </c>
      <c r="Q189" s="47">
        <f>Subsurface_Inputs!$C$38+Subsurface_Inputs!$C$39*H189-2*Subsurface_Inputs!$C$36*(I189/1000)</f>
        <v/>
      </c>
      <c r="R189" s="47">
        <f>Subsurface_Inputs!$C$40-2*Subsurface_Inputs!$C$36*(K189/1000)-Subsurface_Inputs!$C$41*ABS(L189-AVERAGE($L$2:$L$242))</f>
        <v/>
      </c>
      <c r="S189" s="47">
        <f>K189-AVERAGE($K$2:$K$242)</f>
        <v/>
      </c>
      <c r="T189" s="47">
        <f>K189/F189</f>
        <v/>
      </c>
      <c r="U189" s="50">
        <f>IF(H189&gt;=Subsurface_Inputs!$C$42,"Lens visible","Weak/no lens")</f>
        <v/>
      </c>
      <c r="V189" s="50">
        <f>IF(R189&gt;=W189,"Likely visible","Weak")</f>
        <v/>
      </c>
      <c r="W189" s="47">
        <f>Subsurface_Inputs!$C$43</f>
        <v/>
      </c>
      <c r="X189" s="47">
        <f>Q189-W189</f>
        <v/>
      </c>
      <c r="Y189" s="47">
        <f>R189-W189</f>
        <v/>
      </c>
      <c r="Z189" s="47">
        <f>MAX(Q189,R189)-W189</f>
        <v/>
      </c>
      <c r="AA189" s="47" t="n">
        <v>0</v>
      </c>
    </row>
    <row r="190">
      <c r="A190" s="47">
        <f>Model_Data!A190</f>
        <v/>
      </c>
      <c r="B190" s="47">
        <f>Model_Data!Y190</f>
        <v/>
      </c>
      <c r="C190" s="47">
        <f>Model_Data!X190</f>
        <v/>
      </c>
      <c r="D190" s="47">
        <f>Model_Data!B190</f>
        <v/>
      </c>
      <c r="E190" s="47">
        <f>Inputs!$C$6</f>
        <v/>
      </c>
      <c r="F190" s="47">
        <f>Subsurface_Inputs!$C$5+Subsurface_Inputs!$C$6*SIN(2*PI()*(A190+Subsurface_Inputs!$C$7)/Subsurface_Inputs!$C$8)+Subsurface_Inputs!$C$9*COS(2*PI()*A190/Subsurface_Inputs!$C$10)+Subsurface_Inputs!$C$11*(B190-AVERAGE($B$2:$B$242))</f>
        <v/>
      </c>
      <c r="G190" s="47">
        <f>B190-F190</f>
        <v/>
      </c>
      <c r="H190" s="47">
        <f>MIN(1,MAX(0,Subsurface_Inputs!$C$13*EXP(-0.5*((A190-Subsurface_Inputs!$C$14)/Subsurface_Inputs!$C$15)^2)+Subsurface_Inputs!$C$16*EXP(-0.5*((A190-Subsurface_Inputs!$C$17)/Subsurface_Inputs!$C$18)^2)))</f>
        <v/>
      </c>
      <c r="I190" s="47">
        <f>Subsurface_Inputs!$C$19+Subsurface_Inputs!$C$20*SIN(2*PI()*(A190-Subsurface_Inputs!$C$21)/Subsurface_Inputs!$C$22)-Subsurface_Inputs!$C$23*H190</f>
        <v/>
      </c>
      <c r="J190" s="47">
        <f>B190-I190</f>
        <v/>
      </c>
      <c r="K190" s="47">
        <f>Subsurface_Inputs!$C$25+Subsurface_Inputs!$C$26*SIN(2*PI()*(A190+Subsurface_Inputs!$C$27)/Subsurface_Inputs!$C$28)+Subsurface_Inputs!$C$29*COS(2*PI()*(A190-Subsurface_Inputs!$C$30)/Subsurface_Inputs!$C$31)-Subsurface_Inputs!$C$32*(B190-AVERAGE($B$2:$B$242))</f>
        <v/>
      </c>
      <c r="L190" s="47">
        <f>B190-K190</f>
        <v/>
      </c>
      <c r="M190" s="47">
        <f>2*Subsurface_Inputs!$C$34*F190/Subsurface_Inputs!$C$35*1000000</f>
        <v/>
      </c>
      <c r="N190" s="47">
        <f>2*Subsurface_Inputs!$C$34*I190/Subsurface_Inputs!$C$35*1000000</f>
        <v/>
      </c>
      <c r="O190" s="47">
        <f>2*Subsurface_Inputs!$C$34*K190/Subsurface_Inputs!$C$35*1000000</f>
        <v/>
      </c>
      <c r="P190" s="47">
        <f>Subsurface_Inputs!$C$37-2*Subsurface_Inputs!$C$36*(F190/1000)</f>
        <v/>
      </c>
      <c r="Q190" s="47">
        <f>Subsurface_Inputs!$C$38+Subsurface_Inputs!$C$39*H190-2*Subsurface_Inputs!$C$36*(I190/1000)</f>
        <v/>
      </c>
      <c r="R190" s="47">
        <f>Subsurface_Inputs!$C$40-2*Subsurface_Inputs!$C$36*(K190/1000)-Subsurface_Inputs!$C$41*ABS(L190-AVERAGE($L$2:$L$242))</f>
        <v/>
      </c>
      <c r="S190" s="47">
        <f>K190-AVERAGE($K$2:$K$242)</f>
        <v/>
      </c>
      <c r="T190" s="47">
        <f>K190/F190</f>
        <v/>
      </c>
      <c r="U190" s="50">
        <f>IF(H190&gt;=Subsurface_Inputs!$C$42,"Lens visible","Weak/no lens")</f>
        <v/>
      </c>
      <c r="V190" s="50">
        <f>IF(R190&gt;=W190,"Likely visible","Weak")</f>
        <v/>
      </c>
      <c r="W190" s="47">
        <f>Subsurface_Inputs!$C$43</f>
        <v/>
      </c>
      <c r="X190" s="47">
        <f>Q190-W190</f>
        <v/>
      </c>
      <c r="Y190" s="47">
        <f>R190-W190</f>
        <v/>
      </c>
      <c r="Z190" s="47">
        <f>MAX(Q190,R190)-W190</f>
        <v/>
      </c>
      <c r="AA190" s="47" t="n">
        <v>0</v>
      </c>
    </row>
    <row r="191">
      <c r="A191" s="47">
        <f>Model_Data!A191</f>
        <v/>
      </c>
      <c r="B191" s="47">
        <f>Model_Data!Y191</f>
        <v/>
      </c>
      <c r="C191" s="47">
        <f>Model_Data!X191</f>
        <v/>
      </c>
      <c r="D191" s="47">
        <f>Model_Data!B191</f>
        <v/>
      </c>
      <c r="E191" s="47">
        <f>Inputs!$C$6</f>
        <v/>
      </c>
      <c r="F191" s="47">
        <f>Subsurface_Inputs!$C$5+Subsurface_Inputs!$C$6*SIN(2*PI()*(A191+Subsurface_Inputs!$C$7)/Subsurface_Inputs!$C$8)+Subsurface_Inputs!$C$9*COS(2*PI()*A191/Subsurface_Inputs!$C$10)+Subsurface_Inputs!$C$11*(B191-AVERAGE($B$2:$B$242))</f>
        <v/>
      </c>
      <c r="G191" s="47">
        <f>B191-F191</f>
        <v/>
      </c>
      <c r="H191" s="47">
        <f>MIN(1,MAX(0,Subsurface_Inputs!$C$13*EXP(-0.5*((A191-Subsurface_Inputs!$C$14)/Subsurface_Inputs!$C$15)^2)+Subsurface_Inputs!$C$16*EXP(-0.5*((A191-Subsurface_Inputs!$C$17)/Subsurface_Inputs!$C$18)^2)))</f>
        <v/>
      </c>
      <c r="I191" s="47">
        <f>Subsurface_Inputs!$C$19+Subsurface_Inputs!$C$20*SIN(2*PI()*(A191-Subsurface_Inputs!$C$21)/Subsurface_Inputs!$C$22)-Subsurface_Inputs!$C$23*H191</f>
        <v/>
      </c>
      <c r="J191" s="47">
        <f>B191-I191</f>
        <v/>
      </c>
      <c r="K191" s="47">
        <f>Subsurface_Inputs!$C$25+Subsurface_Inputs!$C$26*SIN(2*PI()*(A191+Subsurface_Inputs!$C$27)/Subsurface_Inputs!$C$28)+Subsurface_Inputs!$C$29*COS(2*PI()*(A191-Subsurface_Inputs!$C$30)/Subsurface_Inputs!$C$31)-Subsurface_Inputs!$C$32*(B191-AVERAGE($B$2:$B$242))</f>
        <v/>
      </c>
      <c r="L191" s="47">
        <f>B191-K191</f>
        <v/>
      </c>
      <c r="M191" s="47">
        <f>2*Subsurface_Inputs!$C$34*F191/Subsurface_Inputs!$C$35*1000000</f>
        <v/>
      </c>
      <c r="N191" s="47">
        <f>2*Subsurface_Inputs!$C$34*I191/Subsurface_Inputs!$C$35*1000000</f>
        <v/>
      </c>
      <c r="O191" s="47">
        <f>2*Subsurface_Inputs!$C$34*K191/Subsurface_Inputs!$C$35*1000000</f>
        <v/>
      </c>
      <c r="P191" s="47">
        <f>Subsurface_Inputs!$C$37-2*Subsurface_Inputs!$C$36*(F191/1000)</f>
        <v/>
      </c>
      <c r="Q191" s="47">
        <f>Subsurface_Inputs!$C$38+Subsurface_Inputs!$C$39*H191-2*Subsurface_Inputs!$C$36*(I191/1000)</f>
        <v/>
      </c>
      <c r="R191" s="47">
        <f>Subsurface_Inputs!$C$40-2*Subsurface_Inputs!$C$36*(K191/1000)-Subsurface_Inputs!$C$41*ABS(L191-AVERAGE($L$2:$L$242))</f>
        <v/>
      </c>
      <c r="S191" s="47">
        <f>K191-AVERAGE($K$2:$K$242)</f>
        <v/>
      </c>
      <c r="T191" s="47">
        <f>K191/F191</f>
        <v/>
      </c>
      <c r="U191" s="50">
        <f>IF(H191&gt;=Subsurface_Inputs!$C$42,"Lens visible","Weak/no lens")</f>
        <v/>
      </c>
      <c r="V191" s="50">
        <f>IF(R191&gt;=W191,"Likely visible","Weak")</f>
        <v/>
      </c>
      <c r="W191" s="47">
        <f>Subsurface_Inputs!$C$43</f>
        <v/>
      </c>
      <c r="X191" s="47">
        <f>Q191-W191</f>
        <v/>
      </c>
      <c r="Y191" s="47">
        <f>R191-W191</f>
        <v/>
      </c>
      <c r="Z191" s="47">
        <f>MAX(Q191,R191)-W191</f>
        <v/>
      </c>
      <c r="AA191" s="47" t="n">
        <v>0</v>
      </c>
    </row>
    <row r="192">
      <c r="A192" s="47">
        <f>Model_Data!A192</f>
        <v/>
      </c>
      <c r="B192" s="47">
        <f>Model_Data!Y192</f>
        <v/>
      </c>
      <c r="C192" s="47">
        <f>Model_Data!X192</f>
        <v/>
      </c>
      <c r="D192" s="47">
        <f>Model_Data!B192</f>
        <v/>
      </c>
      <c r="E192" s="47">
        <f>Inputs!$C$6</f>
        <v/>
      </c>
      <c r="F192" s="47">
        <f>Subsurface_Inputs!$C$5+Subsurface_Inputs!$C$6*SIN(2*PI()*(A192+Subsurface_Inputs!$C$7)/Subsurface_Inputs!$C$8)+Subsurface_Inputs!$C$9*COS(2*PI()*A192/Subsurface_Inputs!$C$10)+Subsurface_Inputs!$C$11*(B192-AVERAGE($B$2:$B$242))</f>
        <v/>
      </c>
      <c r="G192" s="47">
        <f>B192-F192</f>
        <v/>
      </c>
      <c r="H192" s="47">
        <f>MIN(1,MAX(0,Subsurface_Inputs!$C$13*EXP(-0.5*((A192-Subsurface_Inputs!$C$14)/Subsurface_Inputs!$C$15)^2)+Subsurface_Inputs!$C$16*EXP(-0.5*((A192-Subsurface_Inputs!$C$17)/Subsurface_Inputs!$C$18)^2)))</f>
        <v/>
      </c>
      <c r="I192" s="47">
        <f>Subsurface_Inputs!$C$19+Subsurface_Inputs!$C$20*SIN(2*PI()*(A192-Subsurface_Inputs!$C$21)/Subsurface_Inputs!$C$22)-Subsurface_Inputs!$C$23*H192</f>
        <v/>
      </c>
      <c r="J192" s="47">
        <f>B192-I192</f>
        <v/>
      </c>
      <c r="K192" s="47">
        <f>Subsurface_Inputs!$C$25+Subsurface_Inputs!$C$26*SIN(2*PI()*(A192+Subsurface_Inputs!$C$27)/Subsurface_Inputs!$C$28)+Subsurface_Inputs!$C$29*COS(2*PI()*(A192-Subsurface_Inputs!$C$30)/Subsurface_Inputs!$C$31)-Subsurface_Inputs!$C$32*(B192-AVERAGE($B$2:$B$242))</f>
        <v/>
      </c>
      <c r="L192" s="47">
        <f>B192-K192</f>
        <v/>
      </c>
      <c r="M192" s="47">
        <f>2*Subsurface_Inputs!$C$34*F192/Subsurface_Inputs!$C$35*1000000</f>
        <v/>
      </c>
      <c r="N192" s="47">
        <f>2*Subsurface_Inputs!$C$34*I192/Subsurface_Inputs!$C$35*1000000</f>
        <v/>
      </c>
      <c r="O192" s="47">
        <f>2*Subsurface_Inputs!$C$34*K192/Subsurface_Inputs!$C$35*1000000</f>
        <v/>
      </c>
      <c r="P192" s="47">
        <f>Subsurface_Inputs!$C$37-2*Subsurface_Inputs!$C$36*(F192/1000)</f>
        <v/>
      </c>
      <c r="Q192" s="47">
        <f>Subsurface_Inputs!$C$38+Subsurface_Inputs!$C$39*H192-2*Subsurface_Inputs!$C$36*(I192/1000)</f>
        <v/>
      </c>
      <c r="R192" s="47">
        <f>Subsurface_Inputs!$C$40-2*Subsurface_Inputs!$C$36*(K192/1000)-Subsurface_Inputs!$C$41*ABS(L192-AVERAGE($L$2:$L$242))</f>
        <v/>
      </c>
      <c r="S192" s="47">
        <f>K192-AVERAGE($K$2:$K$242)</f>
        <v/>
      </c>
      <c r="T192" s="47">
        <f>K192/F192</f>
        <v/>
      </c>
      <c r="U192" s="50">
        <f>IF(H192&gt;=Subsurface_Inputs!$C$42,"Lens visible","Weak/no lens")</f>
        <v/>
      </c>
      <c r="V192" s="50">
        <f>IF(R192&gt;=W192,"Likely visible","Weak")</f>
        <v/>
      </c>
      <c r="W192" s="47">
        <f>Subsurface_Inputs!$C$43</f>
        <v/>
      </c>
      <c r="X192" s="47">
        <f>Q192-W192</f>
        <v/>
      </c>
      <c r="Y192" s="47">
        <f>R192-W192</f>
        <v/>
      </c>
      <c r="Z192" s="47">
        <f>MAX(Q192,R192)-W192</f>
        <v/>
      </c>
      <c r="AA192" s="47" t="n">
        <v>0</v>
      </c>
    </row>
    <row r="193">
      <c r="A193" s="47">
        <f>Model_Data!A193</f>
        <v/>
      </c>
      <c r="B193" s="47">
        <f>Model_Data!Y193</f>
        <v/>
      </c>
      <c r="C193" s="47">
        <f>Model_Data!X193</f>
        <v/>
      </c>
      <c r="D193" s="47">
        <f>Model_Data!B193</f>
        <v/>
      </c>
      <c r="E193" s="47">
        <f>Inputs!$C$6</f>
        <v/>
      </c>
      <c r="F193" s="47">
        <f>Subsurface_Inputs!$C$5+Subsurface_Inputs!$C$6*SIN(2*PI()*(A193+Subsurface_Inputs!$C$7)/Subsurface_Inputs!$C$8)+Subsurface_Inputs!$C$9*COS(2*PI()*A193/Subsurface_Inputs!$C$10)+Subsurface_Inputs!$C$11*(B193-AVERAGE($B$2:$B$242))</f>
        <v/>
      </c>
      <c r="G193" s="47">
        <f>B193-F193</f>
        <v/>
      </c>
      <c r="H193" s="47">
        <f>MIN(1,MAX(0,Subsurface_Inputs!$C$13*EXP(-0.5*((A193-Subsurface_Inputs!$C$14)/Subsurface_Inputs!$C$15)^2)+Subsurface_Inputs!$C$16*EXP(-0.5*((A193-Subsurface_Inputs!$C$17)/Subsurface_Inputs!$C$18)^2)))</f>
        <v/>
      </c>
      <c r="I193" s="47">
        <f>Subsurface_Inputs!$C$19+Subsurface_Inputs!$C$20*SIN(2*PI()*(A193-Subsurface_Inputs!$C$21)/Subsurface_Inputs!$C$22)-Subsurface_Inputs!$C$23*H193</f>
        <v/>
      </c>
      <c r="J193" s="47">
        <f>B193-I193</f>
        <v/>
      </c>
      <c r="K193" s="47">
        <f>Subsurface_Inputs!$C$25+Subsurface_Inputs!$C$26*SIN(2*PI()*(A193+Subsurface_Inputs!$C$27)/Subsurface_Inputs!$C$28)+Subsurface_Inputs!$C$29*COS(2*PI()*(A193-Subsurface_Inputs!$C$30)/Subsurface_Inputs!$C$31)-Subsurface_Inputs!$C$32*(B193-AVERAGE($B$2:$B$242))</f>
        <v/>
      </c>
      <c r="L193" s="47">
        <f>B193-K193</f>
        <v/>
      </c>
      <c r="M193" s="47">
        <f>2*Subsurface_Inputs!$C$34*F193/Subsurface_Inputs!$C$35*1000000</f>
        <v/>
      </c>
      <c r="N193" s="47">
        <f>2*Subsurface_Inputs!$C$34*I193/Subsurface_Inputs!$C$35*1000000</f>
        <v/>
      </c>
      <c r="O193" s="47">
        <f>2*Subsurface_Inputs!$C$34*K193/Subsurface_Inputs!$C$35*1000000</f>
        <v/>
      </c>
      <c r="P193" s="47">
        <f>Subsurface_Inputs!$C$37-2*Subsurface_Inputs!$C$36*(F193/1000)</f>
        <v/>
      </c>
      <c r="Q193" s="47">
        <f>Subsurface_Inputs!$C$38+Subsurface_Inputs!$C$39*H193-2*Subsurface_Inputs!$C$36*(I193/1000)</f>
        <v/>
      </c>
      <c r="R193" s="47">
        <f>Subsurface_Inputs!$C$40-2*Subsurface_Inputs!$C$36*(K193/1000)-Subsurface_Inputs!$C$41*ABS(L193-AVERAGE($L$2:$L$242))</f>
        <v/>
      </c>
      <c r="S193" s="47">
        <f>K193-AVERAGE($K$2:$K$242)</f>
        <v/>
      </c>
      <c r="T193" s="47">
        <f>K193/F193</f>
        <v/>
      </c>
      <c r="U193" s="50">
        <f>IF(H193&gt;=Subsurface_Inputs!$C$42,"Lens visible","Weak/no lens")</f>
        <v/>
      </c>
      <c r="V193" s="50">
        <f>IF(R193&gt;=W193,"Likely visible","Weak")</f>
        <v/>
      </c>
      <c r="W193" s="47">
        <f>Subsurface_Inputs!$C$43</f>
        <v/>
      </c>
      <c r="X193" s="47">
        <f>Q193-W193</f>
        <v/>
      </c>
      <c r="Y193" s="47">
        <f>R193-W193</f>
        <v/>
      </c>
      <c r="Z193" s="47">
        <f>MAX(Q193,R193)-W193</f>
        <v/>
      </c>
      <c r="AA193" s="47" t="n">
        <v>0</v>
      </c>
    </row>
    <row r="194">
      <c r="A194" s="47">
        <f>Model_Data!A194</f>
        <v/>
      </c>
      <c r="B194" s="47">
        <f>Model_Data!Y194</f>
        <v/>
      </c>
      <c r="C194" s="47">
        <f>Model_Data!X194</f>
        <v/>
      </c>
      <c r="D194" s="47">
        <f>Model_Data!B194</f>
        <v/>
      </c>
      <c r="E194" s="47">
        <f>Inputs!$C$6</f>
        <v/>
      </c>
      <c r="F194" s="47">
        <f>Subsurface_Inputs!$C$5+Subsurface_Inputs!$C$6*SIN(2*PI()*(A194+Subsurface_Inputs!$C$7)/Subsurface_Inputs!$C$8)+Subsurface_Inputs!$C$9*COS(2*PI()*A194/Subsurface_Inputs!$C$10)+Subsurface_Inputs!$C$11*(B194-AVERAGE($B$2:$B$242))</f>
        <v/>
      </c>
      <c r="G194" s="47">
        <f>B194-F194</f>
        <v/>
      </c>
      <c r="H194" s="47">
        <f>MIN(1,MAX(0,Subsurface_Inputs!$C$13*EXP(-0.5*((A194-Subsurface_Inputs!$C$14)/Subsurface_Inputs!$C$15)^2)+Subsurface_Inputs!$C$16*EXP(-0.5*((A194-Subsurface_Inputs!$C$17)/Subsurface_Inputs!$C$18)^2)))</f>
        <v/>
      </c>
      <c r="I194" s="47">
        <f>Subsurface_Inputs!$C$19+Subsurface_Inputs!$C$20*SIN(2*PI()*(A194-Subsurface_Inputs!$C$21)/Subsurface_Inputs!$C$22)-Subsurface_Inputs!$C$23*H194</f>
        <v/>
      </c>
      <c r="J194" s="47">
        <f>B194-I194</f>
        <v/>
      </c>
      <c r="K194" s="47">
        <f>Subsurface_Inputs!$C$25+Subsurface_Inputs!$C$26*SIN(2*PI()*(A194+Subsurface_Inputs!$C$27)/Subsurface_Inputs!$C$28)+Subsurface_Inputs!$C$29*COS(2*PI()*(A194-Subsurface_Inputs!$C$30)/Subsurface_Inputs!$C$31)-Subsurface_Inputs!$C$32*(B194-AVERAGE($B$2:$B$242))</f>
        <v/>
      </c>
      <c r="L194" s="47">
        <f>B194-K194</f>
        <v/>
      </c>
      <c r="M194" s="47">
        <f>2*Subsurface_Inputs!$C$34*F194/Subsurface_Inputs!$C$35*1000000</f>
        <v/>
      </c>
      <c r="N194" s="47">
        <f>2*Subsurface_Inputs!$C$34*I194/Subsurface_Inputs!$C$35*1000000</f>
        <v/>
      </c>
      <c r="O194" s="47">
        <f>2*Subsurface_Inputs!$C$34*K194/Subsurface_Inputs!$C$35*1000000</f>
        <v/>
      </c>
      <c r="P194" s="47">
        <f>Subsurface_Inputs!$C$37-2*Subsurface_Inputs!$C$36*(F194/1000)</f>
        <v/>
      </c>
      <c r="Q194" s="47">
        <f>Subsurface_Inputs!$C$38+Subsurface_Inputs!$C$39*H194-2*Subsurface_Inputs!$C$36*(I194/1000)</f>
        <v/>
      </c>
      <c r="R194" s="47">
        <f>Subsurface_Inputs!$C$40-2*Subsurface_Inputs!$C$36*(K194/1000)-Subsurface_Inputs!$C$41*ABS(L194-AVERAGE($L$2:$L$242))</f>
        <v/>
      </c>
      <c r="S194" s="47">
        <f>K194-AVERAGE($K$2:$K$242)</f>
        <v/>
      </c>
      <c r="T194" s="47">
        <f>K194/F194</f>
        <v/>
      </c>
      <c r="U194" s="50">
        <f>IF(H194&gt;=Subsurface_Inputs!$C$42,"Lens visible","Weak/no lens")</f>
        <v/>
      </c>
      <c r="V194" s="50">
        <f>IF(R194&gt;=W194,"Likely visible","Weak")</f>
        <v/>
      </c>
      <c r="W194" s="47">
        <f>Subsurface_Inputs!$C$43</f>
        <v/>
      </c>
      <c r="X194" s="47">
        <f>Q194-W194</f>
        <v/>
      </c>
      <c r="Y194" s="47">
        <f>R194-W194</f>
        <v/>
      </c>
      <c r="Z194" s="47">
        <f>MAX(Q194,R194)-W194</f>
        <v/>
      </c>
      <c r="AA194" s="47" t="n">
        <v>0</v>
      </c>
    </row>
    <row r="195">
      <c r="A195" s="47">
        <f>Model_Data!A195</f>
        <v/>
      </c>
      <c r="B195" s="47">
        <f>Model_Data!Y195</f>
        <v/>
      </c>
      <c r="C195" s="47">
        <f>Model_Data!X195</f>
        <v/>
      </c>
      <c r="D195" s="47">
        <f>Model_Data!B195</f>
        <v/>
      </c>
      <c r="E195" s="47">
        <f>Inputs!$C$6</f>
        <v/>
      </c>
      <c r="F195" s="47">
        <f>Subsurface_Inputs!$C$5+Subsurface_Inputs!$C$6*SIN(2*PI()*(A195+Subsurface_Inputs!$C$7)/Subsurface_Inputs!$C$8)+Subsurface_Inputs!$C$9*COS(2*PI()*A195/Subsurface_Inputs!$C$10)+Subsurface_Inputs!$C$11*(B195-AVERAGE($B$2:$B$242))</f>
        <v/>
      </c>
      <c r="G195" s="47">
        <f>B195-F195</f>
        <v/>
      </c>
      <c r="H195" s="47">
        <f>MIN(1,MAX(0,Subsurface_Inputs!$C$13*EXP(-0.5*((A195-Subsurface_Inputs!$C$14)/Subsurface_Inputs!$C$15)^2)+Subsurface_Inputs!$C$16*EXP(-0.5*((A195-Subsurface_Inputs!$C$17)/Subsurface_Inputs!$C$18)^2)))</f>
        <v/>
      </c>
      <c r="I195" s="47">
        <f>Subsurface_Inputs!$C$19+Subsurface_Inputs!$C$20*SIN(2*PI()*(A195-Subsurface_Inputs!$C$21)/Subsurface_Inputs!$C$22)-Subsurface_Inputs!$C$23*H195</f>
        <v/>
      </c>
      <c r="J195" s="47">
        <f>B195-I195</f>
        <v/>
      </c>
      <c r="K195" s="47">
        <f>Subsurface_Inputs!$C$25+Subsurface_Inputs!$C$26*SIN(2*PI()*(A195+Subsurface_Inputs!$C$27)/Subsurface_Inputs!$C$28)+Subsurface_Inputs!$C$29*COS(2*PI()*(A195-Subsurface_Inputs!$C$30)/Subsurface_Inputs!$C$31)-Subsurface_Inputs!$C$32*(B195-AVERAGE($B$2:$B$242))</f>
        <v/>
      </c>
      <c r="L195" s="47">
        <f>B195-K195</f>
        <v/>
      </c>
      <c r="M195" s="47">
        <f>2*Subsurface_Inputs!$C$34*F195/Subsurface_Inputs!$C$35*1000000</f>
        <v/>
      </c>
      <c r="N195" s="47">
        <f>2*Subsurface_Inputs!$C$34*I195/Subsurface_Inputs!$C$35*1000000</f>
        <v/>
      </c>
      <c r="O195" s="47">
        <f>2*Subsurface_Inputs!$C$34*K195/Subsurface_Inputs!$C$35*1000000</f>
        <v/>
      </c>
      <c r="P195" s="47">
        <f>Subsurface_Inputs!$C$37-2*Subsurface_Inputs!$C$36*(F195/1000)</f>
        <v/>
      </c>
      <c r="Q195" s="47">
        <f>Subsurface_Inputs!$C$38+Subsurface_Inputs!$C$39*H195-2*Subsurface_Inputs!$C$36*(I195/1000)</f>
        <v/>
      </c>
      <c r="R195" s="47">
        <f>Subsurface_Inputs!$C$40-2*Subsurface_Inputs!$C$36*(K195/1000)-Subsurface_Inputs!$C$41*ABS(L195-AVERAGE($L$2:$L$242))</f>
        <v/>
      </c>
      <c r="S195" s="47">
        <f>K195-AVERAGE($K$2:$K$242)</f>
        <v/>
      </c>
      <c r="T195" s="47">
        <f>K195/F195</f>
        <v/>
      </c>
      <c r="U195" s="50">
        <f>IF(H195&gt;=Subsurface_Inputs!$C$42,"Lens visible","Weak/no lens")</f>
        <v/>
      </c>
      <c r="V195" s="50">
        <f>IF(R195&gt;=W195,"Likely visible","Weak")</f>
        <v/>
      </c>
      <c r="W195" s="47">
        <f>Subsurface_Inputs!$C$43</f>
        <v/>
      </c>
      <c r="X195" s="47">
        <f>Q195-W195</f>
        <v/>
      </c>
      <c r="Y195" s="47">
        <f>R195-W195</f>
        <v/>
      </c>
      <c r="Z195" s="47">
        <f>MAX(Q195,R195)-W195</f>
        <v/>
      </c>
      <c r="AA195" s="47" t="n">
        <v>0</v>
      </c>
    </row>
    <row r="196">
      <c r="A196" s="47">
        <f>Model_Data!A196</f>
        <v/>
      </c>
      <c r="B196" s="47">
        <f>Model_Data!Y196</f>
        <v/>
      </c>
      <c r="C196" s="47">
        <f>Model_Data!X196</f>
        <v/>
      </c>
      <c r="D196" s="47">
        <f>Model_Data!B196</f>
        <v/>
      </c>
      <c r="E196" s="47">
        <f>Inputs!$C$6</f>
        <v/>
      </c>
      <c r="F196" s="47">
        <f>Subsurface_Inputs!$C$5+Subsurface_Inputs!$C$6*SIN(2*PI()*(A196+Subsurface_Inputs!$C$7)/Subsurface_Inputs!$C$8)+Subsurface_Inputs!$C$9*COS(2*PI()*A196/Subsurface_Inputs!$C$10)+Subsurface_Inputs!$C$11*(B196-AVERAGE($B$2:$B$242))</f>
        <v/>
      </c>
      <c r="G196" s="47">
        <f>B196-F196</f>
        <v/>
      </c>
      <c r="H196" s="47">
        <f>MIN(1,MAX(0,Subsurface_Inputs!$C$13*EXP(-0.5*((A196-Subsurface_Inputs!$C$14)/Subsurface_Inputs!$C$15)^2)+Subsurface_Inputs!$C$16*EXP(-0.5*((A196-Subsurface_Inputs!$C$17)/Subsurface_Inputs!$C$18)^2)))</f>
        <v/>
      </c>
      <c r="I196" s="47">
        <f>Subsurface_Inputs!$C$19+Subsurface_Inputs!$C$20*SIN(2*PI()*(A196-Subsurface_Inputs!$C$21)/Subsurface_Inputs!$C$22)-Subsurface_Inputs!$C$23*H196</f>
        <v/>
      </c>
      <c r="J196" s="47">
        <f>B196-I196</f>
        <v/>
      </c>
      <c r="K196" s="47">
        <f>Subsurface_Inputs!$C$25+Subsurface_Inputs!$C$26*SIN(2*PI()*(A196+Subsurface_Inputs!$C$27)/Subsurface_Inputs!$C$28)+Subsurface_Inputs!$C$29*COS(2*PI()*(A196-Subsurface_Inputs!$C$30)/Subsurface_Inputs!$C$31)-Subsurface_Inputs!$C$32*(B196-AVERAGE($B$2:$B$242))</f>
        <v/>
      </c>
      <c r="L196" s="47">
        <f>B196-K196</f>
        <v/>
      </c>
      <c r="M196" s="47">
        <f>2*Subsurface_Inputs!$C$34*F196/Subsurface_Inputs!$C$35*1000000</f>
        <v/>
      </c>
      <c r="N196" s="47">
        <f>2*Subsurface_Inputs!$C$34*I196/Subsurface_Inputs!$C$35*1000000</f>
        <v/>
      </c>
      <c r="O196" s="47">
        <f>2*Subsurface_Inputs!$C$34*K196/Subsurface_Inputs!$C$35*1000000</f>
        <v/>
      </c>
      <c r="P196" s="47">
        <f>Subsurface_Inputs!$C$37-2*Subsurface_Inputs!$C$36*(F196/1000)</f>
        <v/>
      </c>
      <c r="Q196" s="47">
        <f>Subsurface_Inputs!$C$38+Subsurface_Inputs!$C$39*H196-2*Subsurface_Inputs!$C$36*(I196/1000)</f>
        <v/>
      </c>
      <c r="R196" s="47">
        <f>Subsurface_Inputs!$C$40-2*Subsurface_Inputs!$C$36*(K196/1000)-Subsurface_Inputs!$C$41*ABS(L196-AVERAGE($L$2:$L$242))</f>
        <v/>
      </c>
      <c r="S196" s="47">
        <f>K196-AVERAGE($K$2:$K$242)</f>
        <v/>
      </c>
      <c r="T196" s="47">
        <f>K196/F196</f>
        <v/>
      </c>
      <c r="U196" s="50">
        <f>IF(H196&gt;=Subsurface_Inputs!$C$42,"Lens visible","Weak/no lens")</f>
        <v/>
      </c>
      <c r="V196" s="50">
        <f>IF(R196&gt;=W196,"Likely visible","Weak")</f>
        <v/>
      </c>
      <c r="W196" s="47">
        <f>Subsurface_Inputs!$C$43</f>
        <v/>
      </c>
      <c r="X196" s="47">
        <f>Q196-W196</f>
        <v/>
      </c>
      <c r="Y196" s="47">
        <f>R196-W196</f>
        <v/>
      </c>
      <c r="Z196" s="47">
        <f>MAX(Q196,R196)-W196</f>
        <v/>
      </c>
      <c r="AA196" s="47" t="n">
        <v>0</v>
      </c>
    </row>
    <row r="197">
      <c r="A197" s="47">
        <f>Model_Data!A197</f>
        <v/>
      </c>
      <c r="B197" s="47">
        <f>Model_Data!Y197</f>
        <v/>
      </c>
      <c r="C197" s="47">
        <f>Model_Data!X197</f>
        <v/>
      </c>
      <c r="D197" s="47">
        <f>Model_Data!B197</f>
        <v/>
      </c>
      <c r="E197" s="47">
        <f>Inputs!$C$6</f>
        <v/>
      </c>
      <c r="F197" s="47">
        <f>Subsurface_Inputs!$C$5+Subsurface_Inputs!$C$6*SIN(2*PI()*(A197+Subsurface_Inputs!$C$7)/Subsurface_Inputs!$C$8)+Subsurface_Inputs!$C$9*COS(2*PI()*A197/Subsurface_Inputs!$C$10)+Subsurface_Inputs!$C$11*(B197-AVERAGE($B$2:$B$242))</f>
        <v/>
      </c>
      <c r="G197" s="47">
        <f>B197-F197</f>
        <v/>
      </c>
      <c r="H197" s="47">
        <f>MIN(1,MAX(0,Subsurface_Inputs!$C$13*EXP(-0.5*((A197-Subsurface_Inputs!$C$14)/Subsurface_Inputs!$C$15)^2)+Subsurface_Inputs!$C$16*EXP(-0.5*((A197-Subsurface_Inputs!$C$17)/Subsurface_Inputs!$C$18)^2)))</f>
        <v/>
      </c>
      <c r="I197" s="47">
        <f>Subsurface_Inputs!$C$19+Subsurface_Inputs!$C$20*SIN(2*PI()*(A197-Subsurface_Inputs!$C$21)/Subsurface_Inputs!$C$22)-Subsurface_Inputs!$C$23*H197</f>
        <v/>
      </c>
      <c r="J197" s="47">
        <f>B197-I197</f>
        <v/>
      </c>
      <c r="K197" s="47">
        <f>Subsurface_Inputs!$C$25+Subsurface_Inputs!$C$26*SIN(2*PI()*(A197+Subsurface_Inputs!$C$27)/Subsurface_Inputs!$C$28)+Subsurface_Inputs!$C$29*COS(2*PI()*(A197-Subsurface_Inputs!$C$30)/Subsurface_Inputs!$C$31)-Subsurface_Inputs!$C$32*(B197-AVERAGE($B$2:$B$242))</f>
        <v/>
      </c>
      <c r="L197" s="47">
        <f>B197-K197</f>
        <v/>
      </c>
      <c r="M197" s="47">
        <f>2*Subsurface_Inputs!$C$34*F197/Subsurface_Inputs!$C$35*1000000</f>
        <v/>
      </c>
      <c r="N197" s="47">
        <f>2*Subsurface_Inputs!$C$34*I197/Subsurface_Inputs!$C$35*1000000</f>
        <v/>
      </c>
      <c r="O197" s="47">
        <f>2*Subsurface_Inputs!$C$34*K197/Subsurface_Inputs!$C$35*1000000</f>
        <v/>
      </c>
      <c r="P197" s="47">
        <f>Subsurface_Inputs!$C$37-2*Subsurface_Inputs!$C$36*(F197/1000)</f>
        <v/>
      </c>
      <c r="Q197" s="47">
        <f>Subsurface_Inputs!$C$38+Subsurface_Inputs!$C$39*H197-2*Subsurface_Inputs!$C$36*(I197/1000)</f>
        <v/>
      </c>
      <c r="R197" s="47">
        <f>Subsurface_Inputs!$C$40-2*Subsurface_Inputs!$C$36*(K197/1000)-Subsurface_Inputs!$C$41*ABS(L197-AVERAGE($L$2:$L$242))</f>
        <v/>
      </c>
      <c r="S197" s="47">
        <f>K197-AVERAGE($K$2:$K$242)</f>
        <v/>
      </c>
      <c r="T197" s="47">
        <f>K197/F197</f>
        <v/>
      </c>
      <c r="U197" s="50">
        <f>IF(H197&gt;=Subsurface_Inputs!$C$42,"Lens visible","Weak/no lens")</f>
        <v/>
      </c>
      <c r="V197" s="50">
        <f>IF(R197&gt;=W197,"Likely visible","Weak")</f>
        <v/>
      </c>
      <c r="W197" s="47">
        <f>Subsurface_Inputs!$C$43</f>
        <v/>
      </c>
      <c r="X197" s="47">
        <f>Q197-W197</f>
        <v/>
      </c>
      <c r="Y197" s="47">
        <f>R197-W197</f>
        <v/>
      </c>
      <c r="Z197" s="47">
        <f>MAX(Q197,R197)-W197</f>
        <v/>
      </c>
      <c r="AA197" s="47" t="n">
        <v>0</v>
      </c>
    </row>
    <row r="198">
      <c r="A198" s="47">
        <f>Model_Data!A198</f>
        <v/>
      </c>
      <c r="B198" s="47">
        <f>Model_Data!Y198</f>
        <v/>
      </c>
      <c r="C198" s="47">
        <f>Model_Data!X198</f>
        <v/>
      </c>
      <c r="D198" s="47">
        <f>Model_Data!B198</f>
        <v/>
      </c>
      <c r="E198" s="47">
        <f>Inputs!$C$6</f>
        <v/>
      </c>
      <c r="F198" s="47">
        <f>Subsurface_Inputs!$C$5+Subsurface_Inputs!$C$6*SIN(2*PI()*(A198+Subsurface_Inputs!$C$7)/Subsurface_Inputs!$C$8)+Subsurface_Inputs!$C$9*COS(2*PI()*A198/Subsurface_Inputs!$C$10)+Subsurface_Inputs!$C$11*(B198-AVERAGE($B$2:$B$242))</f>
        <v/>
      </c>
      <c r="G198" s="47">
        <f>B198-F198</f>
        <v/>
      </c>
      <c r="H198" s="47">
        <f>MIN(1,MAX(0,Subsurface_Inputs!$C$13*EXP(-0.5*((A198-Subsurface_Inputs!$C$14)/Subsurface_Inputs!$C$15)^2)+Subsurface_Inputs!$C$16*EXP(-0.5*((A198-Subsurface_Inputs!$C$17)/Subsurface_Inputs!$C$18)^2)))</f>
        <v/>
      </c>
      <c r="I198" s="47">
        <f>Subsurface_Inputs!$C$19+Subsurface_Inputs!$C$20*SIN(2*PI()*(A198-Subsurface_Inputs!$C$21)/Subsurface_Inputs!$C$22)-Subsurface_Inputs!$C$23*H198</f>
        <v/>
      </c>
      <c r="J198" s="47">
        <f>B198-I198</f>
        <v/>
      </c>
      <c r="K198" s="47">
        <f>Subsurface_Inputs!$C$25+Subsurface_Inputs!$C$26*SIN(2*PI()*(A198+Subsurface_Inputs!$C$27)/Subsurface_Inputs!$C$28)+Subsurface_Inputs!$C$29*COS(2*PI()*(A198-Subsurface_Inputs!$C$30)/Subsurface_Inputs!$C$31)-Subsurface_Inputs!$C$32*(B198-AVERAGE($B$2:$B$242))</f>
        <v/>
      </c>
      <c r="L198" s="47">
        <f>B198-K198</f>
        <v/>
      </c>
      <c r="M198" s="47">
        <f>2*Subsurface_Inputs!$C$34*F198/Subsurface_Inputs!$C$35*1000000</f>
        <v/>
      </c>
      <c r="N198" s="47">
        <f>2*Subsurface_Inputs!$C$34*I198/Subsurface_Inputs!$C$35*1000000</f>
        <v/>
      </c>
      <c r="O198" s="47">
        <f>2*Subsurface_Inputs!$C$34*K198/Subsurface_Inputs!$C$35*1000000</f>
        <v/>
      </c>
      <c r="P198" s="47">
        <f>Subsurface_Inputs!$C$37-2*Subsurface_Inputs!$C$36*(F198/1000)</f>
        <v/>
      </c>
      <c r="Q198" s="47">
        <f>Subsurface_Inputs!$C$38+Subsurface_Inputs!$C$39*H198-2*Subsurface_Inputs!$C$36*(I198/1000)</f>
        <v/>
      </c>
      <c r="R198" s="47">
        <f>Subsurface_Inputs!$C$40-2*Subsurface_Inputs!$C$36*(K198/1000)-Subsurface_Inputs!$C$41*ABS(L198-AVERAGE($L$2:$L$242))</f>
        <v/>
      </c>
      <c r="S198" s="47">
        <f>K198-AVERAGE($K$2:$K$242)</f>
        <v/>
      </c>
      <c r="T198" s="47">
        <f>K198/F198</f>
        <v/>
      </c>
      <c r="U198" s="50">
        <f>IF(H198&gt;=Subsurface_Inputs!$C$42,"Lens visible","Weak/no lens")</f>
        <v/>
      </c>
      <c r="V198" s="50">
        <f>IF(R198&gt;=W198,"Likely visible","Weak")</f>
        <v/>
      </c>
      <c r="W198" s="47">
        <f>Subsurface_Inputs!$C$43</f>
        <v/>
      </c>
      <c r="X198" s="47">
        <f>Q198-W198</f>
        <v/>
      </c>
      <c r="Y198" s="47">
        <f>R198-W198</f>
        <v/>
      </c>
      <c r="Z198" s="47">
        <f>MAX(Q198,R198)-W198</f>
        <v/>
      </c>
      <c r="AA198" s="47" t="n">
        <v>0</v>
      </c>
    </row>
    <row r="199">
      <c r="A199" s="47">
        <f>Model_Data!A199</f>
        <v/>
      </c>
      <c r="B199" s="47">
        <f>Model_Data!Y199</f>
        <v/>
      </c>
      <c r="C199" s="47">
        <f>Model_Data!X199</f>
        <v/>
      </c>
      <c r="D199" s="47">
        <f>Model_Data!B199</f>
        <v/>
      </c>
      <c r="E199" s="47">
        <f>Inputs!$C$6</f>
        <v/>
      </c>
      <c r="F199" s="47">
        <f>Subsurface_Inputs!$C$5+Subsurface_Inputs!$C$6*SIN(2*PI()*(A199+Subsurface_Inputs!$C$7)/Subsurface_Inputs!$C$8)+Subsurface_Inputs!$C$9*COS(2*PI()*A199/Subsurface_Inputs!$C$10)+Subsurface_Inputs!$C$11*(B199-AVERAGE($B$2:$B$242))</f>
        <v/>
      </c>
      <c r="G199" s="47">
        <f>B199-F199</f>
        <v/>
      </c>
      <c r="H199" s="47">
        <f>MIN(1,MAX(0,Subsurface_Inputs!$C$13*EXP(-0.5*((A199-Subsurface_Inputs!$C$14)/Subsurface_Inputs!$C$15)^2)+Subsurface_Inputs!$C$16*EXP(-0.5*((A199-Subsurface_Inputs!$C$17)/Subsurface_Inputs!$C$18)^2)))</f>
        <v/>
      </c>
      <c r="I199" s="47">
        <f>Subsurface_Inputs!$C$19+Subsurface_Inputs!$C$20*SIN(2*PI()*(A199-Subsurface_Inputs!$C$21)/Subsurface_Inputs!$C$22)-Subsurface_Inputs!$C$23*H199</f>
        <v/>
      </c>
      <c r="J199" s="47">
        <f>B199-I199</f>
        <v/>
      </c>
      <c r="K199" s="47">
        <f>Subsurface_Inputs!$C$25+Subsurface_Inputs!$C$26*SIN(2*PI()*(A199+Subsurface_Inputs!$C$27)/Subsurface_Inputs!$C$28)+Subsurface_Inputs!$C$29*COS(2*PI()*(A199-Subsurface_Inputs!$C$30)/Subsurface_Inputs!$C$31)-Subsurface_Inputs!$C$32*(B199-AVERAGE($B$2:$B$242))</f>
        <v/>
      </c>
      <c r="L199" s="47">
        <f>B199-K199</f>
        <v/>
      </c>
      <c r="M199" s="47">
        <f>2*Subsurface_Inputs!$C$34*F199/Subsurface_Inputs!$C$35*1000000</f>
        <v/>
      </c>
      <c r="N199" s="47">
        <f>2*Subsurface_Inputs!$C$34*I199/Subsurface_Inputs!$C$35*1000000</f>
        <v/>
      </c>
      <c r="O199" s="47">
        <f>2*Subsurface_Inputs!$C$34*K199/Subsurface_Inputs!$C$35*1000000</f>
        <v/>
      </c>
      <c r="P199" s="47">
        <f>Subsurface_Inputs!$C$37-2*Subsurface_Inputs!$C$36*(F199/1000)</f>
        <v/>
      </c>
      <c r="Q199" s="47">
        <f>Subsurface_Inputs!$C$38+Subsurface_Inputs!$C$39*H199-2*Subsurface_Inputs!$C$36*(I199/1000)</f>
        <v/>
      </c>
      <c r="R199" s="47">
        <f>Subsurface_Inputs!$C$40-2*Subsurface_Inputs!$C$36*(K199/1000)-Subsurface_Inputs!$C$41*ABS(L199-AVERAGE($L$2:$L$242))</f>
        <v/>
      </c>
      <c r="S199" s="47">
        <f>K199-AVERAGE($K$2:$K$242)</f>
        <v/>
      </c>
      <c r="T199" s="47">
        <f>K199/F199</f>
        <v/>
      </c>
      <c r="U199" s="50">
        <f>IF(H199&gt;=Subsurface_Inputs!$C$42,"Lens visible","Weak/no lens")</f>
        <v/>
      </c>
      <c r="V199" s="50">
        <f>IF(R199&gt;=W199,"Likely visible","Weak")</f>
        <v/>
      </c>
      <c r="W199" s="47">
        <f>Subsurface_Inputs!$C$43</f>
        <v/>
      </c>
      <c r="X199" s="47">
        <f>Q199-W199</f>
        <v/>
      </c>
      <c r="Y199" s="47">
        <f>R199-W199</f>
        <v/>
      </c>
      <c r="Z199" s="47">
        <f>MAX(Q199,R199)-W199</f>
        <v/>
      </c>
      <c r="AA199" s="47" t="n">
        <v>0</v>
      </c>
    </row>
    <row r="200">
      <c r="A200" s="47">
        <f>Model_Data!A200</f>
        <v/>
      </c>
      <c r="B200" s="47">
        <f>Model_Data!Y200</f>
        <v/>
      </c>
      <c r="C200" s="47">
        <f>Model_Data!X200</f>
        <v/>
      </c>
      <c r="D200" s="47">
        <f>Model_Data!B200</f>
        <v/>
      </c>
      <c r="E200" s="47">
        <f>Inputs!$C$6</f>
        <v/>
      </c>
      <c r="F200" s="47">
        <f>Subsurface_Inputs!$C$5+Subsurface_Inputs!$C$6*SIN(2*PI()*(A200+Subsurface_Inputs!$C$7)/Subsurface_Inputs!$C$8)+Subsurface_Inputs!$C$9*COS(2*PI()*A200/Subsurface_Inputs!$C$10)+Subsurface_Inputs!$C$11*(B200-AVERAGE($B$2:$B$242))</f>
        <v/>
      </c>
      <c r="G200" s="47">
        <f>B200-F200</f>
        <v/>
      </c>
      <c r="H200" s="47">
        <f>MIN(1,MAX(0,Subsurface_Inputs!$C$13*EXP(-0.5*((A200-Subsurface_Inputs!$C$14)/Subsurface_Inputs!$C$15)^2)+Subsurface_Inputs!$C$16*EXP(-0.5*((A200-Subsurface_Inputs!$C$17)/Subsurface_Inputs!$C$18)^2)))</f>
        <v/>
      </c>
      <c r="I200" s="47">
        <f>Subsurface_Inputs!$C$19+Subsurface_Inputs!$C$20*SIN(2*PI()*(A200-Subsurface_Inputs!$C$21)/Subsurface_Inputs!$C$22)-Subsurface_Inputs!$C$23*H200</f>
        <v/>
      </c>
      <c r="J200" s="47">
        <f>B200-I200</f>
        <v/>
      </c>
      <c r="K200" s="47">
        <f>Subsurface_Inputs!$C$25+Subsurface_Inputs!$C$26*SIN(2*PI()*(A200+Subsurface_Inputs!$C$27)/Subsurface_Inputs!$C$28)+Subsurface_Inputs!$C$29*COS(2*PI()*(A200-Subsurface_Inputs!$C$30)/Subsurface_Inputs!$C$31)-Subsurface_Inputs!$C$32*(B200-AVERAGE($B$2:$B$242))</f>
        <v/>
      </c>
      <c r="L200" s="47">
        <f>B200-K200</f>
        <v/>
      </c>
      <c r="M200" s="47">
        <f>2*Subsurface_Inputs!$C$34*F200/Subsurface_Inputs!$C$35*1000000</f>
        <v/>
      </c>
      <c r="N200" s="47">
        <f>2*Subsurface_Inputs!$C$34*I200/Subsurface_Inputs!$C$35*1000000</f>
        <v/>
      </c>
      <c r="O200" s="47">
        <f>2*Subsurface_Inputs!$C$34*K200/Subsurface_Inputs!$C$35*1000000</f>
        <v/>
      </c>
      <c r="P200" s="47">
        <f>Subsurface_Inputs!$C$37-2*Subsurface_Inputs!$C$36*(F200/1000)</f>
        <v/>
      </c>
      <c r="Q200" s="47">
        <f>Subsurface_Inputs!$C$38+Subsurface_Inputs!$C$39*H200-2*Subsurface_Inputs!$C$36*(I200/1000)</f>
        <v/>
      </c>
      <c r="R200" s="47">
        <f>Subsurface_Inputs!$C$40-2*Subsurface_Inputs!$C$36*(K200/1000)-Subsurface_Inputs!$C$41*ABS(L200-AVERAGE($L$2:$L$242))</f>
        <v/>
      </c>
      <c r="S200" s="47">
        <f>K200-AVERAGE($K$2:$K$242)</f>
        <v/>
      </c>
      <c r="T200" s="47">
        <f>K200/F200</f>
        <v/>
      </c>
      <c r="U200" s="50">
        <f>IF(H200&gt;=Subsurface_Inputs!$C$42,"Lens visible","Weak/no lens")</f>
        <v/>
      </c>
      <c r="V200" s="50">
        <f>IF(R200&gt;=W200,"Likely visible","Weak")</f>
        <v/>
      </c>
      <c r="W200" s="47">
        <f>Subsurface_Inputs!$C$43</f>
        <v/>
      </c>
      <c r="X200" s="47">
        <f>Q200-W200</f>
        <v/>
      </c>
      <c r="Y200" s="47">
        <f>R200-W200</f>
        <v/>
      </c>
      <c r="Z200" s="47">
        <f>MAX(Q200,R200)-W200</f>
        <v/>
      </c>
      <c r="AA200" s="47" t="n">
        <v>0</v>
      </c>
    </row>
    <row r="201">
      <c r="A201" s="47">
        <f>Model_Data!A201</f>
        <v/>
      </c>
      <c r="B201" s="47">
        <f>Model_Data!Y201</f>
        <v/>
      </c>
      <c r="C201" s="47">
        <f>Model_Data!X201</f>
        <v/>
      </c>
      <c r="D201" s="47">
        <f>Model_Data!B201</f>
        <v/>
      </c>
      <c r="E201" s="47">
        <f>Inputs!$C$6</f>
        <v/>
      </c>
      <c r="F201" s="47">
        <f>Subsurface_Inputs!$C$5+Subsurface_Inputs!$C$6*SIN(2*PI()*(A201+Subsurface_Inputs!$C$7)/Subsurface_Inputs!$C$8)+Subsurface_Inputs!$C$9*COS(2*PI()*A201/Subsurface_Inputs!$C$10)+Subsurface_Inputs!$C$11*(B201-AVERAGE($B$2:$B$242))</f>
        <v/>
      </c>
      <c r="G201" s="47">
        <f>B201-F201</f>
        <v/>
      </c>
      <c r="H201" s="47">
        <f>MIN(1,MAX(0,Subsurface_Inputs!$C$13*EXP(-0.5*((A201-Subsurface_Inputs!$C$14)/Subsurface_Inputs!$C$15)^2)+Subsurface_Inputs!$C$16*EXP(-0.5*((A201-Subsurface_Inputs!$C$17)/Subsurface_Inputs!$C$18)^2)))</f>
        <v/>
      </c>
      <c r="I201" s="47">
        <f>Subsurface_Inputs!$C$19+Subsurface_Inputs!$C$20*SIN(2*PI()*(A201-Subsurface_Inputs!$C$21)/Subsurface_Inputs!$C$22)-Subsurface_Inputs!$C$23*H201</f>
        <v/>
      </c>
      <c r="J201" s="47">
        <f>B201-I201</f>
        <v/>
      </c>
      <c r="K201" s="47">
        <f>Subsurface_Inputs!$C$25+Subsurface_Inputs!$C$26*SIN(2*PI()*(A201+Subsurface_Inputs!$C$27)/Subsurface_Inputs!$C$28)+Subsurface_Inputs!$C$29*COS(2*PI()*(A201-Subsurface_Inputs!$C$30)/Subsurface_Inputs!$C$31)-Subsurface_Inputs!$C$32*(B201-AVERAGE($B$2:$B$242))</f>
        <v/>
      </c>
      <c r="L201" s="47">
        <f>B201-K201</f>
        <v/>
      </c>
      <c r="M201" s="47">
        <f>2*Subsurface_Inputs!$C$34*F201/Subsurface_Inputs!$C$35*1000000</f>
        <v/>
      </c>
      <c r="N201" s="47">
        <f>2*Subsurface_Inputs!$C$34*I201/Subsurface_Inputs!$C$35*1000000</f>
        <v/>
      </c>
      <c r="O201" s="47">
        <f>2*Subsurface_Inputs!$C$34*K201/Subsurface_Inputs!$C$35*1000000</f>
        <v/>
      </c>
      <c r="P201" s="47">
        <f>Subsurface_Inputs!$C$37-2*Subsurface_Inputs!$C$36*(F201/1000)</f>
        <v/>
      </c>
      <c r="Q201" s="47">
        <f>Subsurface_Inputs!$C$38+Subsurface_Inputs!$C$39*H201-2*Subsurface_Inputs!$C$36*(I201/1000)</f>
        <v/>
      </c>
      <c r="R201" s="47">
        <f>Subsurface_Inputs!$C$40-2*Subsurface_Inputs!$C$36*(K201/1000)-Subsurface_Inputs!$C$41*ABS(L201-AVERAGE($L$2:$L$242))</f>
        <v/>
      </c>
      <c r="S201" s="47">
        <f>K201-AVERAGE($K$2:$K$242)</f>
        <v/>
      </c>
      <c r="T201" s="47">
        <f>K201/F201</f>
        <v/>
      </c>
      <c r="U201" s="50">
        <f>IF(H201&gt;=Subsurface_Inputs!$C$42,"Lens visible","Weak/no lens")</f>
        <v/>
      </c>
      <c r="V201" s="50">
        <f>IF(R201&gt;=W201,"Likely visible","Weak")</f>
        <v/>
      </c>
      <c r="W201" s="47">
        <f>Subsurface_Inputs!$C$43</f>
        <v/>
      </c>
      <c r="X201" s="47">
        <f>Q201-W201</f>
        <v/>
      </c>
      <c r="Y201" s="47">
        <f>R201-W201</f>
        <v/>
      </c>
      <c r="Z201" s="47">
        <f>MAX(Q201,R201)-W201</f>
        <v/>
      </c>
      <c r="AA201" s="47" t="n">
        <v>0</v>
      </c>
    </row>
    <row r="202">
      <c r="A202" s="47">
        <f>Model_Data!A202</f>
        <v/>
      </c>
      <c r="B202" s="47">
        <f>Model_Data!Y202</f>
        <v/>
      </c>
      <c r="C202" s="47">
        <f>Model_Data!X202</f>
        <v/>
      </c>
      <c r="D202" s="47">
        <f>Model_Data!B202</f>
        <v/>
      </c>
      <c r="E202" s="47">
        <f>Inputs!$C$6</f>
        <v/>
      </c>
      <c r="F202" s="47">
        <f>Subsurface_Inputs!$C$5+Subsurface_Inputs!$C$6*SIN(2*PI()*(A202+Subsurface_Inputs!$C$7)/Subsurface_Inputs!$C$8)+Subsurface_Inputs!$C$9*COS(2*PI()*A202/Subsurface_Inputs!$C$10)+Subsurface_Inputs!$C$11*(B202-AVERAGE($B$2:$B$242))</f>
        <v/>
      </c>
      <c r="G202" s="47">
        <f>B202-F202</f>
        <v/>
      </c>
      <c r="H202" s="47">
        <f>MIN(1,MAX(0,Subsurface_Inputs!$C$13*EXP(-0.5*((A202-Subsurface_Inputs!$C$14)/Subsurface_Inputs!$C$15)^2)+Subsurface_Inputs!$C$16*EXP(-0.5*((A202-Subsurface_Inputs!$C$17)/Subsurface_Inputs!$C$18)^2)))</f>
        <v/>
      </c>
      <c r="I202" s="47">
        <f>Subsurface_Inputs!$C$19+Subsurface_Inputs!$C$20*SIN(2*PI()*(A202-Subsurface_Inputs!$C$21)/Subsurface_Inputs!$C$22)-Subsurface_Inputs!$C$23*H202</f>
        <v/>
      </c>
      <c r="J202" s="47">
        <f>B202-I202</f>
        <v/>
      </c>
      <c r="K202" s="47">
        <f>Subsurface_Inputs!$C$25+Subsurface_Inputs!$C$26*SIN(2*PI()*(A202+Subsurface_Inputs!$C$27)/Subsurface_Inputs!$C$28)+Subsurface_Inputs!$C$29*COS(2*PI()*(A202-Subsurface_Inputs!$C$30)/Subsurface_Inputs!$C$31)-Subsurface_Inputs!$C$32*(B202-AVERAGE($B$2:$B$242))</f>
        <v/>
      </c>
      <c r="L202" s="47">
        <f>B202-K202</f>
        <v/>
      </c>
      <c r="M202" s="47">
        <f>2*Subsurface_Inputs!$C$34*F202/Subsurface_Inputs!$C$35*1000000</f>
        <v/>
      </c>
      <c r="N202" s="47">
        <f>2*Subsurface_Inputs!$C$34*I202/Subsurface_Inputs!$C$35*1000000</f>
        <v/>
      </c>
      <c r="O202" s="47">
        <f>2*Subsurface_Inputs!$C$34*K202/Subsurface_Inputs!$C$35*1000000</f>
        <v/>
      </c>
      <c r="P202" s="47">
        <f>Subsurface_Inputs!$C$37-2*Subsurface_Inputs!$C$36*(F202/1000)</f>
        <v/>
      </c>
      <c r="Q202" s="47">
        <f>Subsurface_Inputs!$C$38+Subsurface_Inputs!$C$39*H202-2*Subsurface_Inputs!$C$36*(I202/1000)</f>
        <v/>
      </c>
      <c r="R202" s="47">
        <f>Subsurface_Inputs!$C$40-2*Subsurface_Inputs!$C$36*(K202/1000)-Subsurface_Inputs!$C$41*ABS(L202-AVERAGE($L$2:$L$242))</f>
        <v/>
      </c>
      <c r="S202" s="47">
        <f>K202-AVERAGE($K$2:$K$242)</f>
        <v/>
      </c>
      <c r="T202" s="47">
        <f>K202/F202</f>
        <v/>
      </c>
      <c r="U202" s="50">
        <f>IF(H202&gt;=Subsurface_Inputs!$C$42,"Lens visible","Weak/no lens")</f>
        <v/>
      </c>
      <c r="V202" s="50">
        <f>IF(R202&gt;=W202,"Likely visible","Weak")</f>
        <v/>
      </c>
      <c r="W202" s="47">
        <f>Subsurface_Inputs!$C$43</f>
        <v/>
      </c>
      <c r="X202" s="47">
        <f>Q202-W202</f>
        <v/>
      </c>
      <c r="Y202" s="47">
        <f>R202-W202</f>
        <v/>
      </c>
      <c r="Z202" s="47">
        <f>MAX(Q202,R202)-W202</f>
        <v/>
      </c>
      <c r="AA202" s="47" t="n">
        <v>0</v>
      </c>
    </row>
    <row r="203">
      <c r="A203" s="47">
        <f>Model_Data!A203</f>
        <v/>
      </c>
      <c r="B203" s="47">
        <f>Model_Data!Y203</f>
        <v/>
      </c>
      <c r="C203" s="47">
        <f>Model_Data!X203</f>
        <v/>
      </c>
      <c r="D203" s="47">
        <f>Model_Data!B203</f>
        <v/>
      </c>
      <c r="E203" s="47">
        <f>Inputs!$C$6</f>
        <v/>
      </c>
      <c r="F203" s="47">
        <f>Subsurface_Inputs!$C$5+Subsurface_Inputs!$C$6*SIN(2*PI()*(A203+Subsurface_Inputs!$C$7)/Subsurface_Inputs!$C$8)+Subsurface_Inputs!$C$9*COS(2*PI()*A203/Subsurface_Inputs!$C$10)+Subsurface_Inputs!$C$11*(B203-AVERAGE($B$2:$B$242))</f>
        <v/>
      </c>
      <c r="G203" s="47">
        <f>B203-F203</f>
        <v/>
      </c>
      <c r="H203" s="47">
        <f>MIN(1,MAX(0,Subsurface_Inputs!$C$13*EXP(-0.5*((A203-Subsurface_Inputs!$C$14)/Subsurface_Inputs!$C$15)^2)+Subsurface_Inputs!$C$16*EXP(-0.5*((A203-Subsurface_Inputs!$C$17)/Subsurface_Inputs!$C$18)^2)))</f>
        <v/>
      </c>
      <c r="I203" s="47">
        <f>Subsurface_Inputs!$C$19+Subsurface_Inputs!$C$20*SIN(2*PI()*(A203-Subsurface_Inputs!$C$21)/Subsurface_Inputs!$C$22)-Subsurface_Inputs!$C$23*H203</f>
        <v/>
      </c>
      <c r="J203" s="47">
        <f>B203-I203</f>
        <v/>
      </c>
      <c r="K203" s="47">
        <f>Subsurface_Inputs!$C$25+Subsurface_Inputs!$C$26*SIN(2*PI()*(A203+Subsurface_Inputs!$C$27)/Subsurface_Inputs!$C$28)+Subsurface_Inputs!$C$29*COS(2*PI()*(A203-Subsurface_Inputs!$C$30)/Subsurface_Inputs!$C$31)-Subsurface_Inputs!$C$32*(B203-AVERAGE($B$2:$B$242))</f>
        <v/>
      </c>
      <c r="L203" s="47">
        <f>B203-K203</f>
        <v/>
      </c>
      <c r="M203" s="47">
        <f>2*Subsurface_Inputs!$C$34*F203/Subsurface_Inputs!$C$35*1000000</f>
        <v/>
      </c>
      <c r="N203" s="47">
        <f>2*Subsurface_Inputs!$C$34*I203/Subsurface_Inputs!$C$35*1000000</f>
        <v/>
      </c>
      <c r="O203" s="47">
        <f>2*Subsurface_Inputs!$C$34*K203/Subsurface_Inputs!$C$35*1000000</f>
        <v/>
      </c>
      <c r="P203" s="47">
        <f>Subsurface_Inputs!$C$37-2*Subsurface_Inputs!$C$36*(F203/1000)</f>
        <v/>
      </c>
      <c r="Q203" s="47">
        <f>Subsurface_Inputs!$C$38+Subsurface_Inputs!$C$39*H203-2*Subsurface_Inputs!$C$36*(I203/1000)</f>
        <v/>
      </c>
      <c r="R203" s="47">
        <f>Subsurface_Inputs!$C$40-2*Subsurface_Inputs!$C$36*(K203/1000)-Subsurface_Inputs!$C$41*ABS(L203-AVERAGE($L$2:$L$242))</f>
        <v/>
      </c>
      <c r="S203" s="47">
        <f>K203-AVERAGE($K$2:$K$242)</f>
        <v/>
      </c>
      <c r="T203" s="47">
        <f>K203/F203</f>
        <v/>
      </c>
      <c r="U203" s="50">
        <f>IF(H203&gt;=Subsurface_Inputs!$C$42,"Lens visible","Weak/no lens")</f>
        <v/>
      </c>
      <c r="V203" s="50">
        <f>IF(R203&gt;=W203,"Likely visible","Weak")</f>
        <v/>
      </c>
      <c r="W203" s="47">
        <f>Subsurface_Inputs!$C$43</f>
        <v/>
      </c>
      <c r="X203" s="47">
        <f>Q203-W203</f>
        <v/>
      </c>
      <c r="Y203" s="47">
        <f>R203-W203</f>
        <v/>
      </c>
      <c r="Z203" s="47">
        <f>MAX(Q203,R203)-W203</f>
        <v/>
      </c>
      <c r="AA203" s="47" t="n">
        <v>0</v>
      </c>
    </row>
    <row r="204">
      <c r="A204" s="47">
        <f>Model_Data!A204</f>
        <v/>
      </c>
      <c r="B204" s="47">
        <f>Model_Data!Y204</f>
        <v/>
      </c>
      <c r="C204" s="47">
        <f>Model_Data!X204</f>
        <v/>
      </c>
      <c r="D204" s="47">
        <f>Model_Data!B204</f>
        <v/>
      </c>
      <c r="E204" s="47">
        <f>Inputs!$C$6</f>
        <v/>
      </c>
      <c r="F204" s="47">
        <f>Subsurface_Inputs!$C$5+Subsurface_Inputs!$C$6*SIN(2*PI()*(A204+Subsurface_Inputs!$C$7)/Subsurface_Inputs!$C$8)+Subsurface_Inputs!$C$9*COS(2*PI()*A204/Subsurface_Inputs!$C$10)+Subsurface_Inputs!$C$11*(B204-AVERAGE($B$2:$B$242))</f>
        <v/>
      </c>
      <c r="G204" s="47">
        <f>B204-F204</f>
        <v/>
      </c>
      <c r="H204" s="47">
        <f>MIN(1,MAX(0,Subsurface_Inputs!$C$13*EXP(-0.5*((A204-Subsurface_Inputs!$C$14)/Subsurface_Inputs!$C$15)^2)+Subsurface_Inputs!$C$16*EXP(-0.5*((A204-Subsurface_Inputs!$C$17)/Subsurface_Inputs!$C$18)^2)))</f>
        <v/>
      </c>
      <c r="I204" s="47">
        <f>Subsurface_Inputs!$C$19+Subsurface_Inputs!$C$20*SIN(2*PI()*(A204-Subsurface_Inputs!$C$21)/Subsurface_Inputs!$C$22)-Subsurface_Inputs!$C$23*H204</f>
        <v/>
      </c>
      <c r="J204" s="47">
        <f>B204-I204</f>
        <v/>
      </c>
      <c r="K204" s="47">
        <f>Subsurface_Inputs!$C$25+Subsurface_Inputs!$C$26*SIN(2*PI()*(A204+Subsurface_Inputs!$C$27)/Subsurface_Inputs!$C$28)+Subsurface_Inputs!$C$29*COS(2*PI()*(A204-Subsurface_Inputs!$C$30)/Subsurface_Inputs!$C$31)-Subsurface_Inputs!$C$32*(B204-AVERAGE($B$2:$B$242))</f>
        <v/>
      </c>
      <c r="L204" s="47">
        <f>B204-K204</f>
        <v/>
      </c>
      <c r="M204" s="47">
        <f>2*Subsurface_Inputs!$C$34*F204/Subsurface_Inputs!$C$35*1000000</f>
        <v/>
      </c>
      <c r="N204" s="47">
        <f>2*Subsurface_Inputs!$C$34*I204/Subsurface_Inputs!$C$35*1000000</f>
        <v/>
      </c>
      <c r="O204" s="47">
        <f>2*Subsurface_Inputs!$C$34*K204/Subsurface_Inputs!$C$35*1000000</f>
        <v/>
      </c>
      <c r="P204" s="47">
        <f>Subsurface_Inputs!$C$37-2*Subsurface_Inputs!$C$36*(F204/1000)</f>
        <v/>
      </c>
      <c r="Q204" s="47">
        <f>Subsurface_Inputs!$C$38+Subsurface_Inputs!$C$39*H204-2*Subsurface_Inputs!$C$36*(I204/1000)</f>
        <v/>
      </c>
      <c r="R204" s="47">
        <f>Subsurface_Inputs!$C$40-2*Subsurface_Inputs!$C$36*(K204/1000)-Subsurface_Inputs!$C$41*ABS(L204-AVERAGE($L$2:$L$242))</f>
        <v/>
      </c>
      <c r="S204" s="47">
        <f>K204-AVERAGE($K$2:$K$242)</f>
        <v/>
      </c>
      <c r="T204" s="47">
        <f>K204/F204</f>
        <v/>
      </c>
      <c r="U204" s="50">
        <f>IF(H204&gt;=Subsurface_Inputs!$C$42,"Lens visible","Weak/no lens")</f>
        <v/>
      </c>
      <c r="V204" s="50">
        <f>IF(R204&gt;=W204,"Likely visible","Weak")</f>
        <v/>
      </c>
      <c r="W204" s="47">
        <f>Subsurface_Inputs!$C$43</f>
        <v/>
      </c>
      <c r="X204" s="47">
        <f>Q204-W204</f>
        <v/>
      </c>
      <c r="Y204" s="47">
        <f>R204-W204</f>
        <v/>
      </c>
      <c r="Z204" s="47">
        <f>MAX(Q204,R204)-W204</f>
        <v/>
      </c>
      <c r="AA204" s="47" t="n">
        <v>0</v>
      </c>
    </row>
    <row r="205">
      <c r="A205" s="47">
        <f>Model_Data!A205</f>
        <v/>
      </c>
      <c r="B205" s="47">
        <f>Model_Data!Y205</f>
        <v/>
      </c>
      <c r="C205" s="47">
        <f>Model_Data!X205</f>
        <v/>
      </c>
      <c r="D205" s="47">
        <f>Model_Data!B205</f>
        <v/>
      </c>
      <c r="E205" s="47">
        <f>Inputs!$C$6</f>
        <v/>
      </c>
      <c r="F205" s="47">
        <f>Subsurface_Inputs!$C$5+Subsurface_Inputs!$C$6*SIN(2*PI()*(A205+Subsurface_Inputs!$C$7)/Subsurface_Inputs!$C$8)+Subsurface_Inputs!$C$9*COS(2*PI()*A205/Subsurface_Inputs!$C$10)+Subsurface_Inputs!$C$11*(B205-AVERAGE($B$2:$B$242))</f>
        <v/>
      </c>
      <c r="G205" s="47">
        <f>B205-F205</f>
        <v/>
      </c>
      <c r="H205" s="47">
        <f>MIN(1,MAX(0,Subsurface_Inputs!$C$13*EXP(-0.5*((A205-Subsurface_Inputs!$C$14)/Subsurface_Inputs!$C$15)^2)+Subsurface_Inputs!$C$16*EXP(-0.5*((A205-Subsurface_Inputs!$C$17)/Subsurface_Inputs!$C$18)^2)))</f>
        <v/>
      </c>
      <c r="I205" s="47">
        <f>Subsurface_Inputs!$C$19+Subsurface_Inputs!$C$20*SIN(2*PI()*(A205-Subsurface_Inputs!$C$21)/Subsurface_Inputs!$C$22)-Subsurface_Inputs!$C$23*H205</f>
        <v/>
      </c>
      <c r="J205" s="47">
        <f>B205-I205</f>
        <v/>
      </c>
      <c r="K205" s="47">
        <f>Subsurface_Inputs!$C$25+Subsurface_Inputs!$C$26*SIN(2*PI()*(A205+Subsurface_Inputs!$C$27)/Subsurface_Inputs!$C$28)+Subsurface_Inputs!$C$29*COS(2*PI()*(A205-Subsurface_Inputs!$C$30)/Subsurface_Inputs!$C$31)-Subsurface_Inputs!$C$32*(B205-AVERAGE($B$2:$B$242))</f>
        <v/>
      </c>
      <c r="L205" s="47">
        <f>B205-K205</f>
        <v/>
      </c>
      <c r="M205" s="47">
        <f>2*Subsurface_Inputs!$C$34*F205/Subsurface_Inputs!$C$35*1000000</f>
        <v/>
      </c>
      <c r="N205" s="47">
        <f>2*Subsurface_Inputs!$C$34*I205/Subsurface_Inputs!$C$35*1000000</f>
        <v/>
      </c>
      <c r="O205" s="47">
        <f>2*Subsurface_Inputs!$C$34*K205/Subsurface_Inputs!$C$35*1000000</f>
        <v/>
      </c>
      <c r="P205" s="47">
        <f>Subsurface_Inputs!$C$37-2*Subsurface_Inputs!$C$36*(F205/1000)</f>
        <v/>
      </c>
      <c r="Q205" s="47">
        <f>Subsurface_Inputs!$C$38+Subsurface_Inputs!$C$39*H205-2*Subsurface_Inputs!$C$36*(I205/1000)</f>
        <v/>
      </c>
      <c r="R205" s="47">
        <f>Subsurface_Inputs!$C$40-2*Subsurface_Inputs!$C$36*(K205/1000)-Subsurface_Inputs!$C$41*ABS(L205-AVERAGE($L$2:$L$242))</f>
        <v/>
      </c>
      <c r="S205" s="47">
        <f>K205-AVERAGE($K$2:$K$242)</f>
        <v/>
      </c>
      <c r="T205" s="47">
        <f>K205/F205</f>
        <v/>
      </c>
      <c r="U205" s="50">
        <f>IF(H205&gt;=Subsurface_Inputs!$C$42,"Lens visible","Weak/no lens")</f>
        <v/>
      </c>
      <c r="V205" s="50">
        <f>IF(R205&gt;=W205,"Likely visible","Weak")</f>
        <v/>
      </c>
      <c r="W205" s="47">
        <f>Subsurface_Inputs!$C$43</f>
        <v/>
      </c>
      <c r="X205" s="47">
        <f>Q205-W205</f>
        <v/>
      </c>
      <c r="Y205" s="47">
        <f>R205-W205</f>
        <v/>
      </c>
      <c r="Z205" s="47">
        <f>MAX(Q205,R205)-W205</f>
        <v/>
      </c>
      <c r="AA205" s="47" t="n">
        <v>0</v>
      </c>
    </row>
    <row r="206">
      <c r="A206" s="47">
        <f>Model_Data!A206</f>
        <v/>
      </c>
      <c r="B206" s="47">
        <f>Model_Data!Y206</f>
        <v/>
      </c>
      <c r="C206" s="47">
        <f>Model_Data!X206</f>
        <v/>
      </c>
      <c r="D206" s="47">
        <f>Model_Data!B206</f>
        <v/>
      </c>
      <c r="E206" s="47">
        <f>Inputs!$C$6</f>
        <v/>
      </c>
      <c r="F206" s="47">
        <f>Subsurface_Inputs!$C$5+Subsurface_Inputs!$C$6*SIN(2*PI()*(A206+Subsurface_Inputs!$C$7)/Subsurface_Inputs!$C$8)+Subsurface_Inputs!$C$9*COS(2*PI()*A206/Subsurface_Inputs!$C$10)+Subsurface_Inputs!$C$11*(B206-AVERAGE($B$2:$B$242))</f>
        <v/>
      </c>
      <c r="G206" s="47">
        <f>B206-F206</f>
        <v/>
      </c>
      <c r="H206" s="47">
        <f>MIN(1,MAX(0,Subsurface_Inputs!$C$13*EXP(-0.5*((A206-Subsurface_Inputs!$C$14)/Subsurface_Inputs!$C$15)^2)+Subsurface_Inputs!$C$16*EXP(-0.5*((A206-Subsurface_Inputs!$C$17)/Subsurface_Inputs!$C$18)^2)))</f>
        <v/>
      </c>
      <c r="I206" s="47">
        <f>Subsurface_Inputs!$C$19+Subsurface_Inputs!$C$20*SIN(2*PI()*(A206-Subsurface_Inputs!$C$21)/Subsurface_Inputs!$C$22)-Subsurface_Inputs!$C$23*H206</f>
        <v/>
      </c>
      <c r="J206" s="47">
        <f>B206-I206</f>
        <v/>
      </c>
      <c r="K206" s="47">
        <f>Subsurface_Inputs!$C$25+Subsurface_Inputs!$C$26*SIN(2*PI()*(A206+Subsurface_Inputs!$C$27)/Subsurface_Inputs!$C$28)+Subsurface_Inputs!$C$29*COS(2*PI()*(A206-Subsurface_Inputs!$C$30)/Subsurface_Inputs!$C$31)-Subsurface_Inputs!$C$32*(B206-AVERAGE($B$2:$B$242))</f>
        <v/>
      </c>
      <c r="L206" s="47">
        <f>B206-K206</f>
        <v/>
      </c>
      <c r="M206" s="47">
        <f>2*Subsurface_Inputs!$C$34*F206/Subsurface_Inputs!$C$35*1000000</f>
        <v/>
      </c>
      <c r="N206" s="47">
        <f>2*Subsurface_Inputs!$C$34*I206/Subsurface_Inputs!$C$35*1000000</f>
        <v/>
      </c>
      <c r="O206" s="47">
        <f>2*Subsurface_Inputs!$C$34*K206/Subsurface_Inputs!$C$35*1000000</f>
        <v/>
      </c>
      <c r="P206" s="47">
        <f>Subsurface_Inputs!$C$37-2*Subsurface_Inputs!$C$36*(F206/1000)</f>
        <v/>
      </c>
      <c r="Q206" s="47">
        <f>Subsurface_Inputs!$C$38+Subsurface_Inputs!$C$39*H206-2*Subsurface_Inputs!$C$36*(I206/1000)</f>
        <v/>
      </c>
      <c r="R206" s="47">
        <f>Subsurface_Inputs!$C$40-2*Subsurface_Inputs!$C$36*(K206/1000)-Subsurface_Inputs!$C$41*ABS(L206-AVERAGE($L$2:$L$242))</f>
        <v/>
      </c>
      <c r="S206" s="47">
        <f>K206-AVERAGE($K$2:$K$242)</f>
        <v/>
      </c>
      <c r="T206" s="47">
        <f>K206/F206</f>
        <v/>
      </c>
      <c r="U206" s="50">
        <f>IF(H206&gt;=Subsurface_Inputs!$C$42,"Lens visible","Weak/no lens")</f>
        <v/>
      </c>
      <c r="V206" s="50">
        <f>IF(R206&gt;=W206,"Likely visible","Weak")</f>
        <v/>
      </c>
      <c r="W206" s="47">
        <f>Subsurface_Inputs!$C$43</f>
        <v/>
      </c>
      <c r="X206" s="47">
        <f>Q206-W206</f>
        <v/>
      </c>
      <c r="Y206" s="47">
        <f>R206-W206</f>
        <v/>
      </c>
      <c r="Z206" s="47">
        <f>MAX(Q206,R206)-W206</f>
        <v/>
      </c>
      <c r="AA206" s="47" t="n">
        <v>0</v>
      </c>
    </row>
    <row r="207">
      <c r="A207" s="47">
        <f>Model_Data!A207</f>
        <v/>
      </c>
      <c r="B207" s="47">
        <f>Model_Data!Y207</f>
        <v/>
      </c>
      <c r="C207" s="47">
        <f>Model_Data!X207</f>
        <v/>
      </c>
      <c r="D207" s="47">
        <f>Model_Data!B207</f>
        <v/>
      </c>
      <c r="E207" s="47">
        <f>Inputs!$C$6</f>
        <v/>
      </c>
      <c r="F207" s="47">
        <f>Subsurface_Inputs!$C$5+Subsurface_Inputs!$C$6*SIN(2*PI()*(A207+Subsurface_Inputs!$C$7)/Subsurface_Inputs!$C$8)+Subsurface_Inputs!$C$9*COS(2*PI()*A207/Subsurface_Inputs!$C$10)+Subsurface_Inputs!$C$11*(B207-AVERAGE($B$2:$B$242))</f>
        <v/>
      </c>
      <c r="G207" s="47">
        <f>B207-F207</f>
        <v/>
      </c>
      <c r="H207" s="47">
        <f>MIN(1,MAX(0,Subsurface_Inputs!$C$13*EXP(-0.5*((A207-Subsurface_Inputs!$C$14)/Subsurface_Inputs!$C$15)^2)+Subsurface_Inputs!$C$16*EXP(-0.5*((A207-Subsurface_Inputs!$C$17)/Subsurface_Inputs!$C$18)^2)))</f>
        <v/>
      </c>
      <c r="I207" s="47">
        <f>Subsurface_Inputs!$C$19+Subsurface_Inputs!$C$20*SIN(2*PI()*(A207-Subsurface_Inputs!$C$21)/Subsurface_Inputs!$C$22)-Subsurface_Inputs!$C$23*H207</f>
        <v/>
      </c>
      <c r="J207" s="47">
        <f>B207-I207</f>
        <v/>
      </c>
      <c r="K207" s="47">
        <f>Subsurface_Inputs!$C$25+Subsurface_Inputs!$C$26*SIN(2*PI()*(A207+Subsurface_Inputs!$C$27)/Subsurface_Inputs!$C$28)+Subsurface_Inputs!$C$29*COS(2*PI()*(A207-Subsurface_Inputs!$C$30)/Subsurface_Inputs!$C$31)-Subsurface_Inputs!$C$32*(B207-AVERAGE($B$2:$B$242))</f>
        <v/>
      </c>
      <c r="L207" s="47">
        <f>B207-K207</f>
        <v/>
      </c>
      <c r="M207" s="47">
        <f>2*Subsurface_Inputs!$C$34*F207/Subsurface_Inputs!$C$35*1000000</f>
        <v/>
      </c>
      <c r="N207" s="47">
        <f>2*Subsurface_Inputs!$C$34*I207/Subsurface_Inputs!$C$35*1000000</f>
        <v/>
      </c>
      <c r="O207" s="47">
        <f>2*Subsurface_Inputs!$C$34*K207/Subsurface_Inputs!$C$35*1000000</f>
        <v/>
      </c>
      <c r="P207" s="47">
        <f>Subsurface_Inputs!$C$37-2*Subsurface_Inputs!$C$36*(F207/1000)</f>
        <v/>
      </c>
      <c r="Q207" s="47">
        <f>Subsurface_Inputs!$C$38+Subsurface_Inputs!$C$39*H207-2*Subsurface_Inputs!$C$36*(I207/1000)</f>
        <v/>
      </c>
      <c r="R207" s="47">
        <f>Subsurface_Inputs!$C$40-2*Subsurface_Inputs!$C$36*(K207/1000)-Subsurface_Inputs!$C$41*ABS(L207-AVERAGE($L$2:$L$242))</f>
        <v/>
      </c>
      <c r="S207" s="47">
        <f>K207-AVERAGE($K$2:$K$242)</f>
        <v/>
      </c>
      <c r="T207" s="47">
        <f>K207/F207</f>
        <v/>
      </c>
      <c r="U207" s="50">
        <f>IF(H207&gt;=Subsurface_Inputs!$C$42,"Lens visible","Weak/no lens")</f>
        <v/>
      </c>
      <c r="V207" s="50">
        <f>IF(R207&gt;=W207,"Likely visible","Weak")</f>
        <v/>
      </c>
      <c r="W207" s="47">
        <f>Subsurface_Inputs!$C$43</f>
        <v/>
      </c>
      <c r="X207" s="47">
        <f>Q207-W207</f>
        <v/>
      </c>
      <c r="Y207" s="47">
        <f>R207-W207</f>
        <v/>
      </c>
      <c r="Z207" s="47">
        <f>MAX(Q207,R207)-W207</f>
        <v/>
      </c>
      <c r="AA207" s="47" t="n">
        <v>0</v>
      </c>
    </row>
    <row r="208">
      <c r="A208" s="47">
        <f>Model_Data!A208</f>
        <v/>
      </c>
      <c r="B208" s="47">
        <f>Model_Data!Y208</f>
        <v/>
      </c>
      <c r="C208" s="47">
        <f>Model_Data!X208</f>
        <v/>
      </c>
      <c r="D208" s="47">
        <f>Model_Data!B208</f>
        <v/>
      </c>
      <c r="E208" s="47">
        <f>Inputs!$C$6</f>
        <v/>
      </c>
      <c r="F208" s="47">
        <f>Subsurface_Inputs!$C$5+Subsurface_Inputs!$C$6*SIN(2*PI()*(A208+Subsurface_Inputs!$C$7)/Subsurface_Inputs!$C$8)+Subsurface_Inputs!$C$9*COS(2*PI()*A208/Subsurface_Inputs!$C$10)+Subsurface_Inputs!$C$11*(B208-AVERAGE($B$2:$B$242))</f>
        <v/>
      </c>
      <c r="G208" s="47">
        <f>B208-F208</f>
        <v/>
      </c>
      <c r="H208" s="47">
        <f>MIN(1,MAX(0,Subsurface_Inputs!$C$13*EXP(-0.5*((A208-Subsurface_Inputs!$C$14)/Subsurface_Inputs!$C$15)^2)+Subsurface_Inputs!$C$16*EXP(-0.5*((A208-Subsurface_Inputs!$C$17)/Subsurface_Inputs!$C$18)^2)))</f>
        <v/>
      </c>
      <c r="I208" s="47">
        <f>Subsurface_Inputs!$C$19+Subsurface_Inputs!$C$20*SIN(2*PI()*(A208-Subsurface_Inputs!$C$21)/Subsurface_Inputs!$C$22)-Subsurface_Inputs!$C$23*H208</f>
        <v/>
      </c>
      <c r="J208" s="47">
        <f>B208-I208</f>
        <v/>
      </c>
      <c r="K208" s="47">
        <f>Subsurface_Inputs!$C$25+Subsurface_Inputs!$C$26*SIN(2*PI()*(A208+Subsurface_Inputs!$C$27)/Subsurface_Inputs!$C$28)+Subsurface_Inputs!$C$29*COS(2*PI()*(A208-Subsurface_Inputs!$C$30)/Subsurface_Inputs!$C$31)-Subsurface_Inputs!$C$32*(B208-AVERAGE($B$2:$B$242))</f>
        <v/>
      </c>
      <c r="L208" s="47">
        <f>B208-K208</f>
        <v/>
      </c>
      <c r="M208" s="47">
        <f>2*Subsurface_Inputs!$C$34*F208/Subsurface_Inputs!$C$35*1000000</f>
        <v/>
      </c>
      <c r="N208" s="47">
        <f>2*Subsurface_Inputs!$C$34*I208/Subsurface_Inputs!$C$35*1000000</f>
        <v/>
      </c>
      <c r="O208" s="47">
        <f>2*Subsurface_Inputs!$C$34*K208/Subsurface_Inputs!$C$35*1000000</f>
        <v/>
      </c>
      <c r="P208" s="47">
        <f>Subsurface_Inputs!$C$37-2*Subsurface_Inputs!$C$36*(F208/1000)</f>
        <v/>
      </c>
      <c r="Q208" s="47">
        <f>Subsurface_Inputs!$C$38+Subsurface_Inputs!$C$39*H208-2*Subsurface_Inputs!$C$36*(I208/1000)</f>
        <v/>
      </c>
      <c r="R208" s="47">
        <f>Subsurface_Inputs!$C$40-2*Subsurface_Inputs!$C$36*(K208/1000)-Subsurface_Inputs!$C$41*ABS(L208-AVERAGE($L$2:$L$242))</f>
        <v/>
      </c>
      <c r="S208" s="47">
        <f>K208-AVERAGE($K$2:$K$242)</f>
        <v/>
      </c>
      <c r="T208" s="47">
        <f>K208/F208</f>
        <v/>
      </c>
      <c r="U208" s="50">
        <f>IF(H208&gt;=Subsurface_Inputs!$C$42,"Lens visible","Weak/no lens")</f>
        <v/>
      </c>
      <c r="V208" s="50">
        <f>IF(R208&gt;=W208,"Likely visible","Weak")</f>
        <v/>
      </c>
      <c r="W208" s="47">
        <f>Subsurface_Inputs!$C$43</f>
        <v/>
      </c>
      <c r="X208" s="47">
        <f>Q208-W208</f>
        <v/>
      </c>
      <c r="Y208" s="47">
        <f>R208-W208</f>
        <v/>
      </c>
      <c r="Z208" s="47">
        <f>MAX(Q208,R208)-W208</f>
        <v/>
      </c>
      <c r="AA208" s="47" t="n">
        <v>0</v>
      </c>
    </row>
    <row r="209">
      <c r="A209" s="47">
        <f>Model_Data!A209</f>
        <v/>
      </c>
      <c r="B209" s="47">
        <f>Model_Data!Y209</f>
        <v/>
      </c>
      <c r="C209" s="47">
        <f>Model_Data!X209</f>
        <v/>
      </c>
      <c r="D209" s="47">
        <f>Model_Data!B209</f>
        <v/>
      </c>
      <c r="E209" s="47">
        <f>Inputs!$C$6</f>
        <v/>
      </c>
      <c r="F209" s="47">
        <f>Subsurface_Inputs!$C$5+Subsurface_Inputs!$C$6*SIN(2*PI()*(A209+Subsurface_Inputs!$C$7)/Subsurface_Inputs!$C$8)+Subsurface_Inputs!$C$9*COS(2*PI()*A209/Subsurface_Inputs!$C$10)+Subsurface_Inputs!$C$11*(B209-AVERAGE($B$2:$B$242))</f>
        <v/>
      </c>
      <c r="G209" s="47">
        <f>B209-F209</f>
        <v/>
      </c>
      <c r="H209" s="47">
        <f>MIN(1,MAX(0,Subsurface_Inputs!$C$13*EXP(-0.5*((A209-Subsurface_Inputs!$C$14)/Subsurface_Inputs!$C$15)^2)+Subsurface_Inputs!$C$16*EXP(-0.5*((A209-Subsurface_Inputs!$C$17)/Subsurface_Inputs!$C$18)^2)))</f>
        <v/>
      </c>
      <c r="I209" s="47">
        <f>Subsurface_Inputs!$C$19+Subsurface_Inputs!$C$20*SIN(2*PI()*(A209-Subsurface_Inputs!$C$21)/Subsurface_Inputs!$C$22)-Subsurface_Inputs!$C$23*H209</f>
        <v/>
      </c>
      <c r="J209" s="47">
        <f>B209-I209</f>
        <v/>
      </c>
      <c r="K209" s="47">
        <f>Subsurface_Inputs!$C$25+Subsurface_Inputs!$C$26*SIN(2*PI()*(A209+Subsurface_Inputs!$C$27)/Subsurface_Inputs!$C$28)+Subsurface_Inputs!$C$29*COS(2*PI()*(A209-Subsurface_Inputs!$C$30)/Subsurface_Inputs!$C$31)-Subsurface_Inputs!$C$32*(B209-AVERAGE($B$2:$B$242))</f>
        <v/>
      </c>
      <c r="L209" s="47">
        <f>B209-K209</f>
        <v/>
      </c>
      <c r="M209" s="47">
        <f>2*Subsurface_Inputs!$C$34*F209/Subsurface_Inputs!$C$35*1000000</f>
        <v/>
      </c>
      <c r="N209" s="47">
        <f>2*Subsurface_Inputs!$C$34*I209/Subsurface_Inputs!$C$35*1000000</f>
        <v/>
      </c>
      <c r="O209" s="47">
        <f>2*Subsurface_Inputs!$C$34*K209/Subsurface_Inputs!$C$35*1000000</f>
        <v/>
      </c>
      <c r="P209" s="47">
        <f>Subsurface_Inputs!$C$37-2*Subsurface_Inputs!$C$36*(F209/1000)</f>
        <v/>
      </c>
      <c r="Q209" s="47">
        <f>Subsurface_Inputs!$C$38+Subsurface_Inputs!$C$39*H209-2*Subsurface_Inputs!$C$36*(I209/1000)</f>
        <v/>
      </c>
      <c r="R209" s="47">
        <f>Subsurface_Inputs!$C$40-2*Subsurface_Inputs!$C$36*(K209/1000)-Subsurface_Inputs!$C$41*ABS(L209-AVERAGE($L$2:$L$242))</f>
        <v/>
      </c>
      <c r="S209" s="47">
        <f>K209-AVERAGE($K$2:$K$242)</f>
        <v/>
      </c>
      <c r="T209" s="47">
        <f>K209/F209</f>
        <v/>
      </c>
      <c r="U209" s="50">
        <f>IF(H209&gt;=Subsurface_Inputs!$C$42,"Lens visible","Weak/no lens")</f>
        <v/>
      </c>
      <c r="V209" s="50">
        <f>IF(R209&gt;=W209,"Likely visible","Weak")</f>
        <v/>
      </c>
      <c r="W209" s="47">
        <f>Subsurface_Inputs!$C$43</f>
        <v/>
      </c>
      <c r="X209" s="47">
        <f>Q209-W209</f>
        <v/>
      </c>
      <c r="Y209" s="47">
        <f>R209-W209</f>
        <v/>
      </c>
      <c r="Z209" s="47">
        <f>MAX(Q209,R209)-W209</f>
        <v/>
      </c>
      <c r="AA209" s="47" t="n">
        <v>0</v>
      </c>
    </row>
    <row r="210">
      <c r="A210" s="47">
        <f>Model_Data!A210</f>
        <v/>
      </c>
      <c r="B210" s="47">
        <f>Model_Data!Y210</f>
        <v/>
      </c>
      <c r="C210" s="47">
        <f>Model_Data!X210</f>
        <v/>
      </c>
      <c r="D210" s="47">
        <f>Model_Data!B210</f>
        <v/>
      </c>
      <c r="E210" s="47">
        <f>Inputs!$C$6</f>
        <v/>
      </c>
      <c r="F210" s="47">
        <f>Subsurface_Inputs!$C$5+Subsurface_Inputs!$C$6*SIN(2*PI()*(A210+Subsurface_Inputs!$C$7)/Subsurface_Inputs!$C$8)+Subsurface_Inputs!$C$9*COS(2*PI()*A210/Subsurface_Inputs!$C$10)+Subsurface_Inputs!$C$11*(B210-AVERAGE($B$2:$B$242))</f>
        <v/>
      </c>
      <c r="G210" s="47">
        <f>B210-F210</f>
        <v/>
      </c>
      <c r="H210" s="47">
        <f>MIN(1,MAX(0,Subsurface_Inputs!$C$13*EXP(-0.5*((A210-Subsurface_Inputs!$C$14)/Subsurface_Inputs!$C$15)^2)+Subsurface_Inputs!$C$16*EXP(-0.5*((A210-Subsurface_Inputs!$C$17)/Subsurface_Inputs!$C$18)^2)))</f>
        <v/>
      </c>
      <c r="I210" s="47">
        <f>Subsurface_Inputs!$C$19+Subsurface_Inputs!$C$20*SIN(2*PI()*(A210-Subsurface_Inputs!$C$21)/Subsurface_Inputs!$C$22)-Subsurface_Inputs!$C$23*H210</f>
        <v/>
      </c>
      <c r="J210" s="47">
        <f>B210-I210</f>
        <v/>
      </c>
      <c r="K210" s="47">
        <f>Subsurface_Inputs!$C$25+Subsurface_Inputs!$C$26*SIN(2*PI()*(A210+Subsurface_Inputs!$C$27)/Subsurface_Inputs!$C$28)+Subsurface_Inputs!$C$29*COS(2*PI()*(A210-Subsurface_Inputs!$C$30)/Subsurface_Inputs!$C$31)-Subsurface_Inputs!$C$32*(B210-AVERAGE($B$2:$B$242))</f>
        <v/>
      </c>
      <c r="L210" s="47">
        <f>B210-K210</f>
        <v/>
      </c>
      <c r="M210" s="47">
        <f>2*Subsurface_Inputs!$C$34*F210/Subsurface_Inputs!$C$35*1000000</f>
        <v/>
      </c>
      <c r="N210" s="47">
        <f>2*Subsurface_Inputs!$C$34*I210/Subsurface_Inputs!$C$35*1000000</f>
        <v/>
      </c>
      <c r="O210" s="47">
        <f>2*Subsurface_Inputs!$C$34*K210/Subsurface_Inputs!$C$35*1000000</f>
        <v/>
      </c>
      <c r="P210" s="47">
        <f>Subsurface_Inputs!$C$37-2*Subsurface_Inputs!$C$36*(F210/1000)</f>
        <v/>
      </c>
      <c r="Q210" s="47">
        <f>Subsurface_Inputs!$C$38+Subsurface_Inputs!$C$39*H210-2*Subsurface_Inputs!$C$36*(I210/1000)</f>
        <v/>
      </c>
      <c r="R210" s="47">
        <f>Subsurface_Inputs!$C$40-2*Subsurface_Inputs!$C$36*(K210/1000)-Subsurface_Inputs!$C$41*ABS(L210-AVERAGE($L$2:$L$242))</f>
        <v/>
      </c>
      <c r="S210" s="47">
        <f>K210-AVERAGE($K$2:$K$242)</f>
        <v/>
      </c>
      <c r="T210" s="47">
        <f>K210/F210</f>
        <v/>
      </c>
      <c r="U210" s="50">
        <f>IF(H210&gt;=Subsurface_Inputs!$C$42,"Lens visible","Weak/no lens")</f>
        <v/>
      </c>
      <c r="V210" s="50">
        <f>IF(R210&gt;=W210,"Likely visible","Weak")</f>
        <v/>
      </c>
      <c r="W210" s="47">
        <f>Subsurface_Inputs!$C$43</f>
        <v/>
      </c>
      <c r="X210" s="47">
        <f>Q210-W210</f>
        <v/>
      </c>
      <c r="Y210" s="47">
        <f>R210-W210</f>
        <v/>
      </c>
      <c r="Z210" s="47">
        <f>MAX(Q210,R210)-W210</f>
        <v/>
      </c>
      <c r="AA210" s="47" t="n">
        <v>0</v>
      </c>
    </row>
    <row r="211">
      <c r="A211" s="47">
        <f>Model_Data!A211</f>
        <v/>
      </c>
      <c r="B211" s="47">
        <f>Model_Data!Y211</f>
        <v/>
      </c>
      <c r="C211" s="47">
        <f>Model_Data!X211</f>
        <v/>
      </c>
      <c r="D211" s="47">
        <f>Model_Data!B211</f>
        <v/>
      </c>
      <c r="E211" s="47">
        <f>Inputs!$C$6</f>
        <v/>
      </c>
      <c r="F211" s="47">
        <f>Subsurface_Inputs!$C$5+Subsurface_Inputs!$C$6*SIN(2*PI()*(A211+Subsurface_Inputs!$C$7)/Subsurface_Inputs!$C$8)+Subsurface_Inputs!$C$9*COS(2*PI()*A211/Subsurface_Inputs!$C$10)+Subsurface_Inputs!$C$11*(B211-AVERAGE($B$2:$B$242))</f>
        <v/>
      </c>
      <c r="G211" s="47">
        <f>B211-F211</f>
        <v/>
      </c>
      <c r="H211" s="47">
        <f>MIN(1,MAX(0,Subsurface_Inputs!$C$13*EXP(-0.5*((A211-Subsurface_Inputs!$C$14)/Subsurface_Inputs!$C$15)^2)+Subsurface_Inputs!$C$16*EXP(-0.5*((A211-Subsurface_Inputs!$C$17)/Subsurface_Inputs!$C$18)^2)))</f>
        <v/>
      </c>
      <c r="I211" s="47">
        <f>Subsurface_Inputs!$C$19+Subsurface_Inputs!$C$20*SIN(2*PI()*(A211-Subsurface_Inputs!$C$21)/Subsurface_Inputs!$C$22)-Subsurface_Inputs!$C$23*H211</f>
        <v/>
      </c>
      <c r="J211" s="47">
        <f>B211-I211</f>
        <v/>
      </c>
      <c r="K211" s="47">
        <f>Subsurface_Inputs!$C$25+Subsurface_Inputs!$C$26*SIN(2*PI()*(A211+Subsurface_Inputs!$C$27)/Subsurface_Inputs!$C$28)+Subsurface_Inputs!$C$29*COS(2*PI()*(A211-Subsurface_Inputs!$C$30)/Subsurface_Inputs!$C$31)-Subsurface_Inputs!$C$32*(B211-AVERAGE($B$2:$B$242))</f>
        <v/>
      </c>
      <c r="L211" s="47">
        <f>B211-K211</f>
        <v/>
      </c>
      <c r="M211" s="47">
        <f>2*Subsurface_Inputs!$C$34*F211/Subsurface_Inputs!$C$35*1000000</f>
        <v/>
      </c>
      <c r="N211" s="47">
        <f>2*Subsurface_Inputs!$C$34*I211/Subsurface_Inputs!$C$35*1000000</f>
        <v/>
      </c>
      <c r="O211" s="47">
        <f>2*Subsurface_Inputs!$C$34*K211/Subsurface_Inputs!$C$35*1000000</f>
        <v/>
      </c>
      <c r="P211" s="47">
        <f>Subsurface_Inputs!$C$37-2*Subsurface_Inputs!$C$36*(F211/1000)</f>
        <v/>
      </c>
      <c r="Q211" s="47">
        <f>Subsurface_Inputs!$C$38+Subsurface_Inputs!$C$39*H211-2*Subsurface_Inputs!$C$36*(I211/1000)</f>
        <v/>
      </c>
      <c r="R211" s="47">
        <f>Subsurface_Inputs!$C$40-2*Subsurface_Inputs!$C$36*(K211/1000)-Subsurface_Inputs!$C$41*ABS(L211-AVERAGE($L$2:$L$242))</f>
        <v/>
      </c>
      <c r="S211" s="47">
        <f>K211-AVERAGE($K$2:$K$242)</f>
        <v/>
      </c>
      <c r="T211" s="47">
        <f>K211/F211</f>
        <v/>
      </c>
      <c r="U211" s="50">
        <f>IF(H211&gt;=Subsurface_Inputs!$C$42,"Lens visible","Weak/no lens")</f>
        <v/>
      </c>
      <c r="V211" s="50">
        <f>IF(R211&gt;=W211,"Likely visible","Weak")</f>
        <v/>
      </c>
      <c r="W211" s="47">
        <f>Subsurface_Inputs!$C$43</f>
        <v/>
      </c>
      <c r="X211" s="47">
        <f>Q211-W211</f>
        <v/>
      </c>
      <c r="Y211" s="47">
        <f>R211-W211</f>
        <v/>
      </c>
      <c r="Z211" s="47">
        <f>MAX(Q211,R211)-W211</f>
        <v/>
      </c>
      <c r="AA211" s="47" t="n">
        <v>0</v>
      </c>
    </row>
    <row r="212">
      <c r="A212" s="47">
        <f>Model_Data!A212</f>
        <v/>
      </c>
      <c r="B212" s="47">
        <f>Model_Data!Y212</f>
        <v/>
      </c>
      <c r="C212" s="47">
        <f>Model_Data!X212</f>
        <v/>
      </c>
      <c r="D212" s="47">
        <f>Model_Data!B212</f>
        <v/>
      </c>
      <c r="E212" s="47">
        <f>Inputs!$C$6</f>
        <v/>
      </c>
      <c r="F212" s="47">
        <f>Subsurface_Inputs!$C$5+Subsurface_Inputs!$C$6*SIN(2*PI()*(A212+Subsurface_Inputs!$C$7)/Subsurface_Inputs!$C$8)+Subsurface_Inputs!$C$9*COS(2*PI()*A212/Subsurface_Inputs!$C$10)+Subsurface_Inputs!$C$11*(B212-AVERAGE($B$2:$B$242))</f>
        <v/>
      </c>
      <c r="G212" s="47">
        <f>B212-F212</f>
        <v/>
      </c>
      <c r="H212" s="47">
        <f>MIN(1,MAX(0,Subsurface_Inputs!$C$13*EXP(-0.5*((A212-Subsurface_Inputs!$C$14)/Subsurface_Inputs!$C$15)^2)+Subsurface_Inputs!$C$16*EXP(-0.5*((A212-Subsurface_Inputs!$C$17)/Subsurface_Inputs!$C$18)^2)))</f>
        <v/>
      </c>
      <c r="I212" s="47">
        <f>Subsurface_Inputs!$C$19+Subsurface_Inputs!$C$20*SIN(2*PI()*(A212-Subsurface_Inputs!$C$21)/Subsurface_Inputs!$C$22)-Subsurface_Inputs!$C$23*H212</f>
        <v/>
      </c>
      <c r="J212" s="47">
        <f>B212-I212</f>
        <v/>
      </c>
      <c r="K212" s="47">
        <f>Subsurface_Inputs!$C$25+Subsurface_Inputs!$C$26*SIN(2*PI()*(A212+Subsurface_Inputs!$C$27)/Subsurface_Inputs!$C$28)+Subsurface_Inputs!$C$29*COS(2*PI()*(A212-Subsurface_Inputs!$C$30)/Subsurface_Inputs!$C$31)-Subsurface_Inputs!$C$32*(B212-AVERAGE($B$2:$B$242))</f>
        <v/>
      </c>
      <c r="L212" s="47">
        <f>B212-K212</f>
        <v/>
      </c>
      <c r="M212" s="47">
        <f>2*Subsurface_Inputs!$C$34*F212/Subsurface_Inputs!$C$35*1000000</f>
        <v/>
      </c>
      <c r="N212" s="47">
        <f>2*Subsurface_Inputs!$C$34*I212/Subsurface_Inputs!$C$35*1000000</f>
        <v/>
      </c>
      <c r="O212" s="47">
        <f>2*Subsurface_Inputs!$C$34*K212/Subsurface_Inputs!$C$35*1000000</f>
        <v/>
      </c>
      <c r="P212" s="47">
        <f>Subsurface_Inputs!$C$37-2*Subsurface_Inputs!$C$36*(F212/1000)</f>
        <v/>
      </c>
      <c r="Q212" s="47">
        <f>Subsurface_Inputs!$C$38+Subsurface_Inputs!$C$39*H212-2*Subsurface_Inputs!$C$36*(I212/1000)</f>
        <v/>
      </c>
      <c r="R212" s="47">
        <f>Subsurface_Inputs!$C$40-2*Subsurface_Inputs!$C$36*(K212/1000)-Subsurface_Inputs!$C$41*ABS(L212-AVERAGE($L$2:$L$242))</f>
        <v/>
      </c>
      <c r="S212" s="47">
        <f>K212-AVERAGE($K$2:$K$242)</f>
        <v/>
      </c>
      <c r="T212" s="47">
        <f>K212/F212</f>
        <v/>
      </c>
      <c r="U212" s="50">
        <f>IF(H212&gt;=Subsurface_Inputs!$C$42,"Lens visible","Weak/no lens")</f>
        <v/>
      </c>
      <c r="V212" s="50">
        <f>IF(R212&gt;=W212,"Likely visible","Weak")</f>
        <v/>
      </c>
      <c r="W212" s="47">
        <f>Subsurface_Inputs!$C$43</f>
        <v/>
      </c>
      <c r="X212" s="47">
        <f>Q212-W212</f>
        <v/>
      </c>
      <c r="Y212" s="47">
        <f>R212-W212</f>
        <v/>
      </c>
      <c r="Z212" s="47">
        <f>MAX(Q212,R212)-W212</f>
        <v/>
      </c>
      <c r="AA212" s="47" t="n">
        <v>0</v>
      </c>
    </row>
    <row r="213">
      <c r="A213" s="47">
        <f>Model_Data!A213</f>
        <v/>
      </c>
      <c r="B213" s="47">
        <f>Model_Data!Y213</f>
        <v/>
      </c>
      <c r="C213" s="47">
        <f>Model_Data!X213</f>
        <v/>
      </c>
      <c r="D213" s="47">
        <f>Model_Data!B213</f>
        <v/>
      </c>
      <c r="E213" s="47">
        <f>Inputs!$C$6</f>
        <v/>
      </c>
      <c r="F213" s="47">
        <f>Subsurface_Inputs!$C$5+Subsurface_Inputs!$C$6*SIN(2*PI()*(A213+Subsurface_Inputs!$C$7)/Subsurface_Inputs!$C$8)+Subsurface_Inputs!$C$9*COS(2*PI()*A213/Subsurface_Inputs!$C$10)+Subsurface_Inputs!$C$11*(B213-AVERAGE($B$2:$B$242))</f>
        <v/>
      </c>
      <c r="G213" s="47">
        <f>B213-F213</f>
        <v/>
      </c>
      <c r="H213" s="47">
        <f>MIN(1,MAX(0,Subsurface_Inputs!$C$13*EXP(-0.5*((A213-Subsurface_Inputs!$C$14)/Subsurface_Inputs!$C$15)^2)+Subsurface_Inputs!$C$16*EXP(-0.5*((A213-Subsurface_Inputs!$C$17)/Subsurface_Inputs!$C$18)^2)))</f>
        <v/>
      </c>
      <c r="I213" s="47">
        <f>Subsurface_Inputs!$C$19+Subsurface_Inputs!$C$20*SIN(2*PI()*(A213-Subsurface_Inputs!$C$21)/Subsurface_Inputs!$C$22)-Subsurface_Inputs!$C$23*H213</f>
        <v/>
      </c>
      <c r="J213" s="47">
        <f>B213-I213</f>
        <v/>
      </c>
      <c r="K213" s="47">
        <f>Subsurface_Inputs!$C$25+Subsurface_Inputs!$C$26*SIN(2*PI()*(A213+Subsurface_Inputs!$C$27)/Subsurface_Inputs!$C$28)+Subsurface_Inputs!$C$29*COS(2*PI()*(A213-Subsurface_Inputs!$C$30)/Subsurface_Inputs!$C$31)-Subsurface_Inputs!$C$32*(B213-AVERAGE($B$2:$B$242))</f>
        <v/>
      </c>
      <c r="L213" s="47">
        <f>B213-K213</f>
        <v/>
      </c>
      <c r="M213" s="47">
        <f>2*Subsurface_Inputs!$C$34*F213/Subsurface_Inputs!$C$35*1000000</f>
        <v/>
      </c>
      <c r="N213" s="47">
        <f>2*Subsurface_Inputs!$C$34*I213/Subsurface_Inputs!$C$35*1000000</f>
        <v/>
      </c>
      <c r="O213" s="47">
        <f>2*Subsurface_Inputs!$C$34*K213/Subsurface_Inputs!$C$35*1000000</f>
        <v/>
      </c>
      <c r="P213" s="47">
        <f>Subsurface_Inputs!$C$37-2*Subsurface_Inputs!$C$36*(F213/1000)</f>
        <v/>
      </c>
      <c r="Q213" s="47">
        <f>Subsurface_Inputs!$C$38+Subsurface_Inputs!$C$39*H213-2*Subsurface_Inputs!$C$36*(I213/1000)</f>
        <v/>
      </c>
      <c r="R213" s="47">
        <f>Subsurface_Inputs!$C$40-2*Subsurface_Inputs!$C$36*(K213/1000)-Subsurface_Inputs!$C$41*ABS(L213-AVERAGE($L$2:$L$242))</f>
        <v/>
      </c>
      <c r="S213" s="47">
        <f>K213-AVERAGE($K$2:$K$242)</f>
        <v/>
      </c>
      <c r="T213" s="47">
        <f>K213/F213</f>
        <v/>
      </c>
      <c r="U213" s="50">
        <f>IF(H213&gt;=Subsurface_Inputs!$C$42,"Lens visible","Weak/no lens")</f>
        <v/>
      </c>
      <c r="V213" s="50">
        <f>IF(R213&gt;=W213,"Likely visible","Weak")</f>
        <v/>
      </c>
      <c r="W213" s="47">
        <f>Subsurface_Inputs!$C$43</f>
        <v/>
      </c>
      <c r="X213" s="47">
        <f>Q213-W213</f>
        <v/>
      </c>
      <c r="Y213" s="47">
        <f>R213-W213</f>
        <v/>
      </c>
      <c r="Z213" s="47">
        <f>MAX(Q213,R213)-W213</f>
        <v/>
      </c>
      <c r="AA213" s="47" t="n">
        <v>0</v>
      </c>
    </row>
    <row r="214">
      <c r="A214" s="47">
        <f>Model_Data!A214</f>
        <v/>
      </c>
      <c r="B214" s="47">
        <f>Model_Data!Y214</f>
        <v/>
      </c>
      <c r="C214" s="47">
        <f>Model_Data!X214</f>
        <v/>
      </c>
      <c r="D214" s="47">
        <f>Model_Data!B214</f>
        <v/>
      </c>
      <c r="E214" s="47">
        <f>Inputs!$C$6</f>
        <v/>
      </c>
      <c r="F214" s="47">
        <f>Subsurface_Inputs!$C$5+Subsurface_Inputs!$C$6*SIN(2*PI()*(A214+Subsurface_Inputs!$C$7)/Subsurface_Inputs!$C$8)+Subsurface_Inputs!$C$9*COS(2*PI()*A214/Subsurface_Inputs!$C$10)+Subsurface_Inputs!$C$11*(B214-AVERAGE($B$2:$B$242))</f>
        <v/>
      </c>
      <c r="G214" s="47">
        <f>B214-F214</f>
        <v/>
      </c>
      <c r="H214" s="47">
        <f>MIN(1,MAX(0,Subsurface_Inputs!$C$13*EXP(-0.5*((A214-Subsurface_Inputs!$C$14)/Subsurface_Inputs!$C$15)^2)+Subsurface_Inputs!$C$16*EXP(-0.5*((A214-Subsurface_Inputs!$C$17)/Subsurface_Inputs!$C$18)^2)))</f>
        <v/>
      </c>
      <c r="I214" s="47">
        <f>Subsurface_Inputs!$C$19+Subsurface_Inputs!$C$20*SIN(2*PI()*(A214-Subsurface_Inputs!$C$21)/Subsurface_Inputs!$C$22)-Subsurface_Inputs!$C$23*H214</f>
        <v/>
      </c>
      <c r="J214" s="47">
        <f>B214-I214</f>
        <v/>
      </c>
      <c r="K214" s="47">
        <f>Subsurface_Inputs!$C$25+Subsurface_Inputs!$C$26*SIN(2*PI()*(A214+Subsurface_Inputs!$C$27)/Subsurface_Inputs!$C$28)+Subsurface_Inputs!$C$29*COS(2*PI()*(A214-Subsurface_Inputs!$C$30)/Subsurface_Inputs!$C$31)-Subsurface_Inputs!$C$32*(B214-AVERAGE($B$2:$B$242))</f>
        <v/>
      </c>
      <c r="L214" s="47">
        <f>B214-K214</f>
        <v/>
      </c>
      <c r="M214" s="47">
        <f>2*Subsurface_Inputs!$C$34*F214/Subsurface_Inputs!$C$35*1000000</f>
        <v/>
      </c>
      <c r="N214" s="47">
        <f>2*Subsurface_Inputs!$C$34*I214/Subsurface_Inputs!$C$35*1000000</f>
        <v/>
      </c>
      <c r="O214" s="47">
        <f>2*Subsurface_Inputs!$C$34*K214/Subsurface_Inputs!$C$35*1000000</f>
        <v/>
      </c>
      <c r="P214" s="47">
        <f>Subsurface_Inputs!$C$37-2*Subsurface_Inputs!$C$36*(F214/1000)</f>
        <v/>
      </c>
      <c r="Q214" s="47">
        <f>Subsurface_Inputs!$C$38+Subsurface_Inputs!$C$39*H214-2*Subsurface_Inputs!$C$36*(I214/1000)</f>
        <v/>
      </c>
      <c r="R214" s="47">
        <f>Subsurface_Inputs!$C$40-2*Subsurface_Inputs!$C$36*(K214/1000)-Subsurface_Inputs!$C$41*ABS(L214-AVERAGE($L$2:$L$242))</f>
        <v/>
      </c>
      <c r="S214" s="47">
        <f>K214-AVERAGE($K$2:$K$242)</f>
        <v/>
      </c>
      <c r="T214" s="47">
        <f>K214/F214</f>
        <v/>
      </c>
      <c r="U214" s="50">
        <f>IF(H214&gt;=Subsurface_Inputs!$C$42,"Lens visible","Weak/no lens")</f>
        <v/>
      </c>
      <c r="V214" s="50">
        <f>IF(R214&gt;=W214,"Likely visible","Weak")</f>
        <v/>
      </c>
      <c r="W214" s="47">
        <f>Subsurface_Inputs!$C$43</f>
        <v/>
      </c>
      <c r="X214" s="47">
        <f>Q214-W214</f>
        <v/>
      </c>
      <c r="Y214" s="47">
        <f>R214-W214</f>
        <v/>
      </c>
      <c r="Z214" s="47">
        <f>MAX(Q214,R214)-W214</f>
        <v/>
      </c>
      <c r="AA214" s="47" t="n">
        <v>0</v>
      </c>
    </row>
    <row r="215">
      <c r="A215" s="47">
        <f>Model_Data!A215</f>
        <v/>
      </c>
      <c r="B215" s="47">
        <f>Model_Data!Y215</f>
        <v/>
      </c>
      <c r="C215" s="47">
        <f>Model_Data!X215</f>
        <v/>
      </c>
      <c r="D215" s="47">
        <f>Model_Data!B215</f>
        <v/>
      </c>
      <c r="E215" s="47">
        <f>Inputs!$C$6</f>
        <v/>
      </c>
      <c r="F215" s="47">
        <f>Subsurface_Inputs!$C$5+Subsurface_Inputs!$C$6*SIN(2*PI()*(A215+Subsurface_Inputs!$C$7)/Subsurface_Inputs!$C$8)+Subsurface_Inputs!$C$9*COS(2*PI()*A215/Subsurface_Inputs!$C$10)+Subsurface_Inputs!$C$11*(B215-AVERAGE($B$2:$B$242))</f>
        <v/>
      </c>
      <c r="G215" s="47">
        <f>B215-F215</f>
        <v/>
      </c>
      <c r="H215" s="47">
        <f>MIN(1,MAX(0,Subsurface_Inputs!$C$13*EXP(-0.5*((A215-Subsurface_Inputs!$C$14)/Subsurface_Inputs!$C$15)^2)+Subsurface_Inputs!$C$16*EXP(-0.5*((A215-Subsurface_Inputs!$C$17)/Subsurface_Inputs!$C$18)^2)))</f>
        <v/>
      </c>
      <c r="I215" s="47">
        <f>Subsurface_Inputs!$C$19+Subsurface_Inputs!$C$20*SIN(2*PI()*(A215-Subsurface_Inputs!$C$21)/Subsurface_Inputs!$C$22)-Subsurface_Inputs!$C$23*H215</f>
        <v/>
      </c>
      <c r="J215" s="47">
        <f>B215-I215</f>
        <v/>
      </c>
      <c r="K215" s="47">
        <f>Subsurface_Inputs!$C$25+Subsurface_Inputs!$C$26*SIN(2*PI()*(A215+Subsurface_Inputs!$C$27)/Subsurface_Inputs!$C$28)+Subsurface_Inputs!$C$29*COS(2*PI()*(A215-Subsurface_Inputs!$C$30)/Subsurface_Inputs!$C$31)-Subsurface_Inputs!$C$32*(B215-AVERAGE($B$2:$B$242))</f>
        <v/>
      </c>
      <c r="L215" s="47">
        <f>B215-K215</f>
        <v/>
      </c>
      <c r="M215" s="47">
        <f>2*Subsurface_Inputs!$C$34*F215/Subsurface_Inputs!$C$35*1000000</f>
        <v/>
      </c>
      <c r="N215" s="47">
        <f>2*Subsurface_Inputs!$C$34*I215/Subsurface_Inputs!$C$35*1000000</f>
        <v/>
      </c>
      <c r="O215" s="47">
        <f>2*Subsurface_Inputs!$C$34*K215/Subsurface_Inputs!$C$35*1000000</f>
        <v/>
      </c>
      <c r="P215" s="47">
        <f>Subsurface_Inputs!$C$37-2*Subsurface_Inputs!$C$36*(F215/1000)</f>
        <v/>
      </c>
      <c r="Q215" s="47">
        <f>Subsurface_Inputs!$C$38+Subsurface_Inputs!$C$39*H215-2*Subsurface_Inputs!$C$36*(I215/1000)</f>
        <v/>
      </c>
      <c r="R215" s="47">
        <f>Subsurface_Inputs!$C$40-2*Subsurface_Inputs!$C$36*(K215/1000)-Subsurface_Inputs!$C$41*ABS(L215-AVERAGE($L$2:$L$242))</f>
        <v/>
      </c>
      <c r="S215" s="47">
        <f>K215-AVERAGE($K$2:$K$242)</f>
        <v/>
      </c>
      <c r="T215" s="47">
        <f>K215/F215</f>
        <v/>
      </c>
      <c r="U215" s="50">
        <f>IF(H215&gt;=Subsurface_Inputs!$C$42,"Lens visible","Weak/no lens")</f>
        <v/>
      </c>
      <c r="V215" s="50">
        <f>IF(R215&gt;=W215,"Likely visible","Weak")</f>
        <v/>
      </c>
      <c r="W215" s="47">
        <f>Subsurface_Inputs!$C$43</f>
        <v/>
      </c>
      <c r="X215" s="47">
        <f>Q215-W215</f>
        <v/>
      </c>
      <c r="Y215" s="47">
        <f>R215-W215</f>
        <v/>
      </c>
      <c r="Z215" s="47">
        <f>MAX(Q215,R215)-W215</f>
        <v/>
      </c>
      <c r="AA215" s="47" t="n">
        <v>0</v>
      </c>
    </row>
    <row r="216">
      <c r="A216" s="47">
        <f>Model_Data!A216</f>
        <v/>
      </c>
      <c r="B216" s="47">
        <f>Model_Data!Y216</f>
        <v/>
      </c>
      <c r="C216" s="47">
        <f>Model_Data!X216</f>
        <v/>
      </c>
      <c r="D216" s="47">
        <f>Model_Data!B216</f>
        <v/>
      </c>
      <c r="E216" s="47">
        <f>Inputs!$C$6</f>
        <v/>
      </c>
      <c r="F216" s="47">
        <f>Subsurface_Inputs!$C$5+Subsurface_Inputs!$C$6*SIN(2*PI()*(A216+Subsurface_Inputs!$C$7)/Subsurface_Inputs!$C$8)+Subsurface_Inputs!$C$9*COS(2*PI()*A216/Subsurface_Inputs!$C$10)+Subsurface_Inputs!$C$11*(B216-AVERAGE($B$2:$B$242))</f>
        <v/>
      </c>
      <c r="G216" s="47">
        <f>B216-F216</f>
        <v/>
      </c>
      <c r="H216" s="47">
        <f>MIN(1,MAX(0,Subsurface_Inputs!$C$13*EXP(-0.5*((A216-Subsurface_Inputs!$C$14)/Subsurface_Inputs!$C$15)^2)+Subsurface_Inputs!$C$16*EXP(-0.5*((A216-Subsurface_Inputs!$C$17)/Subsurface_Inputs!$C$18)^2)))</f>
        <v/>
      </c>
      <c r="I216" s="47">
        <f>Subsurface_Inputs!$C$19+Subsurface_Inputs!$C$20*SIN(2*PI()*(A216-Subsurface_Inputs!$C$21)/Subsurface_Inputs!$C$22)-Subsurface_Inputs!$C$23*H216</f>
        <v/>
      </c>
      <c r="J216" s="47">
        <f>B216-I216</f>
        <v/>
      </c>
      <c r="K216" s="47">
        <f>Subsurface_Inputs!$C$25+Subsurface_Inputs!$C$26*SIN(2*PI()*(A216+Subsurface_Inputs!$C$27)/Subsurface_Inputs!$C$28)+Subsurface_Inputs!$C$29*COS(2*PI()*(A216-Subsurface_Inputs!$C$30)/Subsurface_Inputs!$C$31)-Subsurface_Inputs!$C$32*(B216-AVERAGE($B$2:$B$242))</f>
        <v/>
      </c>
      <c r="L216" s="47">
        <f>B216-K216</f>
        <v/>
      </c>
      <c r="M216" s="47">
        <f>2*Subsurface_Inputs!$C$34*F216/Subsurface_Inputs!$C$35*1000000</f>
        <v/>
      </c>
      <c r="N216" s="47">
        <f>2*Subsurface_Inputs!$C$34*I216/Subsurface_Inputs!$C$35*1000000</f>
        <v/>
      </c>
      <c r="O216" s="47">
        <f>2*Subsurface_Inputs!$C$34*K216/Subsurface_Inputs!$C$35*1000000</f>
        <v/>
      </c>
      <c r="P216" s="47">
        <f>Subsurface_Inputs!$C$37-2*Subsurface_Inputs!$C$36*(F216/1000)</f>
        <v/>
      </c>
      <c r="Q216" s="47">
        <f>Subsurface_Inputs!$C$38+Subsurface_Inputs!$C$39*H216-2*Subsurface_Inputs!$C$36*(I216/1000)</f>
        <v/>
      </c>
      <c r="R216" s="47">
        <f>Subsurface_Inputs!$C$40-2*Subsurface_Inputs!$C$36*(K216/1000)-Subsurface_Inputs!$C$41*ABS(L216-AVERAGE($L$2:$L$242))</f>
        <v/>
      </c>
      <c r="S216" s="47">
        <f>K216-AVERAGE($K$2:$K$242)</f>
        <v/>
      </c>
      <c r="T216" s="47">
        <f>K216/F216</f>
        <v/>
      </c>
      <c r="U216" s="50">
        <f>IF(H216&gt;=Subsurface_Inputs!$C$42,"Lens visible","Weak/no lens")</f>
        <v/>
      </c>
      <c r="V216" s="50">
        <f>IF(R216&gt;=W216,"Likely visible","Weak")</f>
        <v/>
      </c>
      <c r="W216" s="47">
        <f>Subsurface_Inputs!$C$43</f>
        <v/>
      </c>
      <c r="X216" s="47">
        <f>Q216-W216</f>
        <v/>
      </c>
      <c r="Y216" s="47">
        <f>R216-W216</f>
        <v/>
      </c>
      <c r="Z216" s="47">
        <f>MAX(Q216,R216)-W216</f>
        <v/>
      </c>
      <c r="AA216" s="47" t="n">
        <v>0</v>
      </c>
    </row>
    <row r="217">
      <c r="A217" s="47">
        <f>Model_Data!A217</f>
        <v/>
      </c>
      <c r="B217" s="47">
        <f>Model_Data!Y217</f>
        <v/>
      </c>
      <c r="C217" s="47">
        <f>Model_Data!X217</f>
        <v/>
      </c>
      <c r="D217" s="47">
        <f>Model_Data!B217</f>
        <v/>
      </c>
      <c r="E217" s="47">
        <f>Inputs!$C$6</f>
        <v/>
      </c>
      <c r="F217" s="47">
        <f>Subsurface_Inputs!$C$5+Subsurface_Inputs!$C$6*SIN(2*PI()*(A217+Subsurface_Inputs!$C$7)/Subsurface_Inputs!$C$8)+Subsurface_Inputs!$C$9*COS(2*PI()*A217/Subsurface_Inputs!$C$10)+Subsurface_Inputs!$C$11*(B217-AVERAGE($B$2:$B$242))</f>
        <v/>
      </c>
      <c r="G217" s="47">
        <f>B217-F217</f>
        <v/>
      </c>
      <c r="H217" s="47">
        <f>MIN(1,MAX(0,Subsurface_Inputs!$C$13*EXP(-0.5*((A217-Subsurface_Inputs!$C$14)/Subsurface_Inputs!$C$15)^2)+Subsurface_Inputs!$C$16*EXP(-0.5*((A217-Subsurface_Inputs!$C$17)/Subsurface_Inputs!$C$18)^2)))</f>
        <v/>
      </c>
      <c r="I217" s="47">
        <f>Subsurface_Inputs!$C$19+Subsurface_Inputs!$C$20*SIN(2*PI()*(A217-Subsurface_Inputs!$C$21)/Subsurface_Inputs!$C$22)-Subsurface_Inputs!$C$23*H217</f>
        <v/>
      </c>
      <c r="J217" s="47">
        <f>B217-I217</f>
        <v/>
      </c>
      <c r="K217" s="47">
        <f>Subsurface_Inputs!$C$25+Subsurface_Inputs!$C$26*SIN(2*PI()*(A217+Subsurface_Inputs!$C$27)/Subsurface_Inputs!$C$28)+Subsurface_Inputs!$C$29*COS(2*PI()*(A217-Subsurface_Inputs!$C$30)/Subsurface_Inputs!$C$31)-Subsurface_Inputs!$C$32*(B217-AVERAGE($B$2:$B$242))</f>
        <v/>
      </c>
      <c r="L217" s="47">
        <f>B217-K217</f>
        <v/>
      </c>
      <c r="M217" s="47">
        <f>2*Subsurface_Inputs!$C$34*F217/Subsurface_Inputs!$C$35*1000000</f>
        <v/>
      </c>
      <c r="N217" s="47">
        <f>2*Subsurface_Inputs!$C$34*I217/Subsurface_Inputs!$C$35*1000000</f>
        <v/>
      </c>
      <c r="O217" s="47">
        <f>2*Subsurface_Inputs!$C$34*K217/Subsurface_Inputs!$C$35*1000000</f>
        <v/>
      </c>
      <c r="P217" s="47">
        <f>Subsurface_Inputs!$C$37-2*Subsurface_Inputs!$C$36*(F217/1000)</f>
        <v/>
      </c>
      <c r="Q217" s="47">
        <f>Subsurface_Inputs!$C$38+Subsurface_Inputs!$C$39*H217-2*Subsurface_Inputs!$C$36*(I217/1000)</f>
        <v/>
      </c>
      <c r="R217" s="47">
        <f>Subsurface_Inputs!$C$40-2*Subsurface_Inputs!$C$36*(K217/1000)-Subsurface_Inputs!$C$41*ABS(L217-AVERAGE($L$2:$L$242))</f>
        <v/>
      </c>
      <c r="S217" s="47">
        <f>K217-AVERAGE($K$2:$K$242)</f>
        <v/>
      </c>
      <c r="T217" s="47">
        <f>K217/F217</f>
        <v/>
      </c>
      <c r="U217" s="50">
        <f>IF(H217&gt;=Subsurface_Inputs!$C$42,"Lens visible","Weak/no lens")</f>
        <v/>
      </c>
      <c r="V217" s="50">
        <f>IF(R217&gt;=W217,"Likely visible","Weak")</f>
        <v/>
      </c>
      <c r="W217" s="47">
        <f>Subsurface_Inputs!$C$43</f>
        <v/>
      </c>
      <c r="X217" s="47">
        <f>Q217-W217</f>
        <v/>
      </c>
      <c r="Y217" s="47">
        <f>R217-W217</f>
        <v/>
      </c>
      <c r="Z217" s="47">
        <f>MAX(Q217,R217)-W217</f>
        <v/>
      </c>
      <c r="AA217" s="47" t="n">
        <v>0</v>
      </c>
    </row>
    <row r="218">
      <c r="A218" s="47">
        <f>Model_Data!A218</f>
        <v/>
      </c>
      <c r="B218" s="47">
        <f>Model_Data!Y218</f>
        <v/>
      </c>
      <c r="C218" s="47">
        <f>Model_Data!X218</f>
        <v/>
      </c>
      <c r="D218" s="47">
        <f>Model_Data!B218</f>
        <v/>
      </c>
      <c r="E218" s="47">
        <f>Inputs!$C$6</f>
        <v/>
      </c>
      <c r="F218" s="47">
        <f>Subsurface_Inputs!$C$5+Subsurface_Inputs!$C$6*SIN(2*PI()*(A218+Subsurface_Inputs!$C$7)/Subsurface_Inputs!$C$8)+Subsurface_Inputs!$C$9*COS(2*PI()*A218/Subsurface_Inputs!$C$10)+Subsurface_Inputs!$C$11*(B218-AVERAGE($B$2:$B$242))</f>
        <v/>
      </c>
      <c r="G218" s="47">
        <f>B218-F218</f>
        <v/>
      </c>
      <c r="H218" s="47">
        <f>MIN(1,MAX(0,Subsurface_Inputs!$C$13*EXP(-0.5*((A218-Subsurface_Inputs!$C$14)/Subsurface_Inputs!$C$15)^2)+Subsurface_Inputs!$C$16*EXP(-0.5*((A218-Subsurface_Inputs!$C$17)/Subsurface_Inputs!$C$18)^2)))</f>
        <v/>
      </c>
      <c r="I218" s="47">
        <f>Subsurface_Inputs!$C$19+Subsurface_Inputs!$C$20*SIN(2*PI()*(A218-Subsurface_Inputs!$C$21)/Subsurface_Inputs!$C$22)-Subsurface_Inputs!$C$23*H218</f>
        <v/>
      </c>
      <c r="J218" s="47">
        <f>B218-I218</f>
        <v/>
      </c>
      <c r="K218" s="47">
        <f>Subsurface_Inputs!$C$25+Subsurface_Inputs!$C$26*SIN(2*PI()*(A218+Subsurface_Inputs!$C$27)/Subsurface_Inputs!$C$28)+Subsurface_Inputs!$C$29*COS(2*PI()*(A218-Subsurface_Inputs!$C$30)/Subsurface_Inputs!$C$31)-Subsurface_Inputs!$C$32*(B218-AVERAGE($B$2:$B$242))</f>
        <v/>
      </c>
      <c r="L218" s="47">
        <f>B218-K218</f>
        <v/>
      </c>
      <c r="M218" s="47">
        <f>2*Subsurface_Inputs!$C$34*F218/Subsurface_Inputs!$C$35*1000000</f>
        <v/>
      </c>
      <c r="N218" s="47">
        <f>2*Subsurface_Inputs!$C$34*I218/Subsurface_Inputs!$C$35*1000000</f>
        <v/>
      </c>
      <c r="O218" s="47">
        <f>2*Subsurface_Inputs!$C$34*K218/Subsurface_Inputs!$C$35*1000000</f>
        <v/>
      </c>
      <c r="P218" s="47">
        <f>Subsurface_Inputs!$C$37-2*Subsurface_Inputs!$C$36*(F218/1000)</f>
        <v/>
      </c>
      <c r="Q218" s="47">
        <f>Subsurface_Inputs!$C$38+Subsurface_Inputs!$C$39*H218-2*Subsurface_Inputs!$C$36*(I218/1000)</f>
        <v/>
      </c>
      <c r="R218" s="47">
        <f>Subsurface_Inputs!$C$40-2*Subsurface_Inputs!$C$36*(K218/1000)-Subsurface_Inputs!$C$41*ABS(L218-AVERAGE($L$2:$L$242))</f>
        <v/>
      </c>
      <c r="S218" s="47">
        <f>K218-AVERAGE($K$2:$K$242)</f>
        <v/>
      </c>
      <c r="T218" s="47">
        <f>K218/F218</f>
        <v/>
      </c>
      <c r="U218" s="50">
        <f>IF(H218&gt;=Subsurface_Inputs!$C$42,"Lens visible","Weak/no lens")</f>
        <v/>
      </c>
      <c r="V218" s="50">
        <f>IF(R218&gt;=W218,"Likely visible","Weak")</f>
        <v/>
      </c>
      <c r="W218" s="47">
        <f>Subsurface_Inputs!$C$43</f>
        <v/>
      </c>
      <c r="X218" s="47">
        <f>Q218-W218</f>
        <v/>
      </c>
      <c r="Y218" s="47">
        <f>R218-W218</f>
        <v/>
      </c>
      <c r="Z218" s="47">
        <f>MAX(Q218,R218)-W218</f>
        <v/>
      </c>
      <c r="AA218" s="47" t="n">
        <v>0</v>
      </c>
    </row>
    <row r="219">
      <c r="A219" s="47">
        <f>Model_Data!A219</f>
        <v/>
      </c>
      <c r="B219" s="47">
        <f>Model_Data!Y219</f>
        <v/>
      </c>
      <c r="C219" s="47">
        <f>Model_Data!X219</f>
        <v/>
      </c>
      <c r="D219" s="47">
        <f>Model_Data!B219</f>
        <v/>
      </c>
      <c r="E219" s="47">
        <f>Inputs!$C$6</f>
        <v/>
      </c>
      <c r="F219" s="47">
        <f>Subsurface_Inputs!$C$5+Subsurface_Inputs!$C$6*SIN(2*PI()*(A219+Subsurface_Inputs!$C$7)/Subsurface_Inputs!$C$8)+Subsurface_Inputs!$C$9*COS(2*PI()*A219/Subsurface_Inputs!$C$10)+Subsurface_Inputs!$C$11*(B219-AVERAGE($B$2:$B$242))</f>
        <v/>
      </c>
      <c r="G219" s="47">
        <f>B219-F219</f>
        <v/>
      </c>
      <c r="H219" s="47">
        <f>MIN(1,MAX(0,Subsurface_Inputs!$C$13*EXP(-0.5*((A219-Subsurface_Inputs!$C$14)/Subsurface_Inputs!$C$15)^2)+Subsurface_Inputs!$C$16*EXP(-0.5*((A219-Subsurface_Inputs!$C$17)/Subsurface_Inputs!$C$18)^2)))</f>
        <v/>
      </c>
      <c r="I219" s="47">
        <f>Subsurface_Inputs!$C$19+Subsurface_Inputs!$C$20*SIN(2*PI()*(A219-Subsurface_Inputs!$C$21)/Subsurface_Inputs!$C$22)-Subsurface_Inputs!$C$23*H219</f>
        <v/>
      </c>
      <c r="J219" s="47">
        <f>B219-I219</f>
        <v/>
      </c>
      <c r="K219" s="47">
        <f>Subsurface_Inputs!$C$25+Subsurface_Inputs!$C$26*SIN(2*PI()*(A219+Subsurface_Inputs!$C$27)/Subsurface_Inputs!$C$28)+Subsurface_Inputs!$C$29*COS(2*PI()*(A219-Subsurface_Inputs!$C$30)/Subsurface_Inputs!$C$31)-Subsurface_Inputs!$C$32*(B219-AVERAGE($B$2:$B$242))</f>
        <v/>
      </c>
      <c r="L219" s="47">
        <f>B219-K219</f>
        <v/>
      </c>
      <c r="M219" s="47">
        <f>2*Subsurface_Inputs!$C$34*F219/Subsurface_Inputs!$C$35*1000000</f>
        <v/>
      </c>
      <c r="N219" s="47">
        <f>2*Subsurface_Inputs!$C$34*I219/Subsurface_Inputs!$C$35*1000000</f>
        <v/>
      </c>
      <c r="O219" s="47">
        <f>2*Subsurface_Inputs!$C$34*K219/Subsurface_Inputs!$C$35*1000000</f>
        <v/>
      </c>
      <c r="P219" s="47">
        <f>Subsurface_Inputs!$C$37-2*Subsurface_Inputs!$C$36*(F219/1000)</f>
        <v/>
      </c>
      <c r="Q219" s="47">
        <f>Subsurface_Inputs!$C$38+Subsurface_Inputs!$C$39*H219-2*Subsurface_Inputs!$C$36*(I219/1000)</f>
        <v/>
      </c>
      <c r="R219" s="47">
        <f>Subsurface_Inputs!$C$40-2*Subsurface_Inputs!$C$36*(K219/1000)-Subsurface_Inputs!$C$41*ABS(L219-AVERAGE($L$2:$L$242))</f>
        <v/>
      </c>
      <c r="S219" s="47">
        <f>K219-AVERAGE($K$2:$K$242)</f>
        <v/>
      </c>
      <c r="T219" s="47">
        <f>K219/F219</f>
        <v/>
      </c>
      <c r="U219" s="50">
        <f>IF(H219&gt;=Subsurface_Inputs!$C$42,"Lens visible","Weak/no lens")</f>
        <v/>
      </c>
      <c r="V219" s="50">
        <f>IF(R219&gt;=W219,"Likely visible","Weak")</f>
        <v/>
      </c>
      <c r="W219" s="47">
        <f>Subsurface_Inputs!$C$43</f>
        <v/>
      </c>
      <c r="X219" s="47">
        <f>Q219-W219</f>
        <v/>
      </c>
      <c r="Y219" s="47">
        <f>R219-W219</f>
        <v/>
      </c>
      <c r="Z219" s="47">
        <f>MAX(Q219,R219)-W219</f>
        <v/>
      </c>
      <c r="AA219" s="47" t="n">
        <v>0</v>
      </c>
    </row>
    <row r="220">
      <c r="A220" s="47">
        <f>Model_Data!A220</f>
        <v/>
      </c>
      <c r="B220" s="47">
        <f>Model_Data!Y220</f>
        <v/>
      </c>
      <c r="C220" s="47">
        <f>Model_Data!X220</f>
        <v/>
      </c>
      <c r="D220" s="47">
        <f>Model_Data!B220</f>
        <v/>
      </c>
      <c r="E220" s="47">
        <f>Inputs!$C$6</f>
        <v/>
      </c>
      <c r="F220" s="47">
        <f>Subsurface_Inputs!$C$5+Subsurface_Inputs!$C$6*SIN(2*PI()*(A220+Subsurface_Inputs!$C$7)/Subsurface_Inputs!$C$8)+Subsurface_Inputs!$C$9*COS(2*PI()*A220/Subsurface_Inputs!$C$10)+Subsurface_Inputs!$C$11*(B220-AVERAGE($B$2:$B$242))</f>
        <v/>
      </c>
      <c r="G220" s="47">
        <f>B220-F220</f>
        <v/>
      </c>
      <c r="H220" s="47">
        <f>MIN(1,MAX(0,Subsurface_Inputs!$C$13*EXP(-0.5*((A220-Subsurface_Inputs!$C$14)/Subsurface_Inputs!$C$15)^2)+Subsurface_Inputs!$C$16*EXP(-0.5*((A220-Subsurface_Inputs!$C$17)/Subsurface_Inputs!$C$18)^2)))</f>
        <v/>
      </c>
      <c r="I220" s="47">
        <f>Subsurface_Inputs!$C$19+Subsurface_Inputs!$C$20*SIN(2*PI()*(A220-Subsurface_Inputs!$C$21)/Subsurface_Inputs!$C$22)-Subsurface_Inputs!$C$23*H220</f>
        <v/>
      </c>
      <c r="J220" s="47">
        <f>B220-I220</f>
        <v/>
      </c>
      <c r="K220" s="47">
        <f>Subsurface_Inputs!$C$25+Subsurface_Inputs!$C$26*SIN(2*PI()*(A220+Subsurface_Inputs!$C$27)/Subsurface_Inputs!$C$28)+Subsurface_Inputs!$C$29*COS(2*PI()*(A220-Subsurface_Inputs!$C$30)/Subsurface_Inputs!$C$31)-Subsurface_Inputs!$C$32*(B220-AVERAGE($B$2:$B$242))</f>
        <v/>
      </c>
      <c r="L220" s="47">
        <f>B220-K220</f>
        <v/>
      </c>
      <c r="M220" s="47">
        <f>2*Subsurface_Inputs!$C$34*F220/Subsurface_Inputs!$C$35*1000000</f>
        <v/>
      </c>
      <c r="N220" s="47">
        <f>2*Subsurface_Inputs!$C$34*I220/Subsurface_Inputs!$C$35*1000000</f>
        <v/>
      </c>
      <c r="O220" s="47">
        <f>2*Subsurface_Inputs!$C$34*K220/Subsurface_Inputs!$C$35*1000000</f>
        <v/>
      </c>
      <c r="P220" s="47">
        <f>Subsurface_Inputs!$C$37-2*Subsurface_Inputs!$C$36*(F220/1000)</f>
        <v/>
      </c>
      <c r="Q220" s="47">
        <f>Subsurface_Inputs!$C$38+Subsurface_Inputs!$C$39*H220-2*Subsurface_Inputs!$C$36*(I220/1000)</f>
        <v/>
      </c>
      <c r="R220" s="47">
        <f>Subsurface_Inputs!$C$40-2*Subsurface_Inputs!$C$36*(K220/1000)-Subsurface_Inputs!$C$41*ABS(L220-AVERAGE($L$2:$L$242))</f>
        <v/>
      </c>
      <c r="S220" s="47">
        <f>K220-AVERAGE($K$2:$K$242)</f>
        <v/>
      </c>
      <c r="T220" s="47">
        <f>K220/F220</f>
        <v/>
      </c>
      <c r="U220" s="50">
        <f>IF(H220&gt;=Subsurface_Inputs!$C$42,"Lens visible","Weak/no lens")</f>
        <v/>
      </c>
      <c r="V220" s="50">
        <f>IF(R220&gt;=W220,"Likely visible","Weak")</f>
        <v/>
      </c>
      <c r="W220" s="47">
        <f>Subsurface_Inputs!$C$43</f>
        <v/>
      </c>
      <c r="X220" s="47">
        <f>Q220-W220</f>
        <v/>
      </c>
      <c r="Y220" s="47">
        <f>R220-W220</f>
        <v/>
      </c>
      <c r="Z220" s="47">
        <f>MAX(Q220,R220)-W220</f>
        <v/>
      </c>
      <c r="AA220" s="47" t="n">
        <v>0</v>
      </c>
    </row>
    <row r="221">
      <c r="A221" s="47">
        <f>Model_Data!A221</f>
        <v/>
      </c>
      <c r="B221" s="47">
        <f>Model_Data!Y221</f>
        <v/>
      </c>
      <c r="C221" s="47">
        <f>Model_Data!X221</f>
        <v/>
      </c>
      <c r="D221" s="47">
        <f>Model_Data!B221</f>
        <v/>
      </c>
      <c r="E221" s="47">
        <f>Inputs!$C$6</f>
        <v/>
      </c>
      <c r="F221" s="47">
        <f>Subsurface_Inputs!$C$5+Subsurface_Inputs!$C$6*SIN(2*PI()*(A221+Subsurface_Inputs!$C$7)/Subsurface_Inputs!$C$8)+Subsurface_Inputs!$C$9*COS(2*PI()*A221/Subsurface_Inputs!$C$10)+Subsurface_Inputs!$C$11*(B221-AVERAGE($B$2:$B$242))</f>
        <v/>
      </c>
      <c r="G221" s="47">
        <f>B221-F221</f>
        <v/>
      </c>
      <c r="H221" s="47">
        <f>MIN(1,MAX(0,Subsurface_Inputs!$C$13*EXP(-0.5*((A221-Subsurface_Inputs!$C$14)/Subsurface_Inputs!$C$15)^2)+Subsurface_Inputs!$C$16*EXP(-0.5*((A221-Subsurface_Inputs!$C$17)/Subsurface_Inputs!$C$18)^2)))</f>
        <v/>
      </c>
      <c r="I221" s="47">
        <f>Subsurface_Inputs!$C$19+Subsurface_Inputs!$C$20*SIN(2*PI()*(A221-Subsurface_Inputs!$C$21)/Subsurface_Inputs!$C$22)-Subsurface_Inputs!$C$23*H221</f>
        <v/>
      </c>
      <c r="J221" s="47">
        <f>B221-I221</f>
        <v/>
      </c>
      <c r="K221" s="47">
        <f>Subsurface_Inputs!$C$25+Subsurface_Inputs!$C$26*SIN(2*PI()*(A221+Subsurface_Inputs!$C$27)/Subsurface_Inputs!$C$28)+Subsurface_Inputs!$C$29*COS(2*PI()*(A221-Subsurface_Inputs!$C$30)/Subsurface_Inputs!$C$31)-Subsurface_Inputs!$C$32*(B221-AVERAGE($B$2:$B$242))</f>
        <v/>
      </c>
      <c r="L221" s="47">
        <f>B221-K221</f>
        <v/>
      </c>
      <c r="M221" s="47">
        <f>2*Subsurface_Inputs!$C$34*F221/Subsurface_Inputs!$C$35*1000000</f>
        <v/>
      </c>
      <c r="N221" s="47">
        <f>2*Subsurface_Inputs!$C$34*I221/Subsurface_Inputs!$C$35*1000000</f>
        <v/>
      </c>
      <c r="O221" s="47">
        <f>2*Subsurface_Inputs!$C$34*K221/Subsurface_Inputs!$C$35*1000000</f>
        <v/>
      </c>
      <c r="P221" s="47">
        <f>Subsurface_Inputs!$C$37-2*Subsurface_Inputs!$C$36*(F221/1000)</f>
        <v/>
      </c>
      <c r="Q221" s="47">
        <f>Subsurface_Inputs!$C$38+Subsurface_Inputs!$C$39*H221-2*Subsurface_Inputs!$C$36*(I221/1000)</f>
        <v/>
      </c>
      <c r="R221" s="47">
        <f>Subsurface_Inputs!$C$40-2*Subsurface_Inputs!$C$36*(K221/1000)-Subsurface_Inputs!$C$41*ABS(L221-AVERAGE($L$2:$L$242))</f>
        <v/>
      </c>
      <c r="S221" s="47">
        <f>K221-AVERAGE($K$2:$K$242)</f>
        <v/>
      </c>
      <c r="T221" s="47">
        <f>K221/F221</f>
        <v/>
      </c>
      <c r="U221" s="50">
        <f>IF(H221&gt;=Subsurface_Inputs!$C$42,"Lens visible","Weak/no lens")</f>
        <v/>
      </c>
      <c r="V221" s="50">
        <f>IF(R221&gt;=W221,"Likely visible","Weak")</f>
        <v/>
      </c>
      <c r="W221" s="47">
        <f>Subsurface_Inputs!$C$43</f>
        <v/>
      </c>
      <c r="X221" s="47">
        <f>Q221-W221</f>
        <v/>
      </c>
      <c r="Y221" s="47">
        <f>R221-W221</f>
        <v/>
      </c>
      <c r="Z221" s="47">
        <f>MAX(Q221,R221)-W221</f>
        <v/>
      </c>
      <c r="AA221" s="47" t="n">
        <v>0</v>
      </c>
    </row>
    <row r="222">
      <c r="A222" s="47">
        <f>Model_Data!A222</f>
        <v/>
      </c>
      <c r="B222" s="47">
        <f>Model_Data!Y222</f>
        <v/>
      </c>
      <c r="C222" s="47">
        <f>Model_Data!X222</f>
        <v/>
      </c>
      <c r="D222" s="47">
        <f>Model_Data!B222</f>
        <v/>
      </c>
      <c r="E222" s="47">
        <f>Inputs!$C$6</f>
        <v/>
      </c>
      <c r="F222" s="47">
        <f>Subsurface_Inputs!$C$5+Subsurface_Inputs!$C$6*SIN(2*PI()*(A222+Subsurface_Inputs!$C$7)/Subsurface_Inputs!$C$8)+Subsurface_Inputs!$C$9*COS(2*PI()*A222/Subsurface_Inputs!$C$10)+Subsurface_Inputs!$C$11*(B222-AVERAGE($B$2:$B$242))</f>
        <v/>
      </c>
      <c r="G222" s="47">
        <f>B222-F222</f>
        <v/>
      </c>
      <c r="H222" s="47">
        <f>MIN(1,MAX(0,Subsurface_Inputs!$C$13*EXP(-0.5*((A222-Subsurface_Inputs!$C$14)/Subsurface_Inputs!$C$15)^2)+Subsurface_Inputs!$C$16*EXP(-0.5*((A222-Subsurface_Inputs!$C$17)/Subsurface_Inputs!$C$18)^2)))</f>
        <v/>
      </c>
      <c r="I222" s="47">
        <f>Subsurface_Inputs!$C$19+Subsurface_Inputs!$C$20*SIN(2*PI()*(A222-Subsurface_Inputs!$C$21)/Subsurface_Inputs!$C$22)-Subsurface_Inputs!$C$23*H222</f>
        <v/>
      </c>
      <c r="J222" s="47">
        <f>B222-I222</f>
        <v/>
      </c>
      <c r="K222" s="47">
        <f>Subsurface_Inputs!$C$25+Subsurface_Inputs!$C$26*SIN(2*PI()*(A222+Subsurface_Inputs!$C$27)/Subsurface_Inputs!$C$28)+Subsurface_Inputs!$C$29*COS(2*PI()*(A222-Subsurface_Inputs!$C$30)/Subsurface_Inputs!$C$31)-Subsurface_Inputs!$C$32*(B222-AVERAGE($B$2:$B$242))</f>
        <v/>
      </c>
      <c r="L222" s="47">
        <f>B222-K222</f>
        <v/>
      </c>
      <c r="M222" s="47">
        <f>2*Subsurface_Inputs!$C$34*F222/Subsurface_Inputs!$C$35*1000000</f>
        <v/>
      </c>
      <c r="N222" s="47">
        <f>2*Subsurface_Inputs!$C$34*I222/Subsurface_Inputs!$C$35*1000000</f>
        <v/>
      </c>
      <c r="O222" s="47">
        <f>2*Subsurface_Inputs!$C$34*K222/Subsurface_Inputs!$C$35*1000000</f>
        <v/>
      </c>
      <c r="P222" s="47">
        <f>Subsurface_Inputs!$C$37-2*Subsurface_Inputs!$C$36*(F222/1000)</f>
        <v/>
      </c>
      <c r="Q222" s="47">
        <f>Subsurface_Inputs!$C$38+Subsurface_Inputs!$C$39*H222-2*Subsurface_Inputs!$C$36*(I222/1000)</f>
        <v/>
      </c>
      <c r="R222" s="47">
        <f>Subsurface_Inputs!$C$40-2*Subsurface_Inputs!$C$36*(K222/1000)-Subsurface_Inputs!$C$41*ABS(L222-AVERAGE($L$2:$L$242))</f>
        <v/>
      </c>
      <c r="S222" s="47">
        <f>K222-AVERAGE($K$2:$K$242)</f>
        <v/>
      </c>
      <c r="T222" s="47">
        <f>K222/F222</f>
        <v/>
      </c>
      <c r="U222" s="50">
        <f>IF(H222&gt;=Subsurface_Inputs!$C$42,"Lens visible","Weak/no lens")</f>
        <v/>
      </c>
      <c r="V222" s="50">
        <f>IF(R222&gt;=W222,"Likely visible","Weak")</f>
        <v/>
      </c>
      <c r="W222" s="47">
        <f>Subsurface_Inputs!$C$43</f>
        <v/>
      </c>
      <c r="X222" s="47">
        <f>Q222-W222</f>
        <v/>
      </c>
      <c r="Y222" s="47">
        <f>R222-W222</f>
        <v/>
      </c>
      <c r="Z222" s="47">
        <f>MAX(Q222,R222)-W222</f>
        <v/>
      </c>
      <c r="AA222" s="47" t="n">
        <v>0</v>
      </c>
    </row>
    <row r="223">
      <c r="A223" s="47">
        <f>Model_Data!A223</f>
        <v/>
      </c>
      <c r="B223" s="47">
        <f>Model_Data!Y223</f>
        <v/>
      </c>
      <c r="C223" s="47">
        <f>Model_Data!X223</f>
        <v/>
      </c>
      <c r="D223" s="47">
        <f>Model_Data!B223</f>
        <v/>
      </c>
      <c r="E223" s="47">
        <f>Inputs!$C$6</f>
        <v/>
      </c>
      <c r="F223" s="47">
        <f>Subsurface_Inputs!$C$5+Subsurface_Inputs!$C$6*SIN(2*PI()*(A223+Subsurface_Inputs!$C$7)/Subsurface_Inputs!$C$8)+Subsurface_Inputs!$C$9*COS(2*PI()*A223/Subsurface_Inputs!$C$10)+Subsurface_Inputs!$C$11*(B223-AVERAGE($B$2:$B$242))</f>
        <v/>
      </c>
      <c r="G223" s="47">
        <f>B223-F223</f>
        <v/>
      </c>
      <c r="H223" s="47">
        <f>MIN(1,MAX(0,Subsurface_Inputs!$C$13*EXP(-0.5*((A223-Subsurface_Inputs!$C$14)/Subsurface_Inputs!$C$15)^2)+Subsurface_Inputs!$C$16*EXP(-0.5*((A223-Subsurface_Inputs!$C$17)/Subsurface_Inputs!$C$18)^2)))</f>
        <v/>
      </c>
      <c r="I223" s="47">
        <f>Subsurface_Inputs!$C$19+Subsurface_Inputs!$C$20*SIN(2*PI()*(A223-Subsurface_Inputs!$C$21)/Subsurface_Inputs!$C$22)-Subsurface_Inputs!$C$23*H223</f>
        <v/>
      </c>
      <c r="J223" s="47">
        <f>B223-I223</f>
        <v/>
      </c>
      <c r="K223" s="47">
        <f>Subsurface_Inputs!$C$25+Subsurface_Inputs!$C$26*SIN(2*PI()*(A223+Subsurface_Inputs!$C$27)/Subsurface_Inputs!$C$28)+Subsurface_Inputs!$C$29*COS(2*PI()*(A223-Subsurface_Inputs!$C$30)/Subsurface_Inputs!$C$31)-Subsurface_Inputs!$C$32*(B223-AVERAGE($B$2:$B$242))</f>
        <v/>
      </c>
      <c r="L223" s="47">
        <f>B223-K223</f>
        <v/>
      </c>
      <c r="M223" s="47">
        <f>2*Subsurface_Inputs!$C$34*F223/Subsurface_Inputs!$C$35*1000000</f>
        <v/>
      </c>
      <c r="N223" s="47">
        <f>2*Subsurface_Inputs!$C$34*I223/Subsurface_Inputs!$C$35*1000000</f>
        <v/>
      </c>
      <c r="O223" s="47">
        <f>2*Subsurface_Inputs!$C$34*K223/Subsurface_Inputs!$C$35*1000000</f>
        <v/>
      </c>
      <c r="P223" s="47">
        <f>Subsurface_Inputs!$C$37-2*Subsurface_Inputs!$C$36*(F223/1000)</f>
        <v/>
      </c>
      <c r="Q223" s="47">
        <f>Subsurface_Inputs!$C$38+Subsurface_Inputs!$C$39*H223-2*Subsurface_Inputs!$C$36*(I223/1000)</f>
        <v/>
      </c>
      <c r="R223" s="47">
        <f>Subsurface_Inputs!$C$40-2*Subsurface_Inputs!$C$36*(K223/1000)-Subsurface_Inputs!$C$41*ABS(L223-AVERAGE($L$2:$L$242))</f>
        <v/>
      </c>
      <c r="S223" s="47">
        <f>K223-AVERAGE($K$2:$K$242)</f>
        <v/>
      </c>
      <c r="T223" s="47">
        <f>K223/F223</f>
        <v/>
      </c>
      <c r="U223" s="50">
        <f>IF(H223&gt;=Subsurface_Inputs!$C$42,"Lens visible","Weak/no lens")</f>
        <v/>
      </c>
      <c r="V223" s="50">
        <f>IF(R223&gt;=W223,"Likely visible","Weak")</f>
        <v/>
      </c>
      <c r="W223" s="47">
        <f>Subsurface_Inputs!$C$43</f>
        <v/>
      </c>
      <c r="X223" s="47">
        <f>Q223-W223</f>
        <v/>
      </c>
      <c r="Y223" s="47">
        <f>R223-W223</f>
        <v/>
      </c>
      <c r="Z223" s="47">
        <f>MAX(Q223,R223)-W223</f>
        <v/>
      </c>
      <c r="AA223" s="47" t="n">
        <v>0</v>
      </c>
    </row>
    <row r="224">
      <c r="A224" s="47">
        <f>Model_Data!A224</f>
        <v/>
      </c>
      <c r="B224" s="47">
        <f>Model_Data!Y224</f>
        <v/>
      </c>
      <c r="C224" s="47">
        <f>Model_Data!X224</f>
        <v/>
      </c>
      <c r="D224" s="47">
        <f>Model_Data!B224</f>
        <v/>
      </c>
      <c r="E224" s="47">
        <f>Inputs!$C$6</f>
        <v/>
      </c>
      <c r="F224" s="47">
        <f>Subsurface_Inputs!$C$5+Subsurface_Inputs!$C$6*SIN(2*PI()*(A224+Subsurface_Inputs!$C$7)/Subsurface_Inputs!$C$8)+Subsurface_Inputs!$C$9*COS(2*PI()*A224/Subsurface_Inputs!$C$10)+Subsurface_Inputs!$C$11*(B224-AVERAGE($B$2:$B$242))</f>
        <v/>
      </c>
      <c r="G224" s="47">
        <f>B224-F224</f>
        <v/>
      </c>
      <c r="H224" s="47">
        <f>MIN(1,MAX(0,Subsurface_Inputs!$C$13*EXP(-0.5*((A224-Subsurface_Inputs!$C$14)/Subsurface_Inputs!$C$15)^2)+Subsurface_Inputs!$C$16*EXP(-0.5*((A224-Subsurface_Inputs!$C$17)/Subsurface_Inputs!$C$18)^2)))</f>
        <v/>
      </c>
      <c r="I224" s="47">
        <f>Subsurface_Inputs!$C$19+Subsurface_Inputs!$C$20*SIN(2*PI()*(A224-Subsurface_Inputs!$C$21)/Subsurface_Inputs!$C$22)-Subsurface_Inputs!$C$23*H224</f>
        <v/>
      </c>
      <c r="J224" s="47">
        <f>B224-I224</f>
        <v/>
      </c>
      <c r="K224" s="47">
        <f>Subsurface_Inputs!$C$25+Subsurface_Inputs!$C$26*SIN(2*PI()*(A224+Subsurface_Inputs!$C$27)/Subsurface_Inputs!$C$28)+Subsurface_Inputs!$C$29*COS(2*PI()*(A224-Subsurface_Inputs!$C$30)/Subsurface_Inputs!$C$31)-Subsurface_Inputs!$C$32*(B224-AVERAGE($B$2:$B$242))</f>
        <v/>
      </c>
      <c r="L224" s="47">
        <f>B224-K224</f>
        <v/>
      </c>
      <c r="M224" s="47">
        <f>2*Subsurface_Inputs!$C$34*F224/Subsurface_Inputs!$C$35*1000000</f>
        <v/>
      </c>
      <c r="N224" s="47">
        <f>2*Subsurface_Inputs!$C$34*I224/Subsurface_Inputs!$C$35*1000000</f>
        <v/>
      </c>
      <c r="O224" s="47">
        <f>2*Subsurface_Inputs!$C$34*K224/Subsurface_Inputs!$C$35*1000000</f>
        <v/>
      </c>
      <c r="P224" s="47">
        <f>Subsurface_Inputs!$C$37-2*Subsurface_Inputs!$C$36*(F224/1000)</f>
        <v/>
      </c>
      <c r="Q224" s="47">
        <f>Subsurface_Inputs!$C$38+Subsurface_Inputs!$C$39*H224-2*Subsurface_Inputs!$C$36*(I224/1000)</f>
        <v/>
      </c>
      <c r="R224" s="47">
        <f>Subsurface_Inputs!$C$40-2*Subsurface_Inputs!$C$36*(K224/1000)-Subsurface_Inputs!$C$41*ABS(L224-AVERAGE($L$2:$L$242))</f>
        <v/>
      </c>
      <c r="S224" s="47">
        <f>K224-AVERAGE($K$2:$K$242)</f>
        <v/>
      </c>
      <c r="T224" s="47">
        <f>K224/F224</f>
        <v/>
      </c>
      <c r="U224" s="50">
        <f>IF(H224&gt;=Subsurface_Inputs!$C$42,"Lens visible","Weak/no lens")</f>
        <v/>
      </c>
      <c r="V224" s="50">
        <f>IF(R224&gt;=W224,"Likely visible","Weak")</f>
        <v/>
      </c>
      <c r="W224" s="47">
        <f>Subsurface_Inputs!$C$43</f>
        <v/>
      </c>
      <c r="X224" s="47">
        <f>Q224-W224</f>
        <v/>
      </c>
      <c r="Y224" s="47">
        <f>R224-W224</f>
        <v/>
      </c>
      <c r="Z224" s="47">
        <f>MAX(Q224,R224)-W224</f>
        <v/>
      </c>
      <c r="AA224" s="47" t="n">
        <v>0</v>
      </c>
    </row>
    <row r="225">
      <c r="A225" s="47">
        <f>Model_Data!A225</f>
        <v/>
      </c>
      <c r="B225" s="47">
        <f>Model_Data!Y225</f>
        <v/>
      </c>
      <c r="C225" s="47">
        <f>Model_Data!X225</f>
        <v/>
      </c>
      <c r="D225" s="47">
        <f>Model_Data!B225</f>
        <v/>
      </c>
      <c r="E225" s="47">
        <f>Inputs!$C$6</f>
        <v/>
      </c>
      <c r="F225" s="47">
        <f>Subsurface_Inputs!$C$5+Subsurface_Inputs!$C$6*SIN(2*PI()*(A225+Subsurface_Inputs!$C$7)/Subsurface_Inputs!$C$8)+Subsurface_Inputs!$C$9*COS(2*PI()*A225/Subsurface_Inputs!$C$10)+Subsurface_Inputs!$C$11*(B225-AVERAGE($B$2:$B$242))</f>
        <v/>
      </c>
      <c r="G225" s="47">
        <f>B225-F225</f>
        <v/>
      </c>
      <c r="H225" s="47">
        <f>MIN(1,MAX(0,Subsurface_Inputs!$C$13*EXP(-0.5*((A225-Subsurface_Inputs!$C$14)/Subsurface_Inputs!$C$15)^2)+Subsurface_Inputs!$C$16*EXP(-0.5*((A225-Subsurface_Inputs!$C$17)/Subsurface_Inputs!$C$18)^2)))</f>
        <v/>
      </c>
      <c r="I225" s="47">
        <f>Subsurface_Inputs!$C$19+Subsurface_Inputs!$C$20*SIN(2*PI()*(A225-Subsurface_Inputs!$C$21)/Subsurface_Inputs!$C$22)-Subsurface_Inputs!$C$23*H225</f>
        <v/>
      </c>
      <c r="J225" s="47">
        <f>B225-I225</f>
        <v/>
      </c>
      <c r="K225" s="47">
        <f>Subsurface_Inputs!$C$25+Subsurface_Inputs!$C$26*SIN(2*PI()*(A225+Subsurface_Inputs!$C$27)/Subsurface_Inputs!$C$28)+Subsurface_Inputs!$C$29*COS(2*PI()*(A225-Subsurface_Inputs!$C$30)/Subsurface_Inputs!$C$31)-Subsurface_Inputs!$C$32*(B225-AVERAGE($B$2:$B$242))</f>
        <v/>
      </c>
      <c r="L225" s="47">
        <f>B225-K225</f>
        <v/>
      </c>
      <c r="M225" s="47">
        <f>2*Subsurface_Inputs!$C$34*F225/Subsurface_Inputs!$C$35*1000000</f>
        <v/>
      </c>
      <c r="N225" s="47">
        <f>2*Subsurface_Inputs!$C$34*I225/Subsurface_Inputs!$C$35*1000000</f>
        <v/>
      </c>
      <c r="O225" s="47">
        <f>2*Subsurface_Inputs!$C$34*K225/Subsurface_Inputs!$C$35*1000000</f>
        <v/>
      </c>
      <c r="P225" s="47">
        <f>Subsurface_Inputs!$C$37-2*Subsurface_Inputs!$C$36*(F225/1000)</f>
        <v/>
      </c>
      <c r="Q225" s="47">
        <f>Subsurface_Inputs!$C$38+Subsurface_Inputs!$C$39*H225-2*Subsurface_Inputs!$C$36*(I225/1000)</f>
        <v/>
      </c>
      <c r="R225" s="47">
        <f>Subsurface_Inputs!$C$40-2*Subsurface_Inputs!$C$36*(K225/1000)-Subsurface_Inputs!$C$41*ABS(L225-AVERAGE($L$2:$L$242))</f>
        <v/>
      </c>
      <c r="S225" s="47">
        <f>K225-AVERAGE($K$2:$K$242)</f>
        <v/>
      </c>
      <c r="T225" s="47">
        <f>K225/F225</f>
        <v/>
      </c>
      <c r="U225" s="50">
        <f>IF(H225&gt;=Subsurface_Inputs!$C$42,"Lens visible","Weak/no lens")</f>
        <v/>
      </c>
      <c r="V225" s="50">
        <f>IF(R225&gt;=W225,"Likely visible","Weak")</f>
        <v/>
      </c>
      <c r="W225" s="47">
        <f>Subsurface_Inputs!$C$43</f>
        <v/>
      </c>
      <c r="X225" s="47">
        <f>Q225-W225</f>
        <v/>
      </c>
      <c r="Y225" s="47">
        <f>R225-W225</f>
        <v/>
      </c>
      <c r="Z225" s="47">
        <f>MAX(Q225,R225)-W225</f>
        <v/>
      </c>
      <c r="AA225" s="47" t="n">
        <v>0</v>
      </c>
    </row>
    <row r="226">
      <c r="A226" s="47">
        <f>Model_Data!A226</f>
        <v/>
      </c>
      <c r="B226" s="47">
        <f>Model_Data!Y226</f>
        <v/>
      </c>
      <c r="C226" s="47">
        <f>Model_Data!X226</f>
        <v/>
      </c>
      <c r="D226" s="47">
        <f>Model_Data!B226</f>
        <v/>
      </c>
      <c r="E226" s="47">
        <f>Inputs!$C$6</f>
        <v/>
      </c>
      <c r="F226" s="47">
        <f>Subsurface_Inputs!$C$5+Subsurface_Inputs!$C$6*SIN(2*PI()*(A226+Subsurface_Inputs!$C$7)/Subsurface_Inputs!$C$8)+Subsurface_Inputs!$C$9*COS(2*PI()*A226/Subsurface_Inputs!$C$10)+Subsurface_Inputs!$C$11*(B226-AVERAGE($B$2:$B$242))</f>
        <v/>
      </c>
      <c r="G226" s="47">
        <f>B226-F226</f>
        <v/>
      </c>
      <c r="H226" s="47">
        <f>MIN(1,MAX(0,Subsurface_Inputs!$C$13*EXP(-0.5*((A226-Subsurface_Inputs!$C$14)/Subsurface_Inputs!$C$15)^2)+Subsurface_Inputs!$C$16*EXP(-0.5*((A226-Subsurface_Inputs!$C$17)/Subsurface_Inputs!$C$18)^2)))</f>
        <v/>
      </c>
      <c r="I226" s="47">
        <f>Subsurface_Inputs!$C$19+Subsurface_Inputs!$C$20*SIN(2*PI()*(A226-Subsurface_Inputs!$C$21)/Subsurface_Inputs!$C$22)-Subsurface_Inputs!$C$23*H226</f>
        <v/>
      </c>
      <c r="J226" s="47">
        <f>B226-I226</f>
        <v/>
      </c>
      <c r="K226" s="47">
        <f>Subsurface_Inputs!$C$25+Subsurface_Inputs!$C$26*SIN(2*PI()*(A226+Subsurface_Inputs!$C$27)/Subsurface_Inputs!$C$28)+Subsurface_Inputs!$C$29*COS(2*PI()*(A226-Subsurface_Inputs!$C$30)/Subsurface_Inputs!$C$31)-Subsurface_Inputs!$C$32*(B226-AVERAGE($B$2:$B$242))</f>
        <v/>
      </c>
      <c r="L226" s="47">
        <f>B226-K226</f>
        <v/>
      </c>
      <c r="M226" s="47">
        <f>2*Subsurface_Inputs!$C$34*F226/Subsurface_Inputs!$C$35*1000000</f>
        <v/>
      </c>
      <c r="N226" s="47">
        <f>2*Subsurface_Inputs!$C$34*I226/Subsurface_Inputs!$C$35*1000000</f>
        <v/>
      </c>
      <c r="O226" s="47">
        <f>2*Subsurface_Inputs!$C$34*K226/Subsurface_Inputs!$C$35*1000000</f>
        <v/>
      </c>
      <c r="P226" s="47">
        <f>Subsurface_Inputs!$C$37-2*Subsurface_Inputs!$C$36*(F226/1000)</f>
        <v/>
      </c>
      <c r="Q226" s="47">
        <f>Subsurface_Inputs!$C$38+Subsurface_Inputs!$C$39*H226-2*Subsurface_Inputs!$C$36*(I226/1000)</f>
        <v/>
      </c>
      <c r="R226" s="47">
        <f>Subsurface_Inputs!$C$40-2*Subsurface_Inputs!$C$36*(K226/1000)-Subsurface_Inputs!$C$41*ABS(L226-AVERAGE($L$2:$L$242))</f>
        <v/>
      </c>
      <c r="S226" s="47">
        <f>K226-AVERAGE($K$2:$K$242)</f>
        <v/>
      </c>
      <c r="T226" s="47">
        <f>K226/F226</f>
        <v/>
      </c>
      <c r="U226" s="50">
        <f>IF(H226&gt;=Subsurface_Inputs!$C$42,"Lens visible","Weak/no lens")</f>
        <v/>
      </c>
      <c r="V226" s="50">
        <f>IF(R226&gt;=W226,"Likely visible","Weak")</f>
        <v/>
      </c>
      <c r="W226" s="47">
        <f>Subsurface_Inputs!$C$43</f>
        <v/>
      </c>
      <c r="X226" s="47">
        <f>Q226-W226</f>
        <v/>
      </c>
      <c r="Y226" s="47">
        <f>R226-W226</f>
        <v/>
      </c>
      <c r="Z226" s="47">
        <f>MAX(Q226,R226)-W226</f>
        <v/>
      </c>
      <c r="AA226" s="47" t="n">
        <v>0</v>
      </c>
    </row>
    <row r="227">
      <c r="A227" s="47">
        <f>Model_Data!A227</f>
        <v/>
      </c>
      <c r="B227" s="47">
        <f>Model_Data!Y227</f>
        <v/>
      </c>
      <c r="C227" s="47">
        <f>Model_Data!X227</f>
        <v/>
      </c>
      <c r="D227" s="47">
        <f>Model_Data!B227</f>
        <v/>
      </c>
      <c r="E227" s="47">
        <f>Inputs!$C$6</f>
        <v/>
      </c>
      <c r="F227" s="47">
        <f>Subsurface_Inputs!$C$5+Subsurface_Inputs!$C$6*SIN(2*PI()*(A227+Subsurface_Inputs!$C$7)/Subsurface_Inputs!$C$8)+Subsurface_Inputs!$C$9*COS(2*PI()*A227/Subsurface_Inputs!$C$10)+Subsurface_Inputs!$C$11*(B227-AVERAGE($B$2:$B$242))</f>
        <v/>
      </c>
      <c r="G227" s="47">
        <f>B227-F227</f>
        <v/>
      </c>
      <c r="H227" s="47">
        <f>MIN(1,MAX(0,Subsurface_Inputs!$C$13*EXP(-0.5*((A227-Subsurface_Inputs!$C$14)/Subsurface_Inputs!$C$15)^2)+Subsurface_Inputs!$C$16*EXP(-0.5*((A227-Subsurface_Inputs!$C$17)/Subsurface_Inputs!$C$18)^2)))</f>
        <v/>
      </c>
      <c r="I227" s="47">
        <f>Subsurface_Inputs!$C$19+Subsurface_Inputs!$C$20*SIN(2*PI()*(A227-Subsurface_Inputs!$C$21)/Subsurface_Inputs!$C$22)-Subsurface_Inputs!$C$23*H227</f>
        <v/>
      </c>
      <c r="J227" s="47">
        <f>B227-I227</f>
        <v/>
      </c>
      <c r="K227" s="47">
        <f>Subsurface_Inputs!$C$25+Subsurface_Inputs!$C$26*SIN(2*PI()*(A227+Subsurface_Inputs!$C$27)/Subsurface_Inputs!$C$28)+Subsurface_Inputs!$C$29*COS(2*PI()*(A227-Subsurface_Inputs!$C$30)/Subsurface_Inputs!$C$31)-Subsurface_Inputs!$C$32*(B227-AVERAGE($B$2:$B$242))</f>
        <v/>
      </c>
      <c r="L227" s="47">
        <f>B227-K227</f>
        <v/>
      </c>
      <c r="M227" s="47">
        <f>2*Subsurface_Inputs!$C$34*F227/Subsurface_Inputs!$C$35*1000000</f>
        <v/>
      </c>
      <c r="N227" s="47">
        <f>2*Subsurface_Inputs!$C$34*I227/Subsurface_Inputs!$C$35*1000000</f>
        <v/>
      </c>
      <c r="O227" s="47">
        <f>2*Subsurface_Inputs!$C$34*K227/Subsurface_Inputs!$C$35*1000000</f>
        <v/>
      </c>
      <c r="P227" s="47">
        <f>Subsurface_Inputs!$C$37-2*Subsurface_Inputs!$C$36*(F227/1000)</f>
        <v/>
      </c>
      <c r="Q227" s="47">
        <f>Subsurface_Inputs!$C$38+Subsurface_Inputs!$C$39*H227-2*Subsurface_Inputs!$C$36*(I227/1000)</f>
        <v/>
      </c>
      <c r="R227" s="47">
        <f>Subsurface_Inputs!$C$40-2*Subsurface_Inputs!$C$36*(K227/1000)-Subsurface_Inputs!$C$41*ABS(L227-AVERAGE($L$2:$L$242))</f>
        <v/>
      </c>
      <c r="S227" s="47">
        <f>K227-AVERAGE($K$2:$K$242)</f>
        <v/>
      </c>
      <c r="T227" s="47">
        <f>K227/F227</f>
        <v/>
      </c>
      <c r="U227" s="50">
        <f>IF(H227&gt;=Subsurface_Inputs!$C$42,"Lens visible","Weak/no lens")</f>
        <v/>
      </c>
      <c r="V227" s="50">
        <f>IF(R227&gt;=W227,"Likely visible","Weak")</f>
        <v/>
      </c>
      <c r="W227" s="47">
        <f>Subsurface_Inputs!$C$43</f>
        <v/>
      </c>
      <c r="X227" s="47">
        <f>Q227-W227</f>
        <v/>
      </c>
      <c r="Y227" s="47">
        <f>R227-W227</f>
        <v/>
      </c>
      <c r="Z227" s="47">
        <f>MAX(Q227,R227)-W227</f>
        <v/>
      </c>
      <c r="AA227" s="47" t="n">
        <v>0</v>
      </c>
    </row>
    <row r="228">
      <c r="A228" s="47">
        <f>Model_Data!A228</f>
        <v/>
      </c>
      <c r="B228" s="47">
        <f>Model_Data!Y228</f>
        <v/>
      </c>
      <c r="C228" s="47">
        <f>Model_Data!X228</f>
        <v/>
      </c>
      <c r="D228" s="47">
        <f>Model_Data!B228</f>
        <v/>
      </c>
      <c r="E228" s="47">
        <f>Inputs!$C$6</f>
        <v/>
      </c>
      <c r="F228" s="47">
        <f>Subsurface_Inputs!$C$5+Subsurface_Inputs!$C$6*SIN(2*PI()*(A228+Subsurface_Inputs!$C$7)/Subsurface_Inputs!$C$8)+Subsurface_Inputs!$C$9*COS(2*PI()*A228/Subsurface_Inputs!$C$10)+Subsurface_Inputs!$C$11*(B228-AVERAGE($B$2:$B$242))</f>
        <v/>
      </c>
      <c r="G228" s="47">
        <f>B228-F228</f>
        <v/>
      </c>
      <c r="H228" s="47">
        <f>MIN(1,MAX(0,Subsurface_Inputs!$C$13*EXP(-0.5*((A228-Subsurface_Inputs!$C$14)/Subsurface_Inputs!$C$15)^2)+Subsurface_Inputs!$C$16*EXP(-0.5*((A228-Subsurface_Inputs!$C$17)/Subsurface_Inputs!$C$18)^2)))</f>
        <v/>
      </c>
      <c r="I228" s="47">
        <f>Subsurface_Inputs!$C$19+Subsurface_Inputs!$C$20*SIN(2*PI()*(A228-Subsurface_Inputs!$C$21)/Subsurface_Inputs!$C$22)-Subsurface_Inputs!$C$23*H228</f>
        <v/>
      </c>
      <c r="J228" s="47">
        <f>B228-I228</f>
        <v/>
      </c>
      <c r="K228" s="47">
        <f>Subsurface_Inputs!$C$25+Subsurface_Inputs!$C$26*SIN(2*PI()*(A228+Subsurface_Inputs!$C$27)/Subsurface_Inputs!$C$28)+Subsurface_Inputs!$C$29*COS(2*PI()*(A228-Subsurface_Inputs!$C$30)/Subsurface_Inputs!$C$31)-Subsurface_Inputs!$C$32*(B228-AVERAGE($B$2:$B$242))</f>
        <v/>
      </c>
      <c r="L228" s="47">
        <f>B228-K228</f>
        <v/>
      </c>
      <c r="M228" s="47">
        <f>2*Subsurface_Inputs!$C$34*F228/Subsurface_Inputs!$C$35*1000000</f>
        <v/>
      </c>
      <c r="N228" s="47">
        <f>2*Subsurface_Inputs!$C$34*I228/Subsurface_Inputs!$C$35*1000000</f>
        <v/>
      </c>
      <c r="O228" s="47">
        <f>2*Subsurface_Inputs!$C$34*K228/Subsurface_Inputs!$C$35*1000000</f>
        <v/>
      </c>
      <c r="P228" s="47">
        <f>Subsurface_Inputs!$C$37-2*Subsurface_Inputs!$C$36*(F228/1000)</f>
        <v/>
      </c>
      <c r="Q228" s="47">
        <f>Subsurface_Inputs!$C$38+Subsurface_Inputs!$C$39*H228-2*Subsurface_Inputs!$C$36*(I228/1000)</f>
        <v/>
      </c>
      <c r="R228" s="47">
        <f>Subsurface_Inputs!$C$40-2*Subsurface_Inputs!$C$36*(K228/1000)-Subsurface_Inputs!$C$41*ABS(L228-AVERAGE($L$2:$L$242))</f>
        <v/>
      </c>
      <c r="S228" s="47">
        <f>K228-AVERAGE($K$2:$K$242)</f>
        <v/>
      </c>
      <c r="T228" s="47">
        <f>K228/F228</f>
        <v/>
      </c>
      <c r="U228" s="50">
        <f>IF(H228&gt;=Subsurface_Inputs!$C$42,"Lens visible","Weak/no lens")</f>
        <v/>
      </c>
      <c r="V228" s="50">
        <f>IF(R228&gt;=W228,"Likely visible","Weak")</f>
        <v/>
      </c>
      <c r="W228" s="47">
        <f>Subsurface_Inputs!$C$43</f>
        <v/>
      </c>
      <c r="X228" s="47">
        <f>Q228-W228</f>
        <v/>
      </c>
      <c r="Y228" s="47">
        <f>R228-W228</f>
        <v/>
      </c>
      <c r="Z228" s="47">
        <f>MAX(Q228,R228)-W228</f>
        <v/>
      </c>
      <c r="AA228" s="47" t="n">
        <v>0</v>
      </c>
    </row>
    <row r="229">
      <c r="A229" s="47">
        <f>Model_Data!A229</f>
        <v/>
      </c>
      <c r="B229" s="47">
        <f>Model_Data!Y229</f>
        <v/>
      </c>
      <c r="C229" s="47">
        <f>Model_Data!X229</f>
        <v/>
      </c>
      <c r="D229" s="47">
        <f>Model_Data!B229</f>
        <v/>
      </c>
      <c r="E229" s="47">
        <f>Inputs!$C$6</f>
        <v/>
      </c>
      <c r="F229" s="47">
        <f>Subsurface_Inputs!$C$5+Subsurface_Inputs!$C$6*SIN(2*PI()*(A229+Subsurface_Inputs!$C$7)/Subsurface_Inputs!$C$8)+Subsurface_Inputs!$C$9*COS(2*PI()*A229/Subsurface_Inputs!$C$10)+Subsurface_Inputs!$C$11*(B229-AVERAGE($B$2:$B$242))</f>
        <v/>
      </c>
      <c r="G229" s="47">
        <f>B229-F229</f>
        <v/>
      </c>
      <c r="H229" s="47">
        <f>MIN(1,MAX(0,Subsurface_Inputs!$C$13*EXP(-0.5*((A229-Subsurface_Inputs!$C$14)/Subsurface_Inputs!$C$15)^2)+Subsurface_Inputs!$C$16*EXP(-0.5*((A229-Subsurface_Inputs!$C$17)/Subsurface_Inputs!$C$18)^2)))</f>
        <v/>
      </c>
      <c r="I229" s="47">
        <f>Subsurface_Inputs!$C$19+Subsurface_Inputs!$C$20*SIN(2*PI()*(A229-Subsurface_Inputs!$C$21)/Subsurface_Inputs!$C$22)-Subsurface_Inputs!$C$23*H229</f>
        <v/>
      </c>
      <c r="J229" s="47">
        <f>B229-I229</f>
        <v/>
      </c>
      <c r="K229" s="47">
        <f>Subsurface_Inputs!$C$25+Subsurface_Inputs!$C$26*SIN(2*PI()*(A229+Subsurface_Inputs!$C$27)/Subsurface_Inputs!$C$28)+Subsurface_Inputs!$C$29*COS(2*PI()*(A229-Subsurface_Inputs!$C$30)/Subsurface_Inputs!$C$31)-Subsurface_Inputs!$C$32*(B229-AVERAGE($B$2:$B$242))</f>
        <v/>
      </c>
      <c r="L229" s="47">
        <f>B229-K229</f>
        <v/>
      </c>
      <c r="M229" s="47">
        <f>2*Subsurface_Inputs!$C$34*F229/Subsurface_Inputs!$C$35*1000000</f>
        <v/>
      </c>
      <c r="N229" s="47">
        <f>2*Subsurface_Inputs!$C$34*I229/Subsurface_Inputs!$C$35*1000000</f>
        <v/>
      </c>
      <c r="O229" s="47">
        <f>2*Subsurface_Inputs!$C$34*K229/Subsurface_Inputs!$C$35*1000000</f>
        <v/>
      </c>
      <c r="P229" s="47">
        <f>Subsurface_Inputs!$C$37-2*Subsurface_Inputs!$C$36*(F229/1000)</f>
        <v/>
      </c>
      <c r="Q229" s="47">
        <f>Subsurface_Inputs!$C$38+Subsurface_Inputs!$C$39*H229-2*Subsurface_Inputs!$C$36*(I229/1000)</f>
        <v/>
      </c>
      <c r="R229" s="47">
        <f>Subsurface_Inputs!$C$40-2*Subsurface_Inputs!$C$36*(K229/1000)-Subsurface_Inputs!$C$41*ABS(L229-AVERAGE($L$2:$L$242))</f>
        <v/>
      </c>
      <c r="S229" s="47">
        <f>K229-AVERAGE($K$2:$K$242)</f>
        <v/>
      </c>
      <c r="T229" s="47">
        <f>K229/F229</f>
        <v/>
      </c>
      <c r="U229" s="50">
        <f>IF(H229&gt;=Subsurface_Inputs!$C$42,"Lens visible","Weak/no lens")</f>
        <v/>
      </c>
      <c r="V229" s="50">
        <f>IF(R229&gt;=W229,"Likely visible","Weak")</f>
        <v/>
      </c>
      <c r="W229" s="47">
        <f>Subsurface_Inputs!$C$43</f>
        <v/>
      </c>
      <c r="X229" s="47">
        <f>Q229-W229</f>
        <v/>
      </c>
      <c r="Y229" s="47">
        <f>R229-W229</f>
        <v/>
      </c>
      <c r="Z229" s="47">
        <f>MAX(Q229,R229)-W229</f>
        <v/>
      </c>
      <c r="AA229" s="47" t="n">
        <v>0</v>
      </c>
    </row>
    <row r="230">
      <c r="A230" s="47">
        <f>Model_Data!A230</f>
        <v/>
      </c>
      <c r="B230" s="47">
        <f>Model_Data!Y230</f>
        <v/>
      </c>
      <c r="C230" s="47">
        <f>Model_Data!X230</f>
        <v/>
      </c>
      <c r="D230" s="47">
        <f>Model_Data!B230</f>
        <v/>
      </c>
      <c r="E230" s="47">
        <f>Inputs!$C$6</f>
        <v/>
      </c>
      <c r="F230" s="47">
        <f>Subsurface_Inputs!$C$5+Subsurface_Inputs!$C$6*SIN(2*PI()*(A230+Subsurface_Inputs!$C$7)/Subsurface_Inputs!$C$8)+Subsurface_Inputs!$C$9*COS(2*PI()*A230/Subsurface_Inputs!$C$10)+Subsurface_Inputs!$C$11*(B230-AVERAGE($B$2:$B$242))</f>
        <v/>
      </c>
      <c r="G230" s="47">
        <f>B230-F230</f>
        <v/>
      </c>
      <c r="H230" s="47">
        <f>MIN(1,MAX(0,Subsurface_Inputs!$C$13*EXP(-0.5*((A230-Subsurface_Inputs!$C$14)/Subsurface_Inputs!$C$15)^2)+Subsurface_Inputs!$C$16*EXP(-0.5*((A230-Subsurface_Inputs!$C$17)/Subsurface_Inputs!$C$18)^2)))</f>
        <v/>
      </c>
      <c r="I230" s="47">
        <f>Subsurface_Inputs!$C$19+Subsurface_Inputs!$C$20*SIN(2*PI()*(A230-Subsurface_Inputs!$C$21)/Subsurface_Inputs!$C$22)-Subsurface_Inputs!$C$23*H230</f>
        <v/>
      </c>
      <c r="J230" s="47">
        <f>B230-I230</f>
        <v/>
      </c>
      <c r="K230" s="47">
        <f>Subsurface_Inputs!$C$25+Subsurface_Inputs!$C$26*SIN(2*PI()*(A230+Subsurface_Inputs!$C$27)/Subsurface_Inputs!$C$28)+Subsurface_Inputs!$C$29*COS(2*PI()*(A230-Subsurface_Inputs!$C$30)/Subsurface_Inputs!$C$31)-Subsurface_Inputs!$C$32*(B230-AVERAGE($B$2:$B$242))</f>
        <v/>
      </c>
      <c r="L230" s="47">
        <f>B230-K230</f>
        <v/>
      </c>
      <c r="M230" s="47">
        <f>2*Subsurface_Inputs!$C$34*F230/Subsurface_Inputs!$C$35*1000000</f>
        <v/>
      </c>
      <c r="N230" s="47">
        <f>2*Subsurface_Inputs!$C$34*I230/Subsurface_Inputs!$C$35*1000000</f>
        <v/>
      </c>
      <c r="O230" s="47">
        <f>2*Subsurface_Inputs!$C$34*K230/Subsurface_Inputs!$C$35*1000000</f>
        <v/>
      </c>
      <c r="P230" s="47">
        <f>Subsurface_Inputs!$C$37-2*Subsurface_Inputs!$C$36*(F230/1000)</f>
        <v/>
      </c>
      <c r="Q230" s="47">
        <f>Subsurface_Inputs!$C$38+Subsurface_Inputs!$C$39*H230-2*Subsurface_Inputs!$C$36*(I230/1000)</f>
        <v/>
      </c>
      <c r="R230" s="47">
        <f>Subsurface_Inputs!$C$40-2*Subsurface_Inputs!$C$36*(K230/1000)-Subsurface_Inputs!$C$41*ABS(L230-AVERAGE($L$2:$L$242))</f>
        <v/>
      </c>
      <c r="S230" s="47">
        <f>K230-AVERAGE($K$2:$K$242)</f>
        <v/>
      </c>
      <c r="T230" s="47">
        <f>K230/F230</f>
        <v/>
      </c>
      <c r="U230" s="50">
        <f>IF(H230&gt;=Subsurface_Inputs!$C$42,"Lens visible","Weak/no lens")</f>
        <v/>
      </c>
      <c r="V230" s="50">
        <f>IF(R230&gt;=W230,"Likely visible","Weak")</f>
        <v/>
      </c>
      <c r="W230" s="47">
        <f>Subsurface_Inputs!$C$43</f>
        <v/>
      </c>
      <c r="X230" s="47">
        <f>Q230-W230</f>
        <v/>
      </c>
      <c r="Y230" s="47">
        <f>R230-W230</f>
        <v/>
      </c>
      <c r="Z230" s="47">
        <f>MAX(Q230,R230)-W230</f>
        <v/>
      </c>
      <c r="AA230" s="47" t="n">
        <v>0</v>
      </c>
    </row>
    <row r="231">
      <c r="A231" s="47">
        <f>Model_Data!A231</f>
        <v/>
      </c>
      <c r="B231" s="47">
        <f>Model_Data!Y231</f>
        <v/>
      </c>
      <c r="C231" s="47">
        <f>Model_Data!X231</f>
        <v/>
      </c>
      <c r="D231" s="47">
        <f>Model_Data!B231</f>
        <v/>
      </c>
      <c r="E231" s="47">
        <f>Inputs!$C$6</f>
        <v/>
      </c>
      <c r="F231" s="47">
        <f>Subsurface_Inputs!$C$5+Subsurface_Inputs!$C$6*SIN(2*PI()*(A231+Subsurface_Inputs!$C$7)/Subsurface_Inputs!$C$8)+Subsurface_Inputs!$C$9*COS(2*PI()*A231/Subsurface_Inputs!$C$10)+Subsurface_Inputs!$C$11*(B231-AVERAGE($B$2:$B$242))</f>
        <v/>
      </c>
      <c r="G231" s="47">
        <f>B231-F231</f>
        <v/>
      </c>
      <c r="H231" s="47">
        <f>MIN(1,MAX(0,Subsurface_Inputs!$C$13*EXP(-0.5*((A231-Subsurface_Inputs!$C$14)/Subsurface_Inputs!$C$15)^2)+Subsurface_Inputs!$C$16*EXP(-0.5*((A231-Subsurface_Inputs!$C$17)/Subsurface_Inputs!$C$18)^2)))</f>
        <v/>
      </c>
      <c r="I231" s="47">
        <f>Subsurface_Inputs!$C$19+Subsurface_Inputs!$C$20*SIN(2*PI()*(A231-Subsurface_Inputs!$C$21)/Subsurface_Inputs!$C$22)-Subsurface_Inputs!$C$23*H231</f>
        <v/>
      </c>
      <c r="J231" s="47">
        <f>B231-I231</f>
        <v/>
      </c>
      <c r="K231" s="47">
        <f>Subsurface_Inputs!$C$25+Subsurface_Inputs!$C$26*SIN(2*PI()*(A231+Subsurface_Inputs!$C$27)/Subsurface_Inputs!$C$28)+Subsurface_Inputs!$C$29*COS(2*PI()*(A231-Subsurface_Inputs!$C$30)/Subsurface_Inputs!$C$31)-Subsurface_Inputs!$C$32*(B231-AVERAGE($B$2:$B$242))</f>
        <v/>
      </c>
      <c r="L231" s="47">
        <f>B231-K231</f>
        <v/>
      </c>
      <c r="M231" s="47">
        <f>2*Subsurface_Inputs!$C$34*F231/Subsurface_Inputs!$C$35*1000000</f>
        <v/>
      </c>
      <c r="N231" s="47">
        <f>2*Subsurface_Inputs!$C$34*I231/Subsurface_Inputs!$C$35*1000000</f>
        <v/>
      </c>
      <c r="O231" s="47">
        <f>2*Subsurface_Inputs!$C$34*K231/Subsurface_Inputs!$C$35*1000000</f>
        <v/>
      </c>
      <c r="P231" s="47">
        <f>Subsurface_Inputs!$C$37-2*Subsurface_Inputs!$C$36*(F231/1000)</f>
        <v/>
      </c>
      <c r="Q231" s="47">
        <f>Subsurface_Inputs!$C$38+Subsurface_Inputs!$C$39*H231-2*Subsurface_Inputs!$C$36*(I231/1000)</f>
        <v/>
      </c>
      <c r="R231" s="47">
        <f>Subsurface_Inputs!$C$40-2*Subsurface_Inputs!$C$36*(K231/1000)-Subsurface_Inputs!$C$41*ABS(L231-AVERAGE($L$2:$L$242))</f>
        <v/>
      </c>
      <c r="S231" s="47">
        <f>K231-AVERAGE($K$2:$K$242)</f>
        <v/>
      </c>
      <c r="T231" s="47">
        <f>K231/F231</f>
        <v/>
      </c>
      <c r="U231" s="50">
        <f>IF(H231&gt;=Subsurface_Inputs!$C$42,"Lens visible","Weak/no lens")</f>
        <v/>
      </c>
      <c r="V231" s="50">
        <f>IF(R231&gt;=W231,"Likely visible","Weak")</f>
        <v/>
      </c>
      <c r="W231" s="47">
        <f>Subsurface_Inputs!$C$43</f>
        <v/>
      </c>
      <c r="X231" s="47">
        <f>Q231-W231</f>
        <v/>
      </c>
      <c r="Y231" s="47">
        <f>R231-W231</f>
        <v/>
      </c>
      <c r="Z231" s="47">
        <f>MAX(Q231,R231)-W231</f>
        <v/>
      </c>
      <c r="AA231" s="47" t="n">
        <v>0</v>
      </c>
    </row>
    <row r="232">
      <c r="A232" s="47">
        <f>Model_Data!A232</f>
        <v/>
      </c>
      <c r="B232" s="47">
        <f>Model_Data!Y232</f>
        <v/>
      </c>
      <c r="C232" s="47">
        <f>Model_Data!X232</f>
        <v/>
      </c>
      <c r="D232" s="47">
        <f>Model_Data!B232</f>
        <v/>
      </c>
      <c r="E232" s="47">
        <f>Inputs!$C$6</f>
        <v/>
      </c>
      <c r="F232" s="47">
        <f>Subsurface_Inputs!$C$5+Subsurface_Inputs!$C$6*SIN(2*PI()*(A232+Subsurface_Inputs!$C$7)/Subsurface_Inputs!$C$8)+Subsurface_Inputs!$C$9*COS(2*PI()*A232/Subsurface_Inputs!$C$10)+Subsurface_Inputs!$C$11*(B232-AVERAGE($B$2:$B$242))</f>
        <v/>
      </c>
      <c r="G232" s="47">
        <f>B232-F232</f>
        <v/>
      </c>
      <c r="H232" s="47">
        <f>MIN(1,MAX(0,Subsurface_Inputs!$C$13*EXP(-0.5*((A232-Subsurface_Inputs!$C$14)/Subsurface_Inputs!$C$15)^2)+Subsurface_Inputs!$C$16*EXP(-0.5*((A232-Subsurface_Inputs!$C$17)/Subsurface_Inputs!$C$18)^2)))</f>
        <v/>
      </c>
      <c r="I232" s="47">
        <f>Subsurface_Inputs!$C$19+Subsurface_Inputs!$C$20*SIN(2*PI()*(A232-Subsurface_Inputs!$C$21)/Subsurface_Inputs!$C$22)-Subsurface_Inputs!$C$23*H232</f>
        <v/>
      </c>
      <c r="J232" s="47">
        <f>B232-I232</f>
        <v/>
      </c>
      <c r="K232" s="47">
        <f>Subsurface_Inputs!$C$25+Subsurface_Inputs!$C$26*SIN(2*PI()*(A232+Subsurface_Inputs!$C$27)/Subsurface_Inputs!$C$28)+Subsurface_Inputs!$C$29*COS(2*PI()*(A232-Subsurface_Inputs!$C$30)/Subsurface_Inputs!$C$31)-Subsurface_Inputs!$C$32*(B232-AVERAGE($B$2:$B$242))</f>
        <v/>
      </c>
      <c r="L232" s="47">
        <f>B232-K232</f>
        <v/>
      </c>
      <c r="M232" s="47">
        <f>2*Subsurface_Inputs!$C$34*F232/Subsurface_Inputs!$C$35*1000000</f>
        <v/>
      </c>
      <c r="N232" s="47">
        <f>2*Subsurface_Inputs!$C$34*I232/Subsurface_Inputs!$C$35*1000000</f>
        <v/>
      </c>
      <c r="O232" s="47">
        <f>2*Subsurface_Inputs!$C$34*K232/Subsurface_Inputs!$C$35*1000000</f>
        <v/>
      </c>
      <c r="P232" s="47">
        <f>Subsurface_Inputs!$C$37-2*Subsurface_Inputs!$C$36*(F232/1000)</f>
        <v/>
      </c>
      <c r="Q232" s="47">
        <f>Subsurface_Inputs!$C$38+Subsurface_Inputs!$C$39*H232-2*Subsurface_Inputs!$C$36*(I232/1000)</f>
        <v/>
      </c>
      <c r="R232" s="47">
        <f>Subsurface_Inputs!$C$40-2*Subsurface_Inputs!$C$36*(K232/1000)-Subsurface_Inputs!$C$41*ABS(L232-AVERAGE($L$2:$L$242))</f>
        <v/>
      </c>
      <c r="S232" s="47">
        <f>K232-AVERAGE($K$2:$K$242)</f>
        <v/>
      </c>
      <c r="T232" s="47">
        <f>K232/F232</f>
        <v/>
      </c>
      <c r="U232" s="50">
        <f>IF(H232&gt;=Subsurface_Inputs!$C$42,"Lens visible","Weak/no lens")</f>
        <v/>
      </c>
      <c r="V232" s="50">
        <f>IF(R232&gt;=W232,"Likely visible","Weak")</f>
        <v/>
      </c>
      <c r="W232" s="47">
        <f>Subsurface_Inputs!$C$43</f>
        <v/>
      </c>
      <c r="X232" s="47">
        <f>Q232-W232</f>
        <v/>
      </c>
      <c r="Y232" s="47">
        <f>R232-W232</f>
        <v/>
      </c>
      <c r="Z232" s="47">
        <f>MAX(Q232,R232)-W232</f>
        <v/>
      </c>
      <c r="AA232" s="47" t="n">
        <v>0</v>
      </c>
    </row>
    <row r="233">
      <c r="A233" s="47">
        <f>Model_Data!A233</f>
        <v/>
      </c>
      <c r="B233" s="47">
        <f>Model_Data!Y233</f>
        <v/>
      </c>
      <c r="C233" s="47">
        <f>Model_Data!X233</f>
        <v/>
      </c>
      <c r="D233" s="47">
        <f>Model_Data!B233</f>
        <v/>
      </c>
      <c r="E233" s="47">
        <f>Inputs!$C$6</f>
        <v/>
      </c>
      <c r="F233" s="47">
        <f>Subsurface_Inputs!$C$5+Subsurface_Inputs!$C$6*SIN(2*PI()*(A233+Subsurface_Inputs!$C$7)/Subsurface_Inputs!$C$8)+Subsurface_Inputs!$C$9*COS(2*PI()*A233/Subsurface_Inputs!$C$10)+Subsurface_Inputs!$C$11*(B233-AVERAGE($B$2:$B$242))</f>
        <v/>
      </c>
      <c r="G233" s="47">
        <f>B233-F233</f>
        <v/>
      </c>
      <c r="H233" s="47">
        <f>MIN(1,MAX(0,Subsurface_Inputs!$C$13*EXP(-0.5*((A233-Subsurface_Inputs!$C$14)/Subsurface_Inputs!$C$15)^2)+Subsurface_Inputs!$C$16*EXP(-0.5*((A233-Subsurface_Inputs!$C$17)/Subsurface_Inputs!$C$18)^2)))</f>
        <v/>
      </c>
      <c r="I233" s="47">
        <f>Subsurface_Inputs!$C$19+Subsurface_Inputs!$C$20*SIN(2*PI()*(A233-Subsurface_Inputs!$C$21)/Subsurface_Inputs!$C$22)-Subsurface_Inputs!$C$23*H233</f>
        <v/>
      </c>
      <c r="J233" s="47">
        <f>B233-I233</f>
        <v/>
      </c>
      <c r="K233" s="47">
        <f>Subsurface_Inputs!$C$25+Subsurface_Inputs!$C$26*SIN(2*PI()*(A233+Subsurface_Inputs!$C$27)/Subsurface_Inputs!$C$28)+Subsurface_Inputs!$C$29*COS(2*PI()*(A233-Subsurface_Inputs!$C$30)/Subsurface_Inputs!$C$31)-Subsurface_Inputs!$C$32*(B233-AVERAGE($B$2:$B$242))</f>
        <v/>
      </c>
      <c r="L233" s="47">
        <f>B233-K233</f>
        <v/>
      </c>
      <c r="M233" s="47">
        <f>2*Subsurface_Inputs!$C$34*F233/Subsurface_Inputs!$C$35*1000000</f>
        <v/>
      </c>
      <c r="N233" s="47">
        <f>2*Subsurface_Inputs!$C$34*I233/Subsurface_Inputs!$C$35*1000000</f>
        <v/>
      </c>
      <c r="O233" s="47">
        <f>2*Subsurface_Inputs!$C$34*K233/Subsurface_Inputs!$C$35*1000000</f>
        <v/>
      </c>
      <c r="P233" s="47">
        <f>Subsurface_Inputs!$C$37-2*Subsurface_Inputs!$C$36*(F233/1000)</f>
        <v/>
      </c>
      <c r="Q233" s="47">
        <f>Subsurface_Inputs!$C$38+Subsurface_Inputs!$C$39*H233-2*Subsurface_Inputs!$C$36*(I233/1000)</f>
        <v/>
      </c>
      <c r="R233" s="47">
        <f>Subsurface_Inputs!$C$40-2*Subsurface_Inputs!$C$36*(K233/1000)-Subsurface_Inputs!$C$41*ABS(L233-AVERAGE($L$2:$L$242))</f>
        <v/>
      </c>
      <c r="S233" s="47">
        <f>K233-AVERAGE($K$2:$K$242)</f>
        <v/>
      </c>
      <c r="T233" s="47">
        <f>K233/F233</f>
        <v/>
      </c>
      <c r="U233" s="50">
        <f>IF(H233&gt;=Subsurface_Inputs!$C$42,"Lens visible","Weak/no lens")</f>
        <v/>
      </c>
      <c r="V233" s="50">
        <f>IF(R233&gt;=W233,"Likely visible","Weak")</f>
        <v/>
      </c>
      <c r="W233" s="47">
        <f>Subsurface_Inputs!$C$43</f>
        <v/>
      </c>
      <c r="X233" s="47">
        <f>Q233-W233</f>
        <v/>
      </c>
      <c r="Y233" s="47">
        <f>R233-W233</f>
        <v/>
      </c>
      <c r="Z233" s="47">
        <f>MAX(Q233,R233)-W233</f>
        <v/>
      </c>
      <c r="AA233" s="47" t="n">
        <v>0</v>
      </c>
    </row>
    <row r="234">
      <c r="A234" s="47">
        <f>Model_Data!A234</f>
        <v/>
      </c>
      <c r="B234" s="47">
        <f>Model_Data!Y234</f>
        <v/>
      </c>
      <c r="C234" s="47">
        <f>Model_Data!X234</f>
        <v/>
      </c>
      <c r="D234" s="47">
        <f>Model_Data!B234</f>
        <v/>
      </c>
      <c r="E234" s="47">
        <f>Inputs!$C$6</f>
        <v/>
      </c>
      <c r="F234" s="47">
        <f>Subsurface_Inputs!$C$5+Subsurface_Inputs!$C$6*SIN(2*PI()*(A234+Subsurface_Inputs!$C$7)/Subsurface_Inputs!$C$8)+Subsurface_Inputs!$C$9*COS(2*PI()*A234/Subsurface_Inputs!$C$10)+Subsurface_Inputs!$C$11*(B234-AVERAGE($B$2:$B$242))</f>
        <v/>
      </c>
      <c r="G234" s="47">
        <f>B234-F234</f>
        <v/>
      </c>
      <c r="H234" s="47">
        <f>MIN(1,MAX(0,Subsurface_Inputs!$C$13*EXP(-0.5*((A234-Subsurface_Inputs!$C$14)/Subsurface_Inputs!$C$15)^2)+Subsurface_Inputs!$C$16*EXP(-0.5*((A234-Subsurface_Inputs!$C$17)/Subsurface_Inputs!$C$18)^2)))</f>
        <v/>
      </c>
      <c r="I234" s="47">
        <f>Subsurface_Inputs!$C$19+Subsurface_Inputs!$C$20*SIN(2*PI()*(A234-Subsurface_Inputs!$C$21)/Subsurface_Inputs!$C$22)-Subsurface_Inputs!$C$23*H234</f>
        <v/>
      </c>
      <c r="J234" s="47">
        <f>B234-I234</f>
        <v/>
      </c>
      <c r="K234" s="47">
        <f>Subsurface_Inputs!$C$25+Subsurface_Inputs!$C$26*SIN(2*PI()*(A234+Subsurface_Inputs!$C$27)/Subsurface_Inputs!$C$28)+Subsurface_Inputs!$C$29*COS(2*PI()*(A234-Subsurface_Inputs!$C$30)/Subsurface_Inputs!$C$31)-Subsurface_Inputs!$C$32*(B234-AVERAGE($B$2:$B$242))</f>
        <v/>
      </c>
      <c r="L234" s="47">
        <f>B234-K234</f>
        <v/>
      </c>
      <c r="M234" s="47">
        <f>2*Subsurface_Inputs!$C$34*F234/Subsurface_Inputs!$C$35*1000000</f>
        <v/>
      </c>
      <c r="N234" s="47">
        <f>2*Subsurface_Inputs!$C$34*I234/Subsurface_Inputs!$C$35*1000000</f>
        <v/>
      </c>
      <c r="O234" s="47">
        <f>2*Subsurface_Inputs!$C$34*K234/Subsurface_Inputs!$C$35*1000000</f>
        <v/>
      </c>
      <c r="P234" s="47">
        <f>Subsurface_Inputs!$C$37-2*Subsurface_Inputs!$C$36*(F234/1000)</f>
        <v/>
      </c>
      <c r="Q234" s="47">
        <f>Subsurface_Inputs!$C$38+Subsurface_Inputs!$C$39*H234-2*Subsurface_Inputs!$C$36*(I234/1000)</f>
        <v/>
      </c>
      <c r="R234" s="47">
        <f>Subsurface_Inputs!$C$40-2*Subsurface_Inputs!$C$36*(K234/1000)-Subsurface_Inputs!$C$41*ABS(L234-AVERAGE($L$2:$L$242))</f>
        <v/>
      </c>
      <c r="S234" s="47">
        <f>K234-AVERAGE($K$2:$K$242)</f>
        <v/>
      </c>
      <c r="T234" s="47">
        <f>K234/F234</f>
        <v/>
      </c>
      <c r="U234" s="50">
        <f>IF(H234&gt;=Subsurface_Inputs!$C$42,"Lens visible","Weak/no lens")</f>
        <v/>
      </c>
      <c r="V234" s="50">
        <f>IF(R234&gt;=W234,"Likely visible","Weak")</f>
        <v/>
      </c>
      <c r="W234" s="47">
        <f>Subsurface_Inputs!$C$43</f>
        <v/>
      </c>
      <c r="X234" s="47">
        <f>Q234-W234</f>
        <v/>
      </c>
      <c r="Y234" s="47">
        <f>R234-W234</f>
        <v/>
      </c>
      <c r="Z234" s="47">
        <f>MAX(Q234,R234)-W234</f>
        <v/>
      </c>
      <c r="AA234" s="47" t="n">
        <v>0</v>
      </c>
    </row>
    <row r="235">
      <c r="A235" s="47">
        <f>Model_Data!A235</f>
        <v/>
      </c>
      <c r="B235" s="47">
        <f>Model_Data!Y235</f>
        <v/>
      </c>
      <c r="C235" s="47">
        <f>Model_Data!X235</f>
        <v/>
      </c>
      <c r="D235" s="47">
        <f>Model_Data!B235</f>
        <v/>
      </c>
      <c r="E235" s="47">
        <f>Inputs!$C$6</f>
        <v/>
      </c>
      <c r="F235" s="47">
        <f>Subsurface_Inputs!$C$5+Subsurface_Inputs!$C$6*SIN(2*PI()*(A235+Subsurface_Inputs!$C$7)/Subsurface_Inputs!$C$8)+Subsurface_Inputs!$C$9*COS(2*PI()*A235/Subsurface_Inputs!$C$10)+Subsurface_Inputs!$C$11*(B235-AVERAGE($B$2:$B$242))</f>
        <v/>
      </c>
      <c r="G235" s="47">
        <f>B235-F235</f>
        <v/>
      </c>
      <c r="H235" s="47">
        <f>MIN(1,MAX(0,Subsurface_Inputs!$C$13*EXP(-0.5*((A235-Subsurface_Inputs!$C$14)/Subsurface_Inputs!$C$15)^2)+Subsurface_Inputs!$C$16*EXP(-0.5*((A235-Subsurface_Inputs!$C$17)/Subsurface_Inputs!$C$18)^2)))</f>
        <v/>
      </c>
      <c r="I235" s="47">
        <f>Subsurface_Inputs!$C$19+Subsurface_Inputs!$C$20*SIN(2*PI()*(A235-Subsurface_Inputs!$C$21)/Subsurface_Inputs!$C$22)-Subsurface_Inputs!$C$23*H235</f>
        <v/>
      </c>
      <c r="J235" s="47">
        <f>B235-I235</f>
        <v/>
      </c>
      <c r="K235" s="47">
        <f>Subsurface_Inputs!$C$25+Subsurface_Inputs!$C$26*SIN(2*PI()*(A235+Subsurface_Inputs!$C$27)/Subsurface_Inputs!$C$28)+Subsurface_Inputs!$C$29*COS(2*PI()*(A235-Subsurface_Inputs!$C$30)/Subsurface_Inputs!$C$31)-Subsurface_Inputs!$C$32*(B235-AVERAGE($B$2:$B$242))</f>
        <v/>
      </c>
      <c r="L235" s="47">
        <f>B235-K235</f>
        <v/>
      </c>
      <c r="M235" s="47">
        <f>2*Subsurface_Inputs!$C$34*F235/Subsurface_Inputs!$C$35*1000000</f>
        <v/>
      </c>
      <c r="N235" s="47">
        <f>2*Subsurface_Inputs!$C$34*I235/Subsurface_Inputs!$C$35*1000000</f>
        <v/>
      </c>
      <c r="O235" s="47">
        <f>2*Subsurface_Inputs!$C$34*K235/Subsurface_Inputs!$C$35*1000000</f>
        <v/>
      </c>
      <c r="P235" s="47">
        <f>Subsurface_Inputs!$C$37-2*Subsurface_Inputs!$C$36*(F235/1000)</f>
        <v/>
      </c>
      <c r="Q235" s="47">
        <f>Subsurface_Inputs!$C$38+Subsurface_Inputs!$C$39*H235-2*Subsurface_Inputs!$C$36*(I235/1000)</f>
        <v/>
      </c>
      <c r="R235" s="47">
        <f>Subsurface_Inputs!$C$40-2*Subsurface_Inputs!$C$36*(K235/1000)-Subsurface_Inputs!$C$41*ABS(L235-AVERAGE($L$2:$L$242))</f>
        <v/>
      </c>
      <c r="S235" s="47">
        <f>K235-AVERAGE($K$2:$K$242)</f>
        <v/>
      </c>
      <c r="T235" s="47">
        <f>K235/F235</f>
        <v/>
      </c>
      <c r="U235" s="50">
        <f>IF(H235&gt;=Subsurface_Inputs!$C$42,"Lens visible","Weak/no lens")</f>
        <v/>
      </c>
      <c r="V235" s="50">
        <f>IF(R235&gt;=W235,"Likely visible","Weak")</f>
        <v/>
      </c>
      <c r="W235" s="47">
        <f>Subsurface_Inputs!$C$43</f>
        <v/>
      </c>
      <c r="X235" s="47">
        <f>Q235-W235</f>
        <v/>
      </c>
      <c r="Y235" s="47">
        <f>R235-W235</f>
        <v/>
      </c>
      <c r="Z235" s="47">
        <f>MAX(Q235,R235)-W235</f>
        <v/>
      </c>
      <c r="AA235" s="47" t="n">
        <v>0</v>
      </c>
    </row>
    <row r="236">
      <c r="A236" s="47">
        <f>Model_Data!A236</f>
        <v/>
      </c>
      <c r="B236" s="47">
        <f>Model_Data!Y236</f>
        <v/>
      </c>
      <c r="C236" s="47">
        <f>Model_Data!X236</f>
        <v/>
      </c>
      <c r="D236" s="47">
        <f>Model_Data!B236</f>
        <v/>
      </c>
      <c r="E236" s="47">
        <f>Inputs!$C$6</f>
        <v/>
      </c>
      <c r="F236" s="47">
        <f>Subsurface_Inputs!$C$5+Subsurface_Inputs!$C$6*SIN(2*PI()*(A236+Subsurface_Inputs!$C$7)/Subsurface_Inputs!$C$8)+Subsurface_Inputs!$C$9*COS(2*PI()*A236/Subsurface_Inputs!$C$10)+Subsurface_Inputs!$C$11*(B236-AVERAGE($B$2:$B$242))</f>
        <v/>
      </c>
      <c r="G236" s="47">
        <f>B236-F236</f>
        <v/>
      </c>
      <c r="H236" s="47">
        <f>MIN(1,MAX(0,Subsurface_Inputs!$C$13*EXP(-0.5*((A236-Subsurface_Inputs!$C$14)/Subsurface_Inputs!$C$15)^2)+Subsurface_Inputs!$C$16*EXP(-0.5*((A236-Subsurface_Inputs!$C$17)/Subsurface_Inputs!$C$18)^2)))</f>
        <v/>
      </c>
      <c r="I236" s="47">
        <f>Subsurface_Inputs!$C$19+Subsurface_Inputs!$C$20*SIN(2*PI()*(A236-Subsurface_Inputs!$C$21)/Subsurface_Inputs!$C$22)-Subsurface_Inputs!$C$23*H236</f>
        <v/>
      </c>
      <c r="J236" s="47">
        <f>B236-I236</f>
        <v/>
      </c>
      <c r="K236" s="47">
        <f>Subsurface_Inputs!$C$25+Subsurface_Inputs!$C$26*SIN(2*PI()*(A236+Subsurface_Inputs!$C$27)/Subsurface_Inputs!$C$28)+Subsurface_Inputs!$C$29*COS(2*PI()*(A236-Subsurface_Inputs!$C$30)/Subsurface_Inputs!$C$31)-Subsurface_Inputs!$C$32*(B236-AVERAGE($B$2:$B$242))</f>
        <v/>
      </c>
      <c r="L236" s="47">
        <f>B236-K236</f>
        <v/>
      </c>
      <c r="M236" s="47">
        <f>2*Subsurface_Inputs!$C$34*F236/Subsurface_Inputs!$C$35*1000000</f>
        <v/>
      </c>
      <c r="N236" s="47">
        <f>2*Subsurface_Inputs!$C$34*I236/Subsurface_Inputs!$C$35*1000000</f>
        <v/>
      </c>
      <c r="O236" s="47">
        <f>2*Subsurface_Inputs!$C$34*K236/Subsurface_Inputs!$C$35*1000000</f>
        <v/>
      </c>
      <c r="P236" s="47">
        <f>Subsurface_Inputs!$C$37-2*Subsurface_Inputs!$C$36*(F236/1000)</f>
        <v/>
      </c>
      <c r="Q236" s="47">
        <f>Subsurface_Inputs!$C$38+Subsurface_Inputs!$C$39*H236-2*Subsurface_Inputs!$C$36*(I236/1000)</f>
        <v/>
      </c>
      <c r="R236" s="47">
        <f>Subsurface_Inputs!$C$40-2*Subsurface_Inputs!$C$36*(K236/1000)-Subsurface_Inputs!$C$41*ABS(L236-AVERAGE($L$2:$L$242))</f>
        <v/>
      </c>
      <c r="S236" s="47">
        <f>K236-AVERAGE($K$2:$K$242)</f>
        <v/>
      </c>
      <c r="T236" s="47">
        <f>K236/F236</f>
        <v/>
      </c>
      <c r="U236" s="50">
        <f>IF(H236&gt;=Subsurface_Inputs!$C$42,"Lens visible","Weak/no lens")</f>
        <v/>
      </c>
      <c r="V236" s="50">
        <f>IF(R236&gt;=W236,"Likely visible","Weak")</f>
        <v/>
      </c>
      <c r="W236" s="47">
        <f>Subsurface_Inputs!$C$43</f>
        <v/>
      </c>
      <c r="X236" s="47">
        <f>Q236-W236</f>
        <v/>
      </c>
      <c r="Y236" s="47">
        <f>R236-W236</f>
        <v/>
      </c>
      <c r="Z236" s="47">
        <f>MAX(Q236,R236)-W236</f>
        <v/>
      </c>
      <c r="AA236" s="47" t="n">
        <v>0</v>
      </c>
    </row>
    <row r="237">
      <c r="A237" s="47">
        <f>Model_Data!A237</f>
        <v/>
      </c>
      <c r="B237" s="47">
        <f>Model_Data!Y237</f>
        <v/>
      </c>
      <c r="C237" s="47">
        <f>Model_Data!X237</f>
        <v/>
      </c>
      <c r="D237" s="47">
        <f>Model_Data!B237</f>
        <v/>
      </c>
      <c r="E237" s="47">
        <f>Inputs!$C$6</f>
        <v/>
      </c>
      <c r="F237" s="47">
        <f>Subsurface_Inputs!$C$5+Subsurface_Inputs!$C$6*SIN(2*PI()*(A237+Subsurface_Inputs!$C$7)/Subsurface_Inputs!$C$8)+Subsurface_Inputs!$C$9*COS(2*PI()*A237/Subsurface_Inputs!$C$10)+Subsurface_Inputs!$C$11*(B237-AVERAGE($B$2:$B$242))</f>
        <v/>
      </c>
      <c r="G237" s="47">
        <f>B237-F237</f>
        <v/>
      </c>
      <c r="H237" s="47">
        <f>MIN(1,MAX(0,Subsurface_Inputs!$C$13*EXP(-0.5*((A237-Subsurface_Inputs!$C$14)/Subsurface_Inputs!$C$15)^2)+Subsurface_Inputs!$C$16*EXP(-0.5*((A237-Subsurface_Inputs!$C$17)/Subsurface_Inputs!$C$18)^2)))</f>
        <v/>
      </c>
      <c r="I237" s="47">
        <f>Subsurface_Inputs!$C$19+Subsurface_Inputs!$C$20*SIN(2*PI()*(A237-Subsurface_Inputs!$C$21)/Subsurface_Inputs!$C$22)-Subsurface_Inputs!$C$23*H237</f>
        <v/>
      </c>
      <c r="J237" s="47">
        <f>B237-I237</f>
        <v/>
      </c>
      <c r="K237" s="47">
        <f>Subsurface_Inputs!$C$25+Subsurface_Inputs!$C$26*SIN(2*PI()*(A237+Subsurface_Inputs!$C$27)/Subsurface_Inputs!$C$28)+Subsurface_Inputs!$C$29*COS(2*PI()*(A237-Subsurface_Inputs!$C$30)/Subsurface_Inputs!$C$31)-Subsurface_Inputs!$C$32*(B237-AVERAGE($B$2:$B$242))</f>
        <v/>
      </c>
      <c r="L237" s="47">
        <f>B237-K237</f>
        <v/>
      </c>
      <c r="M237" s="47">
        <f>2*Subsurface_Inputs!$C$34*F237/Subsurface_Inputs!$C$35*1000000</f>
        <v/>
      </c>
      <c r="N237" s="47">
        <f>2*Subsurface_Inputs!$C$34*I237/Subsurface_Inputs!$C$35*1000000</f>
        <v/>
      </c>
      <c r="O237" s="47">
        <f>2*Subsurface_Inputs!$C$34*K237/Subsurface_Inputs!$C$35*1000000</f>
        <v/>
      </c>
      <c r="P237" s="47">
        <f>Subsurface_Inputs!$C$37-2*Subsurface_Inputs!$C$36*(F237/1000)</f>
        <v/>
      </c>
      <c r="Q237" s="47">
        <f>Subsurface_Inputs!$C$38+Subsurface_Inputs!$C$39*H237-2*Subsurface_Inputs!$C$36*(I237/1000)</f>
        <v/>
      </c>
      <c r="R237" s="47">
        <f>Subsurface_Inputs!$C$40-2*Subsurface_Inputs!$C$36*(K237/1000)-Subsurface_Inputs!$C$41*ABS(L237-AVERAGE($L$2:$L$242))</f>
        <v/>
      </c>
      <c r="S237" s="47">
        <f>K237-AVERAGE($K$2:$K$242)</f>
        <v/>
      </c>
      <c r="T237" s="47">
        <f>K237/F237</f>
        <v/>
      </c>
      <c r="U237" s="50">
        <f>IF(H237&gt;=Subsurface_Inputs!$C$42,"Lens visible","Weak/no lens")</f>
        <v/>
      </c>
      <c r="V237" s="50">
        <f>IF(R237&gt;=W237,"Likely visible","Weak")</f>
        <v/>
      </c>
      <c r="W237" s="47">
        <f>Subsurface_Inputs!$C$43</f>
        <v/>
      </c>
      <c r="X237" s="47">
        <f>Q237-W237</f>
        <v/>
      </c>
      <c r="Y237" s="47">
        <f>R237-W237</f>
        <v/>
      </c>
      <c r="Z237" s="47">
        <f>MAX(Q237,R237)-W237</f>
        <v/>
      </c>
      <c r="AA237" s="47" t="n">
        <v>0</v>
      </c>
    </row>
    <row r="238">
      <c r="A238" s="47">
        <f>Model_Data!A238</f>
        <v/>
      </c>
      <c r="B238" s="47">
        <f>Model_Data!Y238</f>
        <v/>
      </c>
      <c r="C238" s="47">
        <f>Model_Data!X238</f>
        <v/>
      </c>
      <c r="D238" s="47">
        <f>Model_Data!B238</f>
        <v/>
      </c>
      <c r="E238" s="47">
        <f>Inputs!$C$6</f>
        <v/>
      </c>
      <c r="F238" s="47">
        <f>Subsurface_Inputs!$C$5+Subsurface_Inputs!$C$6*SIN(2*PI()*(A238+Subsurface_Inputs!$C$7)/Subsurface_Inputs!$C$8)+Subsurface_Inputs!$C$9*COS(2*PI()*A238/Subsurface_Inputs!$C$10)+Subsurface_Inputs!$C$11*(B238-AVERAGE($B$2:$B$242))</f>
        <v/>
      </c>
      <c r="G238" s="47">
        <f>B238-F238</f>
        <v/>
      </c>
      <c r="H238" s="47">
        <f>MIN(1,MAX(0,Subsurface_Inputs!$C$13*EXP(-0.5*((A238-Subsurface_Inputs!$C$14)/Subsurface_Inputs!$C$15)^2)+Subsurface_Inputs!$C$16*EXP(-0.5*((A238-Subsurface_Inputs!$C$17)/Subsurface_Inputs!$C$18)^2)))</f>
        <v/>
      </c>
      <c r="I238" s="47">
        <f>Subsurface_Inputs!$C$19+Subsurface_Inputs!$C$20*SIN(2*PI()*(A238-Subsurface_Inputs!$C$21)/Subsurface_Inputs!$C$22)-Subsurface_Inputs!$C$23*H238</f>
        <v/>
      </c>
      <c r="J238" s="47">
        <f>B238-I238</f>
        <v/>
      </c>
      <c r="K238" s="47">
        <f>Subsurface_Inputs!$C$25+Subsurface_Inputs!$C$26*SIN(2*PI()*(A238+Subsurface_Inputs!$C$27)/Subsurface_Inputs!$C$28)+Subsurface_Inputs!$C$29*COS(2*PI()*(A238-Subsurface_Inputs!$C$30)/Subsurface_Inputs!$C$31)-Subsurface_Inputs!$C$32*(B238-AVERAGE($B$2:$B$242))</f>
        <v/>
      </c>
      <c r="L238" s="47">
        <f>B238-K238</f>
        <v/>
      </c>
      <c r="M238" s="47">
        <f>2*Subsurface_Inputs!$C$34*F238/Subsurface_Inputs!$C$35*1000000</f>
        <v/>
      </c>
      <c r="N238" s="47">
        <f>2*Subsurface_Inputs!$C$34*I238/Subsurface_Inputs!$C$35*1000000</f>
        <v/>
      </c>
      <c r="O238" s="47">
        <f>2*Subsurface_Inputs!$C$34*K238/Subsurface_Inputs!$C$35*1000000</f>
        <v/>
      </c>
      <c r="P238" s="47">
        <f>Subsurface_Inputs!$C$37-2*Subsurface_Inputs!$C$36*(F238/1000)</f>
        <v/>
      </c>
      <c r="Q238" s="47">
        <f>Subsurface_Inputs!$C$38+Subsurface_Inputs!$C$39*H238-2*Subsurface_Inputs!$C$36*(I238/1000)</f>
        <v/>
      </c>
      <c r="R238" s="47">
        <f>Subsurface_Inputs!$C$40-2*Subsurface_Inputs!$C$36*(K238/1000)-Subsurface_Inputs!$C$41*ABS(L238-AVERAGE($L$2:$L$242))</f>
        <v/>
      </c>
      <c r="S238" s="47">
        <f>K238-AVERAGE($K$2:$K$242)</f>
        <v/>
      </c>
      <c r="T238" s="47">
        <f>K238/F238</f>
        <v/>
      </c>
      <c r="U238" s="50">
        <f>IF(H238&gt;=Subsurface_Inputs!$C$42,"Lens visible","Weak/no lens")</f>
        <v/>
      </c>
      <c r="V238" s="50">
        <f>IF(R238&gt;=W238,"Likely visible","Weak")</f>
        <v/>
      </c>
      <c r="W238" s="47">
        <f>Subsurface_Inputs!$C$43</f>
        <v/>
      </c>
      <c r="X238" s="47">
        <f>Q238-W238</f>
        <v/>
      </c>
      <c r="Y238" s="47">
        <f>R238-W238</f>
        <v/>
      </c>
      <c r="Z238" s="47">
        <f>MAX(Q238,R238)-W238</f>
        <v/>
      </c>
      <c r="AA238" s="47" t="n">
        <v>0</v>
      </c>
    </row>
    <row r="239">
      <c r="A239" s="47">
        <f>Model_Data!A239</f>
        <v/>
      </c>
      <c r="B239" s="47">
        <f>Model_Data!Y239</f>
        <v/>
      </c>
      <c r="C239" s="47">
        <f>Model_Data!X239</f>
        <v/>
      </c>
      <c r="D239" s="47">
        <f>Model_Data!B239</f>
        <v/>
      </c>
      <c r="E239" s="47">
        <f>Inputs!$C$6</f>
        <v/>
      </c>
      <c r="F239" s="47">
        <f>Subsurface_Inputs!$C$5+Subsurface_Inputs!$C$6*SIN(2*PI()*(A239+Subsurface_Inputs!$C$7)/Subsurface_Inputs!$C$8)+Subsurface_Inputs!$C$9*COS(2*PI()*A239/Subsurface_Inputs!$C$10)+Subsurface_Inputs!$C$11*(B239-AVERAGE($B$2:$B$242))</f>
        <v/>
      </c>
      <c r="G239" s="47">
        <f>B239-F239</f>
        <v/>
      </c>
      <c r="H239" s="47">
        <f>MIN(1,MAX(0,Subsurface_Inputs!$C$13*EXP(-0.5*((A239-Subsurface_Inputs!$C$14)/Subsurface_Inputs!$C$15)^2)+Subsurface_Inputs!$C$16*EXP(-0.5*((A239-Subsurface_Inputs!$C$17)/Subsurface_Inputs!$C$18)^2)))</f>
        <v/>
      </c>
      <c r="I239" s="47">
        <f>Subsurface_Inputs!$C$19+Subsurface_Inputs!$C$20*SIN(2*PI()*(A239-Subsurface_Inputs!$C$21)/Subsurface_Inputs!$C$22)-Subsurface_Inputs!$C$23*H239</f>
        <v/>
      </c>
      <c r="J239" s="47">
        <f>B239-I239</f>
        <v/>
      </c>
      <c r="K239" s="47">
        <f>Subsurface_Inputs!$C$25+Subsurface_Inputs!$C$26*SIN(2*PI()*(A239+Subsurface_Inputs!$C$27)/Subsurface_Inputs!$C$28)+Subsurface_Inputs!$C$29*COS(2*PI()*(A239-Subsurface_Inputs!$C$30)/Subsurface_Inputs!$C$31)-Subsurface_Inputs!$C$32*(B239-AVERAGE($B$2:$B$242))</f>
        <v/>
      </c>
      <c r="L239" s="47">
        <f>B239-K239</f>
        <v/>
      </c>
      <c r="M239" s="47">
        <f>2*Subsurface_Inputs!$C$34*F239/Subsurface_Inputs!$C$35*1000000</f>
        <v/>
      </c>
      <c r="N239" s="47">
        <f>2*Subsurface_Inputs!$C$34*I239/Subsurface_Inputs!$C$35*1000000</f>
        <v/>
      </c>
      <c r="O239" s="47">
        <f>2*Subsurface_Inputs!$C$34*K239/Subsurface_Inputs!$C$35*1000000</f>
        <v/>
      </c>
      <c r="P239" s="47">
        <f>Subsurface_Inputs!$C$37-2*Subsurface_Inputs!$C$36*(F239/1000)</f>
        <v/>
      </c>
      <c r="Q239" s="47">
        <f>Subsurface_Inputs!$C$38+Subsurface_Inputs!$C$39*H239-2*Subsurface_Inputs!$C$36*(I239/1000)</f>
        <v/>
      </c>
      <c r="R239" s="47">
        <f>Subsurface_Inputs!$C$40-2*Subsurface_Inputs!$C$36*(K239/1000)-Subsurface_Inputs!$C$41*ABS(L239-AVERAGE($L$2:$L$242))</f>
        <v/>
      </c>
      <c r="S239" s="47">
        <f>K239-AVERAGE($K$2:$K$242)</f>
        <v/>
      </c>
      <c r="T239" s="47">
        <f>K239/F239</f>
        <v/>
      </c>
      <c r="U239" s="50">
        <f>IF(H239&gt;=Subsurface_Inputs!$C$42,"Lens visible","Weak/no lens")</f>
        <v/>
      </c>
      <c r="V239" s="50">
        <f>IF(R239&gt;=W239,"Likely visible","Weak")</f>
        <v/>
      </c>
      <c r="W239" s="47">
        <f>Subsurface_Inputs!$C$43</f>
        <v/>
      </c>
      <c r="X239" s="47">
        <f>Q239-W239</f>
        <v/>
      </c>
      <c r="Y239" s="47">
        <f>R239-W239</f>
        <v/>
      </c>
      <c r="Z239" s="47">
        <f>MAX(Q239,R239)-W239</f>
        <v/>
      </c>
      <c r="AA239" s="47" t="n">
        <v>0</v>
      </c>
    </row>
    <row r="240">
      <c r="A240" s="47">
        <f>Model_Data!A240</f>
        <v/>
      </c>
      <c r="B240" s="47">
        <f>Model_Data!Y240</f>
        <v/>
      </c>
      <c r="C240" s="47">
        <f>Model_Data!X240</f>
        <v/>
      </c>
      <c r="D240" s="47">
        <f>Model_Data!B240</f>
        <v/>
      </c>
      <c r="E240" s="47">
        <f>Inputs!$C$6</f>
        <v/>
      </c>
      <c r="F240" s="47">
        <f>Subsurface_Inputs!$C$5+Subsurface_Inputs!$C$6*SIN(2*PI()*(A240+Subsurface_Inputs!$C$7)/Subsurface_Inputs!$C$8)+Subsurface_Inputs!$C$9*COS(2*PI()*A240/Subsurface_Inputs!$C$10)+Subsurface_Inputs!$C$11*(B240-AVERAGE($B$2:$B$242))</f>
        <v/>
      </c>
      <c r="G240" s="47">
        <f>B240-F240</f>
        <v/>
      </c>
      <c r="H240" s="47">
        <f>MIN(1,MAX(0,Subsurface_Inputs!$C$13*EXP(-0.5*((A240-Subsurface_Inputs!$C$14)/Subsurface_Inputs!$C$15)^2)+Subsurface_Inputs!$C$16*EXP(-0.5*((A240-Subsurface_Inputs!$C$17)/Subsurface_Inputs!$C$18)^2)))</f>
        <v/>
      </c>
      <c r="I240" s="47">
        <f>Subsurface_Inputs!$C$19+Subsurface_Inputs!$C$20*SIN(2*PI()*(A240-Subsurface_Inputs!$C$21)/Subsurface_Inputs!$C$22)-Subsurface_Inputs!$C$23*H240</f>
        <v/>
      </c>
      <c r="J240" s="47">
        <f>B240-I240</f>
        <v/>
      </c>
      <c r="K240" s="47">
        <f>Subsurface_Inputs!$C$25+Subsurface_Inputs!$C$26*SIN(2*PI()*(A240+Subsurface_Inputs!$C$27)/Subsurface_Inputs!$C$28)+Subsurface_Inputs!$C$29*COS(2*PI()*(A240-Subsurface_Inputs!$C$30)/Subsurface_Inputs!$C$31)-Subsurface_Inputs!$C$32*(B240-AVERAGE($B$2:$B$242))</f>
        <v/>
      </c>
      <c r="L240" s="47">
        <f>B240-K240</f>
        <v/>
      </c>
      <c r="M240" s="47">
        <f>2*Subsurface_Inputs!$C$34*F240/Subsurface_Inputs!$C$35*1000000</f>
        <v/>
      </c>
      <c r="N240" s="47">
        <f>2*Subsurface_Inputs!$C$34*I240/Subsurface_Inputs!$C$35*1000000</f>
        <v/>
      </c>
      <c r="O240" s="47">
        <f>2*Subsurface_Inputs!$C$34*K240/Subsurface_Inputs!$C$35*1000000</f>
        <v/>
      </c>
      <c r="P240" s="47">
        <f>Subsurface_Inputs!$C$37-2*Subsurface_Inputs!$C$36*(F240/1000)</f>
        <v/>
      </c>
      <c r="Q240" s="47">
        <f>Subsurface_Inputs!$C$38+Subsurface_Inputs!$C$39*H240-2*Subsurface_Inputs!$C$36*(I240/1000)</f>
        <v/>
      </c>
      <c r="R240" s="47">
        <f>Subsurface_Inputs!$C$40-2*Subsurface_Inputs!$C$36*(K240/1000)-Subsurface_Inputs!$C$41*ABS(L240-AVERAGE($L$2:$L$242))</f>
        <v/>
      </c>
      <c r="S240" s="47">
        <f>K240-AVERAGE($K$2:$K$242)</f>
        <v/>
      </c>
      <c r="T240" s="47">
        <f>K240/F240</f>
        <v/>
      </c>
      <c r="U240" s="50">
        <f>IF(H240&gt;=Subsurface_Inputs!$C$42,"Lens visible","Weak/no lens")</f>
        <v/>
      </c>
      <c r="V240" s="50">
        <f>IF(R240&gt;=W240,"Likely visible","Weak")</f>
        <v/>
      </c>
      <c r="W240" s="47">
        <f>Subsurface_Inputs!$C$43</f>
        <v/>
      </c>
      <c r="X240" s="47">
        <f>Q240-W240</f>
        <v/>
      </c>
      <c r="Y240" s="47">
        <f>R240-W240</f>
        <v/>
      </c>
      <c r="Z240" s="47">
        <f>MAX(Q240,R240)-W240</f>
        <v/>
      </c>
      <c r="AA240" s="47" t="n">
        <v>0</v>
      </c>
    </row>
    <row r="241">
      <c r="A241" s="47">
        <f>Model_Data!A241</f>
        <v/>
      </c>
      <c r="B241" s="47">
        <f>Model_Data!Y241</f>
        <v/>
      </c>
      <c r="C241" s="47">
        <f>Model_Data!X241</f>
        <v/>
      </c>
      <c r="D241" s="47">
        <f>Model_Data!B241</f>
        <v/>
      </c>
      <c r="E241" s="47">
        <f>Inputs!$C$6</f>
        <v/>
      </c>
      <c r="F241" s="47">
        <f>Subsurface_Inputs!$C$5+Subsurface_Inputs!$C$6*SIN(2*PI()*(A241+Subsurface_Inputs!$C$7)/Subsurface_Inputs!$C$8)+Subsurface_Inputs!$C$9*COS(2*PI()*A241/Subsurface_Inputs!$C$10)+Subsurface_Inputs!$C$11*(B241-AVERAGE($B$2:$B$242))</f>
        <v/>
      </c>
      <c r="G241" s="47">
        <f>B241-F241</f>
        <v/>
      </c>
      <c r="H241" s="47">
        <f>MIN(1,MAX(0,Subsurface_Inputs!$C$13*EXP(-0.5*((A241-Subsurface_Inputs!$C$14)/Subsurface_Inputs!$C$15)^2)+Subsurface_Inputs!$C$16*EXP(-0.5*((A241-Subsurface_Inputs!$C$17)/Subsurface_Inputs!$C$18)^2)))</f>
        <v/>
      </c>
      <c r="I241" s="47">
        <f>Subsurface_Inputs!$C$19+Subsurface_Inputs!$C$20*SIN(2*PI()*(A241-Subsurface_Inputs!$C$21)/Subsurface_Inputs!$C$22)-Subsurface_Inputs!$C$23*H241</f>
        <v/>
      </c>
      <c r="J241" s="47">
        <f>B241-I241</f>
        <v/>
      </c>
      <c r="K241" s="47">
        <f>Subsurface_Inputs!$C$25+Subsurface_Inputs!$C$26*SIN(2*PI()*(A241+Subsurface_Inputs!$C$27)/Subsurface_Inputs!$C$28)+Subsurface_Inputs!$C$29*COS(2*PI()*(A241-Subsurface_Inputs!$C$30)/Subsurface_Inputs!$C$31)-Subsurface_Inputs!$C$32*(B241-AVERAGE($B$2:$B$242))</f>
        <v/>
      </c>
      <c r="L241" s="47">
        <f>B241-K241</f>
        <v/>
      </c>
      <c r="M241" s="47">
        <f>2*Subsurface_Inputs!$C$34*F241/Subsurface_Inputs!$C$35*1000000</f>
        <v/>
      </c>
      <c r="N241" s="47">
        <f>2*Subsurface_Inputs!$C$34*I241/Subsurface_Inputs!$C$35*1000000</f>
        <v/>
      </c>
      <c r="O241" s="47">
        <f>2*Subsurface_Inputs!$C$34*K241/Subsurface_Inputs!$C$35*1000000</f>
        <v/>
      </c>
      <c r="P241" s="47">
        <f>Subsurface_Inputs!$C$37-2*Subsurface_Inputs!$C$36*(F241/1000)</f>
        <v/>
      </c>
      <c r="Q241" s="47">
        <f>Subsurface_Inputs!$C$38+Subsurface_Inputs!$C$39*H241-2*Subsurface_Inputs!$C$36*(I241/1000)</f>
        <v/>
      </c>
      <c r="R241" s="47">
        <f>Subsurface_Inputs!$C$40-2*Subsurface_Inputs!$C$36*(K241/1000)-Subsurface_Inputs!$C$41*ABS(L241-AVERAGE($L$2:$L$242))</f>
        <v/>
      </c>
      <c r="S241" s="47">
        <f>K241-AVERAGE($K$2:$K$242)</f>
        <v/>
      </c>
      <c r="T241" s="47">
        <f>K241/F241</f>
        <v/>
      </c>
      <c r="U241" s="50">
        <f>IF(H241&gt;=Subsurface_Inputs!$C$42,"Lens visible","Weak/no lens")</f>
        <v/>
      </c>
      <c r="V241" s="50">
        <f>IF(R241&gt;=W241,"Likely visible","Weak")</f>
        <v/>
      </c>
      <c r="W241" s="47">
        <f>Subsurface_Inputs!$C$43</f>
        <v/>
      </c>
      <c r="X241" s="47">
        <f>Q241-W241</f>
        <v/>
      </c>
      <c r="Y241" s="47">
        <f>R241-W241</f>
        <v/>
      </c>
      <c r="Z241" s="47">
        <f>MAX(Q241,R241)-W241</f>
        <v/>
      </c>
      <c r="AA241" s="47" t="n">
        <v>0</v>
      </c>
    </row>
    <row r="242">
      <c r="A242" s="47">
        <f>Model_Data!A242</f>
        <v/>
      </c>
      <c r="B242" s="47">
        <f>Model_Data!Y242</f>
        <v/>
      </c>
      <c r="C242" s="47">
        <f>Model_Data!X242</f>
        <v/>
      </c>
      <c r="D242" s="47">
        <f>Model_Data!B242</f>
        <v/>
      </c>
      <c r="E242" s="47">
        <f>Inputs!$C$6</f>
        <v/>
      </c>
      <c r="F242" s="47">
        <f>Subsurface_Inputs!$C$5+Subsurface_Inputs!$C$6*SIN(2*PI()*(A242+Subsurface_Inputs!$C$7)/Subsurface_Inputs!$C$8)+Subsurface_Inputs!$C$9*COS(2*PI()*A242/Subsurface_Inputs!$C$10)+Subsurface_Inputs!$C$11*(B242-AVERAGE($B$2:$B$242))</f>
        <v/>
      </c>
      <c r="G242" s="47">
        <f>B242-F242</f>
        <v/>
      </c>
      <c r="H242" s="47">
        <f>MIN(1,MAX(0,Subsurface_Inputs!$C$13*EXP(-0.5*((A242-Subsurface_Inputs!$C$14)/Subsurface_Inputs!$C$15)^2)+Subsurface_Inputs!$C$16*EXP(-0.5*((A242-Subsurface_Inputs!$C$17)/Subsurface_Inputs!$C$18)^2)))</f>
        <v/>
      </c>
      <c r="I242" s="47">
        <f>Subsurface_Inputs!$C$19+Subsurface_Inputs!$C$20*SIN(2*PI()*(A242-Subsurface_Inputs!$C$21)/Subsurface_Inputs!$C$22)-Subsurface_Inputs!$C$23*H242</f>
        <v/>
      </c>
      <c r="J242" s="47">
        <f>B242-I242</f>
        <v/>
      </c>
      <c r="K242" s="47">
        <f>Subsurface_Inputs!$C$25+Subsurface_Inputs!$C$26*SIN(2*PI()*(A242+Subsurface_Inputs!$C$27)/Subsurface_Inputs!$C$28)+Subsurface_Inputs!$C$29*COS(2*PI()*(A242-Subsurface_Inputs!$C$30)/Subsurface_Inputs!$C$31)-Subsurface_Inputs!$C$32*(B242-AVERAGE($B$2:$B$242))</f>
        <v/>
      </c>
      <c r="L242" s="47">
        <f>B242-K242</f>
        <v/>
      </c>
      <c r="M242" s="47">
        <f>2*Subsurface_Inputs!$C$34*F242/Subsurface_Inputs!$C$35*1000000</f>
        <v/>
      </c>
      <c r="N242" s="47">
        <f>2*Subsurface_Inputs!$C$34*I242/Subsurface_Inputs!$C$35*1000000</f>
        <v/>
      </c>
      <c r="O242" s="47">
        <f>2*Subsurface_Inputs!$C$34*K242/Subsurface_Inputs!$C$35*1000000</f>
        <v/>
      </c>
      <c r="P242" s="47">
        <f>Subsurface_Inputs!$C$37-2*Subsurface_Inputs!$C$36*(F242/1000)</f>
        <v/>
      </c>
      <c r="Q242" s="47">
        <f>Subsurface_Inputs!$C$38+Subsurface_Inputs!$C$39*H242-2*Subsurface_Inputs!$C$36*(I242/1000)</f>
        <v/>
      </c>
      <c r="R242" s="47">
        <f>Subsurface_Inputs!$C$40-2*Subsurface_Inputs!$C$36*(K242/1000)-Subsurface_Inputs!$C$41*ABS(L242-AVERAGE($L$2:$L$242))</f>
        <v/>
      </c>
      <c r="S242" s="47">
        <f>K242-AVERAGE($K$2:$K$242)</f>
        <v/>
      </c>
      <c r="T242" s="47">
        <f>K242/F242</f>
        <v/>
      </c>
      <c r="U242" s="50">
        <f>IF(H242&gt;=Subsurface_Inputs!$C$42,"Lens visible","Weak/no lens")</f>
        <v/>
      </c>
      <c r="V242" s="50">
        <f>IF(R242&gt;=W242,"Likely visible","Weak")</f>
        <v/>
      </c>
      <c r="W242" s="47">
        <f>Subsurface_Inputs!$C$43</f>
        <v/>
      </c>
      <c r="X242" s="47">
        <f>Q242-W242</f>
        <v/>
      </c>
      <c r="Y242" s="47">
        <f>R242-W242</f>
        <v/>
      </c>
      <c r="Z242" s="47">
        <f>MAX(Q242,R242)-W242</f>
        <v/>
      </c>
      <c r="AA242" s="47" t="n">
        <v>0</v>
      </c>
    </row>
  </sheetData>
  <autoFilter ref="A1:V2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46" t="inlineStr">
        <is>
          <t>x_km</t>
        </is>
      </c>
      <c r="B1" s="46" t="inlineStr">
        <is>
          <t>mean_boundary_depth_m</t>
        </is>
      </c>
      <c r="C1" s="46" t="inlineStr">
        <is>
          <t>boundary_low_m</t>
        </is>
      </c>
      <c r="D1" s="46" t="inlineStr">
        <is>
          <t>boundary_high_m</t>
        </is>
      </c>
      <c r="E1" s="46" t="inlineStr">
        <is>
          <t>thin_shell_depth_m</t>
        </is>
      </c>
      <c r="F1" s="46" t="inlineStr">
        <is>
          <t>medium_shell_depth_m</t>
        </is>
      </c>
      <c r="G1" s="46" t="inlineStr">
        <is>
          <t>thick_shell_depth_m</t>
        </is>
      </c>
      <c r="H1" s="46" t="inlineStr">
        <is>
          <t>ocean_model_margin_db</t>
        </is>
      </c>
      <c r="I1" s="46" t="inlineStr">
        <is>
          <t>no_ocean_control_margin_db</t>
        </is>
      </c>
      <c r="J1" s="46" t="inlineStr">
        <is>
          <t>zero_margin_reference</t>
        </is>
      </c>
    </row>
    <row r="2">
      <c r="A2" s="50">
        <f>Subsurface_Live_Data!A2</f>
        <v/>
      </c>
      <c r="B2" s="50">
        <f>Subsurface_Live_Data!K2</f>
        <v/>
      </c>
      <c r="C2" s="50">
        <f>MAX(0,B2-Subsurface_Inputs!$C$44)</f>
        <v/>
      </c>
      <c r="D2" s="50">
        <f>B2+Subsurface_Inputs!$C$44</f>
        <v/>
      </c>
      <c r="E2" s="50">
        <f>B2*Subsurface_Inputs!$C$45</f>
        <v/>
      </c>
      <c r="F2" s="50">
        <f>B2</f>
        <v/>
      </c>
      <c r="G2" s="50">
        <f>B2*Subsurface_Inputs!$C$46</f>
        <v/>
      </c>
      <c r="H2" s="50">
        <f>Subsurface_Live_Data!Y2</f>
        <v/>
      </c>
      <c r="I2" s="50">
        <f>Subsurface_Inputs!$C$47-Subsurface_Inputs!$C$43+2*SIN(2*PI()*A2/42)</f>
        <v/>
      </c>
      <c r="J2" s="50" t="n">
        <v>0</v>
      </c>
    </row>
    <row r="3">
      <c r="A3" s="50">
        <f>Subsurface_Live_Data!A3</f>
        <v/>
      </c>
      <c r="B3" s="50">
        <f>Subsurface_Live_Data!K3</f>
        <v/>
      </c>
      <c r="C3" s="50">
        <f>MAX(0,B3-Subsurface_Inputs!$C$44)</f>
        <v/>
      </c>
      <c r="D3" s="50">
        <f>B3+Subsurface_Inputs!$C$44</f>
        <v/>
      </c>
      <c r="E3" s="50">
        <f>B3*Subsurface_Inputs!$C$45</f>
        <v/>
      </c>
      <c r="F3" s="50">
        <f>B3</f>
        <v/>
      </c>
      <c r="G3" s="50">
        <f>B3*Subsurface_Inputs!$C$46</f>
        <v/>
      </c>
      <c r="H3" s="50">
        <f>Subsurface_Live_Data!Y3</f>
        <v/>
      </c>
      <c r="I3" s="50">
        <f>Subsurface_Inputs!$C$47-Subsurface_Inputs!$C$43+2*SIN(2*PI()*A3/42)</f>
        <v/>
      </c>
      <c r="J3" s="50" t="n">
        <v>0</v>
      </c>
    </row>
    <row r="4">
      <c r="A4" s="50">
        <f>Subsurface_Live_Data!A4</f>
        <v/>
      </c>
      <c r="B4" s="50">
        <f>Subsurface_Live_Data!K4</f>
        <v/>
      </c>
      <c r="C4" s="50">
        <f>MAX(0,B4-Subsurface_Inputs!$C$44)</f>
        <v/>
      </c>
      <c r="D4" s="50">
        <f>B4+Subsurface_Inputs!$C$44</f>
        <v/>
      </c>
      <c r="E4" s="50">
        <f>B4*Subsurface_Inputs!$C$45</f>
        <v/>
      </c>
      <c r="F4" s="50">
        <f>B4</f>
        <v/>
      </c>
      <c r="G4" s="50">
        <f>B4*Subsurface_Inputs!$C$46</f>
        <v/>
      </c>
      <c r="H4" s="50">
        <f>Subsurface_Live_Data!Y4</f>
        <v/>
      </c>
      <c r="I4" s="50">
        <f>Subsurface_Inputs!$C$47-Subsurface_Inputs!$C$43+2*SIN(2*PI()*A4/42)</f>
        <v/>
      </c>
      <c r="J4" s="50" t="n">
        <v>0</v>
      </c>
    </row>
    <row r="5">
      <c r="A5" s="50">
        <f>Subsurface_Live_Data!A5</f>
        <v/>
      </c>
      <c r="B5" s="50">
        <f>Subsurface_Live_Data!K5</f>
        <v/>
      </c>
      <c r="C5" s="50">
        <f>MAX(0,B5-Subsurface_Inputs!$C$44)</f>
        <v/>
      </c>
      <c r="D5" s="50">
        <f>B5+Subsurface_Inputs!$C$44</f>
        <v/>
      </c>
      <c r="E5" s="50">
        <f>B5*Subsurface_Inputs!$C$45</f>
        <v/>
      </c>
      <c r="F5" s="50">
        <f>B5</f>
        <v/>
      </c>
      <c r="G5" s="50">
        <f>B5*Subsurface_Inputs!$C$46</f>
        <v/>
      </c>
      <c r="H5" s="50">
        <f>Subsurface_Live_Data!Y5</f>
        <v/>
      </c>
      <c r="I5" s="50">
        <f>Subsurface_Inputs!$C$47-Subsurface_Inputs!$C$43+2*SIN(2*PI()*A5/42)</f>
        <v/>
      </c>
      <c r="J5" s="50" t="n">
        <v>0</v>
      </c>
    </row>
    <row r="6">
      <c r="A6" s="50">
        <f>Subsurface_Live_Data!A6</f>
        <v/>
      </c>
      <c r="B6" s="50">
        <f>Subsurface_Live_Data!K6</f>
        <v/>
      </c>
      <c r="C6" s="50">
        <f>MAX(0,B6-Subsurface_Inputs!$C$44)</f>
        <v/>
      </c>
      <c r="D6" s="50">
        <f>B6+Subsurface_Inputs!$C$44</f>
        <v/>
      </c>
      <c r="E6" s="50">
        <f>B6*Subsurface_Inputs!$C$45</f>
        <v/>
      </c>
      <c r="F6" s="50">
        <f>B6</f>
        <v/>
      </c>
      <c r="G6" s="50">
        <f>B6*Subsurface_Inputs!$C$46</f>
        <v/>
      </c>
      <c r="H6" s="50">
        <f>Subsurface_Live_Data!Y6</f>
        <v/>
      </c>
      <c r="I6" s="50">
        <f>Subsurface_Inputs!$C$47-Subsurface_Inputs!$C$43+2*SIN(2*PI()*A6/42)</f>
        <v/>
      </c>
      <c r="J6" s="50" t="n">
        <v>0</v>
      </c>
    </row>
    <row r="7">
      <c r="A7" s="50">
        <f>Subsurface_Live_Data!A7</f>
        <v/>
      </c>
      <c r="B7" s="50">
        <f>Subsurface_Live_Data!K7</f>
        <v/>
      </c>
      <c r="C7" s="50">
        <f>MAX(0,B7-Subsurface_Inputs!$C$44)</f>
        <v/>
      </c>
      <c r="D7" s="50">
        <f>B7+Subsurface_Inputs!$C$44</f>
        <v/>
      </c>
      <c r="E7" s="50">
        <f>B7*Subsurface_Inputs!$C$45</f>
        <v/>
      </c>
      <c r="F7" s="50">
        <f>B7</f>
        <v/>
      </c>
      <c r="G7" s="50">
        <f>B7*Subsurface_Inputs!$C$46</f>
        <v/>
      </c>
      <c r="H7" s="50">
        <f>Subsurface_Live_Data!Y7</f>
        <v/>
      </c>
      <c r="I7" s="50">
        <f>Subsurface_Inputs!$C$47-Subsurface_Inputs!$C$43+2*SIN(2*PI()*A7/42)</f>
        <v/>
      </c>
      <c r="J7" s="50" t="n">
        <v>0</v>
      </c>
    </row>
    <row r="8">
      <c r="A8" s="50">
        <f>Subsurface_Live_Data!A8</f>
        <v/>
      </c>
      <c r="B8" s="50">
        <f>Subsurface_Live_Data!K8</f>
        <v/>
      </c>
      <c r="C8" s="50">
        <f>MAX(0,B8-Subsurface_Inputs!$C$44)</f>
        <v/>
      </c>
      <c r="D8" s="50">
        <f>B8+Subsurface_Inputs!$C$44</f>
        <v/>
      </c>
      <c r="E8" s="50">
        <f>B8*Subsurface_Inputs!$C$45</f>
        <v/>
      </c>
      <c r="F8" s="50">
        <f>B8</f>
        <v/>
      </c>
      <c r="G8" s="50">
        <f>B8*Subsurface_Inputs!$C$46</f>
        <v/>
      </c>
      <c r="H8" s="50">
        <f>Subsurface_Live_Data!Y8</f>
        <v/>
      </c>
      <c r="I8" s="50">
        <f>Subsurface_Inputs!$C$47-Subsurface_Inputs!$C$43+2*SIN(2*PI()*A8/42)</f>
        <v/>
      </c>
      <c r="J8" s="50" t="n">
        <v>0</v>
      </c>
    </row>
    <row r="9">
      <c r="A9" s="50">
        <f>Subsurface_Live_Data!A9</f>
        <v/>
      </c>
      <c r="B9" s="50">
        <f>Subsurface_Live_Data!K9</f>
        <v/>
      </c>
      <c r="C9" s="50">
        <f>MAX(0,B9-Subsurface_Inputs!$C$44)</f>
        <v/>
      </c>
      <c r="D9" s="50">
        <f>B9+Subsurface_Inputs!$C$44</f>
        <v/>
      </c>
      <c r="E9" s="50">
        <f>B9*Subsurface_Inputs!$C$45</f>
        <v/>
      </c>
      <c r="F9" s="50">
        <f>B9</f>
        <v/>
      </c>
      <c r="G9" s="50">
        <f>B9*Subsurface_Inputs!$C$46</f>
        <v/>
      </c>
      <c r="H9" s="50">
        <f>Subsurface_Live_Data!Y9</f>
        <v/>
      </c>
      <c r="I9" s="50">
        <f>Subsurface_Inputs!$C$47-Subsurface_Inputs!$C$43+2*SIN(2*PI()*A9/42)</f>
        <v/>
      </c>
      <c r="J9" s="50" t="n">
        <v>0</v>
      </c>
    </row>
    <row r="10">
      <c r="A10" s="50">
        <f>Subsurface_Live_Data!A10</f>
        <v/>
      </c>
      <c r="B10" s="50">
        <f>Subsurface_Live_Data!K10</f>
        <v/>
      </c>
      <c r="C10" s="50">
        <f>MAX(0,B10-Subsurface_Inputs!$C$44)</f>
        <v/>
      </c>
      <c r="D10" s="50">
        <f>B10+Subsurface_Inputs!$C$44</f>
        <v/>
      </c>
      <c r="E10" s="50">
        <f>B10*Subsurface_Inputs!$C$45</f>
        <v/>
      </c>
      <c r="F10" s="50">
        <f>B10</f>
        <v/>
      </c>
      <c r="G10" s="50">
        <f>B10*Subsurface_Inputs!$C$46</f>
        <v/>
      </c>
      <c r="H10" s="50">
        <f>Subsurface_Live_Data!Y10</f>
        <v/>
      </c>
      <c r="I10" s="50">
        <f>Subsurface_Inputs!$C$47-Subsurface_Inputs!$C$43+2*SIN(2*PI()*A10/42)</f>
        <v/>
      </c>
      <c r="J10" s="50" t="n">
        <v>0</v>
      </c>
    </row>
    <row r="11">
      <c r="A11" s="50">
        <f>Subsurface_Live_Data!A11</f>
        <v/>
      </c>
      <c r="B11" s="50">
        <f>Subsurface_Live_Data!K11</f>
        <v/>
      </c>
      <c r="C11" s="50">
        <f>MAX(0,B11-Subsurface_Inputs!$C$44)</f>
        <v/>
      </c>
      <c r="D11" s="50">
        <f>B11+Subsurface_Inputs!$C$44</f>
        <v/>
      </c>
      <c r="E11" s="50">
        <f>B11*Subsurface_Inputs!$C$45</f>
        <v/>
      </c>
      <c r="F11" s="50">
        <f>B11</f>
        <v/>
      </c>
      <c r="G11" s="50">
        <f>B11*Subsurface_Inputs!$C$46</f>
        <v/>
      </c>
      <c r="H11" s="50">
        <f>Subsurface_Live_Data!Y11</f>
        <v/>
      </c>
      <c r="I11" s="50">
        <f>Subsurface_Inputs!$C$47-Subsurface_Inputs!$C$43+2*SIN(2*PI()*A11/42)</f>
        <v/>
      </c>
      <c r="J11" s="50" t="n">
        <v>0</v>
      </c>
    </row>
    <row r="12">
      <c r="A12" s="50">
        <f>Subsurface_Live_Data!A12</f>
        <v/>
      </c>
      <c r="B12" s="50">
        <f>Subsurface_Live_Data!K12</f>
        <v/>
      </c>
      <c r="C12" s="50">
        <f>MAX(0,B12-Subsurface_Inputs!$C$44)</f>
        <v/>
      </c>
      <c r="D12" s="50">
        <f>B12+Subsurface_Inputs!$C$44</f>
        <v/>
      </c>
      <c r="E12" s="50">
        <f>B12*Subsurface_Inputs!$C$45</f>
        <v/>
      </c>
      <c r="F12" s="50">
        <f>B12</f>
        <v/>
      </c>
      <c r="G12" s="50">
        <f>B12*Subsurface_Inputs!$C$46</f>
        <v/>
      </c>
      <c r="H12" s="50">
        <f>Subsurface_Live_Data!Y12</f>
        <v/>
      </c>
      <c r="I12" s="50">
        <f>Subsurface_Inputs!$C$47-Subsurface_Inputs!$C$43+2*SIN(2*PI()*A12/42)</f>
        <v/>
      </c>
      <c r="J12" s="50" t="n">
        <v>0</v>
      </c>
    </row>
    <row r="13">
      <c r="A13" s="50">
        <f>Subsurface_Live_Data!A13</f>
        <v/>
      </c>
      <c r="B13" s="50">
        <f>Subsurface_Live_Data!K13</f>
        <v/>
      </c>
      <c r="C13" s="50">
        <f>MAX(0,B13-Subsurface_Inputs!$C$44)</f>
        <v/>
      </c>
      <c r="D13" s="50">
        <f>B13+Subsurface_Inputs!$C$44</f>
        <v/>
      </c>
      <c r="E13" s="50">
        <f>B13*Subsurface_Inputs!$C$45</f>
        <v/>
      </c>
      <c r="F13" s="50">
        <f>B13</f>
        <v/>
      </c>
      <c r="G13" s="50">
        <f>B13*Subsurface_Inputs!$C$46</f>
        <v/>
      </c>
      <c r="H13" s="50">
        <f>Subsurface_Live_Data!Y13</f>
        <v/>
      </c>
      <c r="I13" s="50">
        <f>Subsurface_Inputs!$C$47-Subsurface_Inputs!$C$43+2*SIN(2*PI()*A13/42)</f>
        <v/>
      </c>
      <c r="J13" s="50" t="n">
        <v>0</v>
      </c>
    </row>
    <row r="14">
      <c r="A14" s="50">
        <f>Subsurface_Live_Data!A14</f>
        <v/>
      </c>
      <c r="B14" s="50">
        <f>Subsurface_Live_Data!K14</f>
        <v/>
      </c>
      <c r="C14" s="50">
        <f>MAX(0,B14-Subsurface_Inputs!$C$44)</f>
        <v/>
      </c>
      <c r="D14" s="50">
        <f>B14+Subsurface_Inputs!$C$44</f>
        <v/>
      </c>
      <c r="E14" s="50">
        <f>B14*Subsurface_Inputs!$C$45</f>
        <v/>
      </c>
      <c r="F14" s="50">
        <f>B14</f>
        <v/>
      </c>
      <c r="G14" s="50">
        <f>B14*Subsurface_Inputs!$C$46</f>
        <v/>
      </c>
      <c r="H14" s="50">
        <f>Subsurface_Live_Data!Y14</f>
        <v/>
      </c>
      <c r="I14" s="50">
        <f>Subsurface_Inputs!$C$47-Subsurface_Inputs!$C$43+2*SIN(2*PI()*A14/42)</f>
        <v/>
      </c>
      <c r="J14" s="50" t="n">
        <v>0</v>
      </c>
    </row>
    <row r="15">
      <c r="A15" s="50">
        <f>Subsurface_Live_Data!A15</f>
        <v/>
      </c>
      <c r="B15" s="50">
        <f>Subsurface_Live_Data!K15</f>
        <v/>
      </c>
      <c r="C15" s="50">
        <f>MAX(0,B15-Subsurface_Inputs!$C$44)</f>
        <v/>
      </c>
      <c r="D15" s="50">
        <f>B15+Subsurface_Inputs!$C$44</f>
        <v/>
      </c>
      <c r="E15" s="50">
        <f>B15*Subsurface_Inputs!$C$45</f>
        <v/>
      </c>
      <c r="F15" s="50">
        <f>B15</f>
        <v/>
      </c>
      <c r="G15" s="50">
        <f>B15*Subsurface_Inputs!$C$46</f>
        <v/>
      </c>
      <c r="H15" s="50">
        <f>Subsurface_Live_Data!Y15</f>
        <v/>
      </c>
      <c r="I15" s="50">
        <f>Subsurface_Inputs!$C$47-Subsurface_Inputs!$C$43+2*SIN(2*PI()*A15/42)</f>
        <v/>
      </c>
      <c r="J15" s="50" t="n">
        <v>0</v>
      </c>
    </row>
    <row r="16">
      <c r="A16" s="50">
        <f>Subsurface_Live_Data!A16</f>
        <v/>
      </c>
      <c r="B16" s="50">
        <f>Subsurface_Live_Data!K16</f>
        <v/>
      </c>
      <c r="C16" s="50">
        <f>MAX(0,B16-Subsurface_Inputs!$C$44)</f>
        <v/>
      </c>
      <c r="D16" s="50">
        <f>B16+Subsurface_Inputs!$C$44</f>
        <v/>
      </c>
      <c r="E16" s="50">
        <f>B16*Subsurface_Inputs!$C$45</f>
        <v/>
      </c>
      <c r="F16" s="50">
        <f>B16</f>
        <v/>
      </c>
      <c r="G16" s="50">
        <f>B16*Subsurface_Inputs!$C$46</f>
        <v/>
      </c>
      <c r="H16" s="50">
        <f>Subsurface_Live_Data!Y16</f>
        <v/>
      </c>
      <c r="I16" s="50">
        <f>Subsurface_Inputs!$C$47-Subsurface_Inputs!$C$43+2*SIN(2*PI()*A16/42)</f>
        <v/>
      </c>
      <c r="J16" s="50" t="n">
        <v>0</v>
      </c>
    </row>
    <row r="17">
      <c r="A17" s="50">
        <f>Subsurface_Live_Data!A17</f>
        <v/>
      </c>
      <c r="B17" s="50">
        <f>Subsurface_Live_Data!K17</f>
        <v/>
      </c>
      <c r="C17" s="50">
        <f>MAX(0,B17-Subsurface_Inputs!$C$44)</f>
        <v/>
      </c>
      <c r="D17" s="50">
        <f>B17+Subsurface_Inputs!$C$44</f>
        <v/>
      </c>
      <c r="E17" s="50">
        <f>B17*Subsurface_Inputs!$C$45</f>
        <v/>
      </c>
      <c r="F17" s="50">
        <f>B17</f>
        <v/>
      </c>
      <c r="G17" s="50">
        <f>B17*Subsurface_Inputs!$C$46</f>
        <v/>
      </c>
      <c r="H17" s="50">
        <f>Subsurface_Live_Data!Y17</f>
        <v/>
      </c>
      <c r="I17" s="50">
        <f>Subsurface_Inputs!$C$47-Subsurface_Inputs!$C$43+2*SIN(2*PI()*A17/42)</f>
        <v/>
      </c>
      <c r="J17" s="50" t="n">
        <v>0</v>
      </c>
    </row>
    <row r="18">
      <c r="A18" s="50">
        <f>Subsurface_Live_Data!A18</f>
        <v/>
      </c>
      <c r="B18" s="50">
        <f>Subsurface_Live_Data!K18</f>
        <v/>
      </c>
      <c r="C18" s="50">
        <f>MAX(0,B18-Subsurface_Inputs!$C$44)</f>
        <v/>
      </c>
      <c r="D18" s="50">
        <f>B18+Subsurface_Inputs!$C$44</f>
        <v/>
      </c>
      <c r="E18" s="50">
        <f>B18*Subsurface_Inputs!$C$45</f>
        <v/>
      </c>
      <c r="F18" s="50">
        <f>B18</f>
        <v/>
      </c>
      <c r="G18" s="50">
        <f>B18*Subsurface_Inputs!$C$46</f>
        <v/>
      </c>
      <c r="H18" s="50">
        <f>Subsurface_Live_Data!Y18</f>
        <v/>
      </c>
      <c r="I18" s="50">
        <f>Subsurface_Inputs!$C$47-Subsurface_Inputs!$C$43+2*SIN(2*PI()*A18/42)</f>
        <v/>
      </c>
      <c r="J18" s="50" t="n">
        <v>0</v>
      </c>
    </row>
    <row r="19">
      <c r="A19" s="50">
        <f>Subsurface_Live_Data!A19</f>
        <v/>
      </c>
      <c r="B19" s="50">
        <f>Subsurface_Live_Data!K19</f>
        <v/>
      </c>
      <c r="C19" s="50">
        <f>MAX(0,B19-Subsurface_Inputs!$C$44)</f>
        <v/>
      </c>
      <c r="D19" s="50">
        <f>B19+Subsurface_Inputs!$C$44</f>
        <v/>
      </c>
      <c r="E19" s="50">
        <f>B19*Subsurface_Inputs!$C$45</f>
        <v/>
      </c>
      <c r="F19" s="50">
        <f>B19</f>
        <v/>
      </c>
      <c r="G19" s="50">
        <f>B19*Subsurface_Inputs!$C$46</f>
        <v/>
      </c>
      <c r="H19" s="50">
        <f>Subsurface_Live_Data!Y19</f>
        <v/>
      </c>
      <c r="I19" s="50">
        <f>Subsurface_Inputs!$C$47-Subsurface_Inputs!$C$43+2*SIN(2*PI()*A19/42)</f>
        <v/>
      </c>
      <c r="J19" s="50" t="n">
        <v>0</v>
      </c>
    </row>
    <row r="20">
      <c r="A20" s="50">
        <f>Subsurface_Live_Data!A20</f>
        <v/>
      </c>
      <c r="B20" s="50">
        <f>Subsurface_Live_Data!K20</f>
        <v/>
      </c>
      <c r="C20" s="50">
        <f>MAX(0,B20-Subsurface_Inputs!$C$44)</f>
        <v/>
      </c>
      <c r="D20" s="50">
        <f>B20+Subsurface_Inputs!$C$44</f>
        <v/>
      </c>
      <c r="E20" s="50">
        <f>B20*Subsurface_Inputs!$C$45</f>
        <v/>
      </c>
      <c r="F20" s="50">
        <f>B20</f>
        <v/>
      </c>
      <c r="G20" s="50">
        <f>B20*Subsurface_Inputs!$C$46</f>
        <v/>
      </c>
      <c r="H20" s="50">
        <f>Subsurface_Live_Data!Y20</f>
        <v/>
      </c>
      <c r="I20" s="50">
        <f>Subsurface_Inputs!$C$47-Subsurface_Inputs!$C$43+2*SIN(2*PI()*A20/42)</f>
        <v/>
      </c>
      <c r="J20" s="50" t="n">
        <v>0</v>
      </c>
    </row>
    <row r="21">
      <c r="A21" s="50">
        <f>Subsurface_Live_Data!A21</f>
        <v/>
      </c>
      <c r="B21" s="50">
        <f>Subsurface_Live_Data!K21</f>
        <v/>
      </c>
      <c r="C21" s="50">
        <f>MAX(0,B21-Subsurface_Inputs!$C$44)</f>
        <v/>
      </c>
      <c r="D21" s="50">
        <f>B21+Subsurface_Inputs!$C$44</f>
        <v/>
      </c>
      <c r="E21" s="50">
        <f>B21*Subsurface_Inputs!$C$45</f>
        <v/>
      </c>
      <c r="F21" s="50">
        <f>B21</f>
        <v/>
      </c>
      <c r="G21" s="50">
        <f>B21*Subsurface_Inputs!$C$46</f>
        <v/>
      </c>
      <c r="H21" s="50">
        <f>Subsurface_Live_Data!Y21</f>
        <v/>
      </c>
      <c r="I21" s="50">
        <f>Subsurface_Inputs!$C$47-Subsurface_Inputs!$C$43+2*SIN(2*PI()*A21/42)</f>
        <v/>
      </c>
      <c r="J21" s="50" t="n">
        <v>0</v>
      </c>
    </row>
    <row r="22">
      <c r="A22" s="50">
        <f>Subsurface_Live_Data!A22</f>
        <v/>
      </c>
      <c r="B22" s="50">
        <f>Subsurface_Live_Data!K22</f>
        <v/>
      </c>
      <c r="C22" s="50">
        <f>MAX(0,B22-Subsurface_Inputs!$C$44)</f>
        <v/>
      </c>
      <c r="D22" s="50">
        <f>B22+Subsurface_Inputs!$C$44</f>
        <v/>
      </c>
      <c r="E22" s="50">
        <f>B22*Subsurface_Inputs!$C$45</f>
        <v/>
      </c>
      <c r="F22" s="50">
        <f>B22</f>
        <v/>
      </c>
      <c r="G22" s="50">
        <f>B22*Subsurface_Inputs!$C$46</f>
        <v/>
      </c>
      <c r="H22" s="50">
        <f>Subsurface_Live_Data!Y22</f>
        <v/>
      </c>
      <c r="I22" s="50">
        <f>Subsurface_Inputs!$C$47-Subsurface_Inputs!$C$43+2*SIN(2*PI()*A22/42)</f>
        <v/>
      </c>
      <c r="J22" s="50" t="n">
        <v>0</v>
      </c>
    </row>
    <row r="23">
      <c r="A23" s="50">
        <f>Subsurface_Live_Data!A23</f>
        <v/>
      </c>
      <c r="B23" s="50">
        <f>Subsurface_Live_Data!K23</f>
        <v/>
      </c>
      <c r="C23" s="50">
        <f>MAX(0,B23-Subsurface_Inputs!$C$44)</f>
        <v/>
      </c>
      <c r="D23" s="50">
        <f>B23+Subsurface_Inputs!$C$44</f>
        <v/>
      </c>
      <c r="E23" s="50">
        <f>B23*Subsurface_Inputs!$C$45</f>
        <v/>
      </c>
      <c r="F23" s="50">
        <f>B23</f>
        <v/>
      </c>
      <c r="G23" s="50">
        <f>B23*Subsurface_Inputs!$C$46</f>
        <v/>
      </c>
      <c r="H23" s="50">
        <f>Subsurface_Live_Data!Y23</f>
        <v/>
      </c>
      <c r="I23" s="50">
        <f>Subsurface_Inputs!$C$47-Subsurface_Inputs!$C$43+2*SIN(2*PI()*A23/42)</f>
        <v/>
      </c>
      <c r="J23" s="50" t="n">
        <v>0</v>
      </c>
    </row>
    <row r="24">
      <c r="A24" s="50">
        <f>Subsurface_Live_Data!A24</f>
        <v/>
      </c>
      <c r="B24" s="50">
        <f>Subsurface_Live_Data!K24</f>
        <v/>
      </c>
      <c r="C24" s="50">
        <f>MAX(0,B24-Subsurface_Inputs!$C$44)</f>
        <v/>
      </c>
      <c r="D24" s="50">
        <f>B24+Subsurface_Inputs!$C$44</f>
        <v/>
      </c>
      <c r="E24" s="50">
        <f>B24*Subsurface_Inputs!$C$45</f>
        <v/>
      </c>
      <c r="F24" s="50">
        <f>B24</f>
        <v/>
      </c>
      <c r="G24" s="50">
        <f>B24*Subsurface_Inputs!$C$46</f>
        <v/>
      </c>
      <c r="H24" s="50">
        <f>Subsurface_Live_Data!Y24</f>
        <v/>
      </c>
      <c r="I24" s="50">
        <f>Subsurface_Inputs!$C$47-Subsurface_Inputs!$C$43+2*SIN(2*PI()*A24/42)</f>
        <v/>
      </c>
      <c r="J24" s="50" t="n">
        <v>0</v>
      </c>
    </row>
    <row r="25">
      <c r="A25" s="50">
        <f>Subsurface_Live_Data!A25</f>
        <v/>
      </c>
      <c r="B25" s="50">
        <f>Subsurface_Live_Data!K25</f>
        <v/>
      </c>
      <c r="C25" s="50">
        <f>MAX(0,B25-Subsurface_Inputs!$C$44)</f>
        <v/>
      </c>
      <c r="D25" s="50">
        <f>B25+Subsurface_Inputs!$C$44</f>
        <v/>
      </c>
      <c r="E25" s="50">
        <f>B25*Subsurface_Inputs!$C$45</f>
        <v/>
      </c>
      <c r="F25" s="50">
        <f>B25</f>
        <v/>
      </c>
      <c r="G25" s="50">
        <f>B25*Subsurface_Inputs!$C$46</f>
        <v/>
      </c>
      <c r="H25" s="50">
        <f>Subsurface_Live_Data!Y25</f>
        <v/>
      </c>
      <c r="I25" s="50">
        <f>Subsurface_Inputs!$C$47-Subsurface_Inputs!$C$43+2*SIN(2*PI()*A25/42)</f>
        <v/>
      </c>
      <c r="J25" s="50" t="n">
        <v>0</v>
      </c>
    </row>
    <row r="26">
      <c r="A26" s="50">
        <f>Subsurface_Live_Data!A26</f>
        <v/>
      </c>
      <c r="B26" s="50">
        <f>Subsurface_Live_Data!K26</f>
        <v/>
      </c>
      <c r="C26" s="50">
        <f>MAX(0,B26-Subsurface_Inputs!$C$44)</f>
        <v/>
      </c>
      <c r="D26" s="50">
        <f>B26+Subsurface_Inputs!$C$44</f>
        <v/>
      </c>
      <c r="E26" s="50">
        <f>B26*Subsurface_Inputs!$C$45</f>
        <v/>
      </c>
      <c r="F26" s="50">
        <f>B26</f>
        <v/>
      </c>
      <c r="G26" s="50">
        <f>B26*Subsurface_Inputs!$C$46</f>
        <v/>
      </c>
      <c r="H26" s="50">
        <f>Subsurface_Live_Data!Y26</f>
        <v/>
      </c>
      <c r="I26" s="50">
        <f>Subsurface_Inputs!$C$47-Subsurface_Inputs!$C$43+2*SIN(2*PI()*A26/42)</f>
        <v/>
      </c>
      <c r="J26" s="50" t="n">
        <v>0</v>
      </c>
    </row>
    <row r="27">
      <c r="A27" s="50">
        <f>Subsurface_Live_Data!A27</f>
        <v/>
      </c>
      <c r="B27" s="50">
        <f>Subsurface_Live_Data!K27</f>
        <v/>
      </c>
      <c r="C27" s="50">
        <f>MAX(0,B27-Subsurface_Inputs!$C$44)</f>
        <v/>
      </c>
      <c r="D27" s="50">
        <f>B27+Subsurface_Inputs!$C$44</f>
        <v/>
      </c>
      <c r="E27" s="50">
        <f>B27*Subsurface_Inputs!$C$45</f>
        <v/>
      </c>
      <c r="F27" s="50">
        <f>B27</f>
        <v/>
      </c>
      <c r="G27" s="50">
        <f>B27*Subsurface_Inputs!$C$46</f>
        <v/>
      </c>
      <c r="H27" s="50">
        <f>Subsurface_Live_Data!Y27</f>
        <v/>
      </c>
      <c r="I27" s="50">
        <f>Subsurface_Inputs!$C$47-Subsurface_Inputs!$C$43+2*SIN(2*PI()*A27/42)</f>
        <v/>
      </c>
      <c r="J27" s="50" t="n">
        <v>0</v>
      </c>
    </row>
    <row r="28">
      <c r="A28" s="50">
        <f>Subsurface_Live_Data!A28</f>
        <v/>
      </c>
      <c r="B28" s="50">
        <f>Subsurface_Live_Data!K28</f>
        <v/>
      </c>
      <c r="C28" s="50">
        <f>MAX(0,B28-Subsurface_Inputs!$C$44)</f>
        <v/>
      </c>
      <c r="D28" s="50">
        <f>B28+Subsurface_Inputs!$C$44</f>
        <v/>
      </c>
      <c r="E28" s="50">
        <f>B28*Subsurface_Inputs!$C$45</f>
        <v/>
      </c>
      <c r="F28" s="50">
        <f>B28</f>
        <v/>
      </c>
      <c r="G28" s="50">
        <f>B28*Subsurface_Inputs!$C$46</f>
        <v/>
      </c>
      <c r="H28" s="50">
        <f>Subsurface_Live_Data!Y28</f>
        <v/>
      </c>
      <c r="I28" s="50">
        <f>Subsurface_Inputs!$C$47-Subsurface_Inputs!$C$43+2*SIN(2*PI()*A28/42)</f>
        <v/>
      </c>
      <c r="J28" s="50" t="n">
        <v>0</v>
      </c>
    </row>
    <row r="29">
      <c r="A29" s="50">
        <f>Subsurface_Live_Data!A29</f>
        <v/>
      </c>
      <c r="B29" s="50">
        <f>Subsurface_Live_Data!K29</f>
        <v/>
      </c>
      <c r="C29" s="50">
        <f>MAX(0,B29-Subsurface_Inputs!$C$44)</f>
        <v/>
      </c>
      <c r="D29" s="50">
        <f>B29+Subsurface_Inputs!$C$44</f>
        <v/>
      </c>
      <c r="E29" s="50">
        <f>B29*Subsurface_Inputs!$C$45</f>
        <v/>
      </c>
      <c r="F29" s="50">
        <f>B29</f>
        <v/>
      </c>
      <c r="G29" s="50">
        <f>B29*Subsurface_Inputs!$C$46</f>
        <v/>
      </c>
      <c r="H29" s="50">
        <f>Subsurface_Live_Data!Y29</f>
        <v/>
      </c>
      <c r="I29" s="50">
        <f>Subsurface_Inputs!$C$47-Subsurface_Inputs!$C$43+2*SIN(2*PI()*A29/42)</f>
        <v/>
      </c>
      <c r="J29" s="50" t="n">
        <v>0</v>
      </c>
    </row>
    <row r="30">
      <c r="A30" s="50">
        <f>Subsurface_Live_Data!A30</f>
        <v/>
      </c>
      <c r="B30" s="50">
        <f>Subsurface_Live_Data!K30</f>
        <v/>
      </c>
      <c r="C30" s="50">
        <f>MAX(0,B30-Subsurface_Inputs!$C$44)</f>
        <v/>
      </c>
      <c r="D30" s="50">
        <f>B30+Subsurface_Inputs!$C$44</f>
        <v/>
      </c>
      <c r="E30" s="50">
        <f>B30*Subsurface_Inputs!$C$45</f>
        <v/>
      </c>
      <c r="F30" s="50">
        <f>B30</f>
        <v/>
      </c>
      <c r="G30" s="50">
        <f>B30*Subsurface_Inputs!$C$46</f>
        <v/>
      </c>
      <c r="H30" s="50">
        <f>Subsurface_Live_Data!Y30</f>
        <v/>
      </c>
      <c r="I30" s="50">
        <f>Subsurface_Inputs!$C$47-Subsurface_Inputs!$C$43+2*SIN(2*PI()*A30/42)</f>
        <v/>
      </c>
      <c r="J30" s="50" t="n">
        <v>0</v>
      </c>
    </row>
    <row r="31">
      <c r="A31" s="50">
        <f>Subsurface_Live_Data!A31</f>
        <v/>
      </c>
      <c r="B31" s="50">
        <f>Subsurface_Live_Data!K31</f>
        <v/>
      </c>
      <c r="C31" s="50">
        <f>MAX(0,B31-Subsurface_Inputs!$C$44)</f>
        <v/>
      </c>
      <c r="D31" s="50">
        <f>B31+Subsurface_Inputs!$C$44</f>
        <v/>
      </c>
      <c r="E31" s="50">
        <f>B31*Subsurface_Inputs!$C$45</f>
        <v/>
      </c>
      <c r="F31" s="50">
        <f>B31</f>
        <v/>
      </c>
      <c r="G31" s="50">
        <f>B31*Subsurface_Inputs!$C$46</f>
        <v/>
      </c>
      <c r="H31" s="50">
        <f>Subsurface_Live_Data!Y31</f>
        <v/>
      </c>
      <c r="I31" s="50">
        <f>Subsurface_Inputs!$C$47-Subsurface_Inputs!$C$43+2*SIN(2*PI()*A31/42)</f>
        <v/>
      </c>
      <c r="J31" s="50" t="n">
        <v>0</v>
      </c>
    </row>
    <row r="32">
      <c r="A32" s="50">
        <f>Subsurface_Live_Data!A32</f>
        <v/>
      </c>
      <c r="B32" s="50">
        <f>Subsurface_Live_Data!K32</f>
        <v/>
      </c>
      <c r="C32" s="50">
        <f>MAX(0,B32-Subsurface_Inputs!$C$44)</f>
        <v/>
      </c>
      <c r="D32" s="50">
        <f>B32+Subsurface_Inputs!$C$44</f>
        <v/>
      </c>
      <c r="E32" s="50">
        <f>B32*Subsurface_Inputs!$C$45</f>
        <v/>
      </c>
      <c r="F32" s="50">
        <f>B32</f>
        <v/>
      </c>
      <c r="G32" s="50">
        <f>B32*Subsurface_Inputs!$C$46</f>
        <v/>
      </c>
      <c r="H32" s="50">
        <f>Subsurface_Live_Data!Y32</f>
        <v/>
      </c>
      <c r="I32" s="50">
        <f>Subsurface_Inputs!$C$47-Subsurface_Inputs!$C$43+2*SIN(2*PI()*A32/42)</f>
        <v/>
      </c>
      <c r="J32" s="50" t="n">
        <v>0</v>
      </c>
    </row>
    <row r="33">
      <c r="A33" s="50">
        <f>Subsurface_Live_Data!A33</f>
        <v/>
      </c>
      <c r="B33" s="50">
        <f>Subsurface_Live_Data!K33</f>
        <v/>
      </c>
      <c r="C33" s="50">
        <f>MAX(0,B33-Subsurface_Inputs!$C$44)</f>
        <v/>
      </c>
      <c r="D33" s="50">
        <f>B33+Subsurface_Inputs!$C$44</f>
        <v/>
      </c>
      <c r="E33" s="50">
        <f>B33*Subsurface_Inputs!$C$45</f>
        <v/>
      </c>
      <c r="F33" s="50">
        <f>B33</f>
        <v/>
      </c>
      <c r="G33" s="50">
        <f>B33*Subsurface_Inputs!$C$46</f>
        <v/>
      </c>
      <c r="H33" s="50">
        <f>Subsurface_Live_Data!Y33</f>
        <v/>
      </c>
      <c r="I33" s="50">
        <f>Subsurface_Inputs!$C$47-Subsurface_Inputs!$C$43+2*SIN(2*PI()*A33/42)</f>
        <v/>
      </c>
      <c r="J33" s="50" t="n">
        <v>0</v>
      </c>
    </row>
    <row r="34">
      <c r="A34" s="50">
        <f>Subsurface_Live_Data!A34</f>
        <v/>
      </c>
      <c r="B34" s="50">
        <f>Subsurface_Live_Data!K34</f>
        <v/>
      </c>
      <c r="C34" s="50">
        <f>MAX(0,B34-Subsurface_Inputs!$C$44)</f>
        <v/>
      </c>
      <c r="D34" s="50">
        <f>B34+Subsurface_Inputs!$C$44</f>
        <v/>
      </c>
      <c r="E34" s="50">
        <f>B34*Subsurface_Inputs!$C$45</f>
        <v/>
      </c>
      <c r="F34" s="50">
        <f>B34</f>
        <v/>
      </c>
      <c r="G34" s="50">
        <f>B34*Subsurface_Inputs!$C$46</f>
        <v/>
      </c>
      <c r="H34" s="50">
        <f>Subsurface_Live_Data!Y34</f>
        <v/>
      </c>
      <c r="I34" s="50">
        <f>Subsurface_Inputs!$C$47-Subsurface_Inputs!$C$43+2*SIN(2*PI()*A34/42)</f>
        <v/>
      </c>
      <c r="J34" s="50" t="n">
        <v>0</v>
      </c>
    </row>
    <row r="35">
      <c r="A35" s="50">
        <f>Subsurface_Live_Data!A35</f>
        <v/>
      </c>
      <c r="B35" s="50">
        <f>Subsurface_Live_Data!K35</f>
        <v/>
      </c>
      <c r="C35" s="50">
        <f>MAX(0,B35-Subsurface_Inputs!$C$44)</f>
        <v/>
      </c>
      <c r="D35" s="50">
        <f>B35+Subsurface_Inputs!$C$44</f>
        <v/>
      </c>
      <c r="E35" s="50">
        <f>B35*Subsurface_Inputs!$C$45</f>
        <v/>
      </c>
      <c r="F35" s="50">
        <f>B35</f>
        <v/>
      </c>
      <c r="G35" s="50">
        <f>B35*Subsurface_Inputs!$C$46</f>
        <v/>
      </c>
      <c r="H35" s="50">
        <f>Subsurface_Live_Data!Y35</f>
        <v/>
      </c>
      <c r="I35" s="50">
        <f>Subsurface_Inputs!$C$47-Subsurface_Inputs!$C$43+2*SIN(2*PI()*A35/42)</f>
        <v/>
      </c>
      <c r="J35" s="50" t="n">
        <v>0</v>
      </c>
    </row>
    <row r="36">
      <c r="A36" s="50">
        <f>Subsurface_Live_Data!A36</f>
        <v/>
      </c>
      <c r="B36" s="50">
        <f>Subsurface_Live_Data!K36</f>
        <v/>
      </c>
      <c r="C36" s="50">
        <f>MAX(0,B36-Subsurface_Inputs!$C$44)</f>
        <v/>
      </c>
      <c r="D36" s="50">
        <f>B36+Subsurface_Inputs!$C$44</f>
        <v/>
      </c>
      <c r="E36" s="50">
        <f>B36*Subsurface_Inputs!$C$45</f>
        <v/>
      </c>
      <c r="F36" s="50">
        <f>B36</f>
        <v/>
      </c>
      <c r="G36" s="50">
        <f>B36*Subsurface_Inputs!$C$46</f>
        <v/>
      </c>
      <c r="H36" s="50">
        <f>Subsurface_Live_Data!Y36</f>
        <v/>
      </c>
      <c r="I36" s="50">
        <f>Subsurface_Inputs!$C$47-Subsurface_Inputs!$C$43+2*SIN(2*PI()*A36/42)</f>
        <v/>
      </c>
      <c r="J36" s="50" t="n">
        <v>0</v>
      </c>
    </row>
    <row r="37">
      <c r="A37" s="50">
        <f>Subsurface_Live_Data!A37</f>
        <v/>
      </c>
      <c r="B37" s="50">
        <f>Subsurface_Live_Data!K37</f>
        <v/>
      </c>
      <c r="C37" s="50">
        <f>MAX(0,B37-Subsurface_Inputs!$C$44)</f>
        <v/>
      </c>
      <c r="D37" s="50">
        <f>B37+Subsurface_Inputs!$C$44</f>
        <v/>
      </c>
      <c r="E37" s="50">
        <f>B37*Subsurface_Inputs!$C$45</f>
        <v/>
      </c>
      <c r="F37" s="50">
        <f>B37</f>
        <v/>
      </c>
      <c r="G37" s="50">
        <f>B37*Subsurface_Inputs!$C$46</f>
        <v/>
      </c>
      <c r="H37" s="50">
        <f>Subsurface_Live_Data!Y37</f>
        <v/>
      </c>
      <c r="I37" s="50">
        <f>Subsurface_Inputs!$C$47-Subsurface_Inputs!$C$43+2*SIN(2*PI()*A37/42)</f>
        <v/>
      </c>
      <c r="J37" s="50" t="n">
        <v>0</v>
      </c>
    </row>
    <row r="38">
      <c r="A38" s="50">
        <f>Subsurface_Live_Data!A38</f>
        <v/>
      </c>
      <c r="B38" s="50">
        <f>Subsurface_Live_Data!K38</f>
        <v/>
      </c>
      <c r="C38" s="50">
        <f>MAX(0,B38-Subsurface_Inputs!$C$44)</f>
        <v/>
      </c>
      <c r="D38" s="50">
        <f>B38+Subsurface_Inputs!$C$44</f>
        <v/>
      </c>
      <c r="E38" s="50">
        <f>B38*Subsurface_Inputs!$C$45</f>
        <v/>
      </c>
      <c r="F38" s="50">
        <f>B38</f>
        <v/>
      </c>
      <c r="G38" s="50">
        <f>B38*Subsurface_Inputs!$C$46</f>
        <v/>
      </c>
      <c r="H38" s="50">
        <f>Subsurface_Live_Data!Y38</f>
        <v/>
      </c>
      <c r="I38" s="50">
        <f>Subsurface_Inputs!$C$47-Subsurface_Inputs!$C$43+2*SIN(2*PI()*A38/42)</f>
        <v/>
      </c>
      <c r="J38" s="50" t="n">
        <v>0</v>
      </c>
    </row>
    <row r="39">
      <c r="A39" s="50">
        <f>Subsurface_Live_Data!A39</f>
        <v/>
      </c>
      <c r="B39" s="50">
        <f>Subsurface_Live_Data!K39</f>
        <v/>
      </c>
      <c r="C39" s="50">
        <f>MAX(0,B39-Subsurface_Inputs!$C$44)</f>
        <v/>
      </c>
      <c r="D39" s="50">
        <f>B39+Subsurface_Inputs!$C$44</f>
        <v/>
      </c>
      <c r="E39" s="50">
        <f>B39*Subsurface_Inputs!$C$45</f>
        <v/>
      </c>
      <c r="F39" s="50">
        <f>B39</f>
        <v/>
      </c>
      <c r="G39" s="50">
        <f>B39*Subsurface_Inputs!$C$46</f>
        <v/>
      </c>
      <c r="H39" s="50">
        <f>Subsurface_Live_Data!Y39</f>
        <v/>
      </c>
      <c r="I39" s="50">
        <f>Subsurface_Inputs!$C$47-Subsurface_Inputs!$C$43+2*SIN(2*PI()*A39/42)</f>
        <v/>
      </c>
      <c r="J39" s="50" t="n">
        <v>0</v>
      </c>
    </row>
    <row r="40">
      <c r="A40" s="50">
        <f>Subsurface_Live_Data!A40</f>
        <v/>
      </c>
      <c r="B40" s="50">
        <f>Subsurface_Live_Data!K40</f>
        <v/>
      </c>
      <c r="C40" s="50">
        <f>MAX(0,B40-Subsurface_Inputs!$C$44)</f>
        <v/>
      </c>
      <c r="D40" s="50">
        <f>B40+Subsurface_Inputs!$C$44</f>
        <v/>
      </c>
      <c r="E40" s="50">
        <f>B40*Subsurface_Inputs!$C$45</f>
        <v/>
      </c>
      <c r="F40" s="50">
        <f>B40</f>
        <v/>
      </c>
      <c r="G40" s="50">
        <f>B40*Subsurface_Inputs!$C$46</f>
        <v/>
      </c>
      <c r="H40" s="50">
        <f>Subsurface_Live_Data!Y40</f>
        <v/>
      </c>
      <c r="I40" s="50">
        <f>Subsurface_Inputs!$C$47-Subsurface_Inputs!$C$43+2*SIN(2*PI()*A40/42)</f>
        <v/>
      </c>
      <c r="J40" s="50" t="n">
        <v>0</v>
      </c>
    </row>
    <row r="41">
      <c r="A41" s="50">
        <f>Subsurface_Live_Data!A41</f>
        <v/>
      </c>
      <c r="B41" s="50">
        <f>Subsurface_Live_Data!K41</f>
        <v/>
      </c>
      <c r="C41" s="50">
        <f>MAX(0,B41-Subsurface_Inputs!$C$44)</f>
        <v/>
      </c>
      <c r="D41" s="50">
        <f>B41+Subsurface_Inputs!$C$44</f>
        <v/>
      </c>
      <c r="E41" s="50">
        <f>B41*Subsurface_Inputs!$C$45</f>
        <v/>
      </c>
      <c r="F41" s="50">
        <f>B41</f>
        <v/>
      </c>
      <c r="G41" s="50">
        <f>B41*Subsurface_Inputs!$C$46</f>
        <v/>
      </c>
      <c r="H41" s="50">
        <f>Subsurface_Live_Data!Y41</f>
        <v/>
      </c>
      <c r="I41" s="50">
        <f>Subsurface_Inputs!$C$47-Subsurface_Inputs!$C$43+2*SIN(2*PI()*A41/42)</f>
        <v/>
      </c>
      <c r="J41" s="50" t="n">
        <v>0</v>
      </c>
    </row>
    <row r="42">
      <c r="A42" s="50">
        <f>Subsurface_Live_Data!A42</f>
        <v/>
      </c>
      <c r="B42" s="50">
        <f>Subsurface_Live_Data!K42</f>
        <v/>
      </c>
      <c r="C42" s="50">
        <f>MAX(0,B42-Subsurface_Inputs!$C$44)</f>
        <v/>
      </c>
      <c r="D42" s="50">
        <f>B42+Subsurface_Inputs!$C$44</f>
        <v/>
      </c>
      <c r="E42" s="50">
        <f>B42*Subsurface_Inputs!$C$45</f>
        <v/>
      </c>
      <c r="F42" s="50">
        <f>B42</f>
        <v/>
      </c>
      <c r="G42" s="50">
        <f>B42*Subsurface_Inputs!$C$46</f>
        <v/>
      </c>
      <c r="H42" s="50">
        <f>Subsurface_Live_Data!Y42</f>
        <v/>
      </c>
      <c r="I42" s="50">
        <f>Subsurface_Inputs!$C$47-Subsurface_Inputs!$C$43+2*SIN(2*PI()*A42/42)</f>
        <v/>
      </c>
      <c r="J42" s="50" t="n">
        <v>0</v>
      </c>
    </row>
    <row r="43">
      <c r="A43" s="50">
        <f>Subsurface_Live_Data!A43</f>
        <v/>
      </c>
      <c r="B43" s="50">
        <f>Subsurface_Live_Data!K43</f>
        <v/>
      </c>
      <c r="C43" s="50">
        <f>MAX(0,B43-Subsurface_Inputs!$C$44)</f>
        <v/>
      </c>
      <c r="D43" s="50">
        <f>B43+Subsurface_Inputs!$C$44</f>
        <v/>
      </c>
      <c r="E43" s="50">
        <f>B43*Subsurface_Inputs!$C$45</f>
        <v/>
      </c>
      <c r="F43" s="50">
        <f>B43</f>
        <v/>
      </c>
      <c r="G43" s="50">
        <f>B43*Subsurface_Inputs!$C$46</f>
        <v/>
      </c>
      <c r="H43" s="50">
        <f>Subsurface_Live_Data!Y43</f>
        <v/>
      </c>
      <c r="I43" s="50">
        <f>Subsurface_Inputs!$C$47-Subsurface_Inputs!$C$43+2*SIN(2*PI()*A43/42)</f>
        <v/>
      </c>
      <c r="J43" s="50" t="n">
        <v>0</v>
      </c>
    </row>
    <row r="44">
      <c r="A44" s="50">
        <f>Subsurface_Live_Data!A44</f>
        <v/>
      </c>
      <c r="B44" s="50">
        <f>Subsurface_Live_Data!K44</f>
        <v/>
      </c>
      <c r="C44" s="50">
        <f>MAX(0,B44-Subsurface_Inputs!$C$44)</f>
        <v/>
      </c>
      <c r="D44" s="50">
        <f>B44+Subsurface_Inputs!$C$44</f>
        <v/>
      </c>
      <c r="E44" s="50">
        <f>B44*Subsurface_Inputs!$C$45</f>
        <v/>
      </c>
      <c r="F44" s="50">
        <f>B44</f>
        <v/>
      </c>
      <c r="G44" s="50">
        <f>B44*Subsurface_Inputs!$C$46</f>
        <v/>
      </c>
      <c r="H44" s="50">
        <f>Subsurface_Live_Data!Y44</f>
        <v/>
      </c>
      <c r="I44" s="50">
        <f>Subsurface_Inputs!$C$47-Subsurface_Inputs!$C$43+2*SIN(2*PI()*A44/42)</f>
        <v/>
      </c>
      <c r="J44" s="50" t="n">
        <v>0</v>
      </c>
    </row>
    <row r="45">
      <c r="A45" s="50">
        <f>Subsurface_Live_Data!A45</f>
        <v/>
      </c>
      <c r="B45" s="50">
        <f>Subsurface_Live_Data!K45</f>
        <v/>
      </c>
      <c r="C45" s="50">
        <f>MAX(0,B45-Subsurface_Inputs!$C$44)</f>
        <v/>
      </c>
      <c r="D45" s="50">
        <f>B45+Subsurface_Inputs!$C$44</f>
        <v/>
      </c>
      <c r="E45" s="50">
        <f>B45*Subsurface_Inputs!$C$45</f>
        <v/>
      </c>
      <c r="F45" s="50">
        <f>B45</f>
        <v/>
      </c>
      <c r="G45" s="50">
        <f>B45*Subsurface_Inputs!$C$46</f>
        <v/>
      </c>
      <c r="H45" s="50">
        <f>Subsurface_Live_Data!Y45</f>
        <v/>
      </c>
      <c r="I45" s="50">
        <f>Subsurface_Inputs!$C$47-Subsurface_Inputs!$C$43+2*SIN(2*PI()*A45/42)</f>
        <v/>
      </c>
      <c r="J45" s="50" t="n">
        <v>0</v>
      </c>
    </row>
    <row r="46">
      <c r="A46" s="50">
        <f>Subsurface_Live_Data!A46</f>
        <v/>
      </c>
      <c r="B46" s="50">
        <f>Subsurface_Live_Data!K46</f>
        <v/>
      </c>
      <c r="C46" s="50">
        <f>MAX(0,B46-Subsurface_Inputs!$C$44)</f>
        <v/>
      </c>
      <c r="D46" s="50">
        <f>B46+Subsurface_Inputs!$C$44</f>
        <v/>
      </c>
      <c r="E46" s="50">
        <f>B46*Subsurface_Inputs!$C$45</f>
        <v/>
      </c>
      <c r="F46" s="50">
        <f>B46</f>
        <v/>
      </c>
      <c r="G46" s="50">
        <f>B46*Subsurface_Inputs!$C$46</f>
        <v/>
      </c>
      <c r="H46" s="50">
        <f>Subsurface_Live_Data!Y46</f>
        <v/>
      </c>
      <c r="I46" s="50">
        <f>Subsurface_Inputs!$C$47-Subsurface_Inputs!$C$43+2*SIN(2*PI()*A46/42)</f>
        <v/>
      </c>
      <c r="J46" s="50" t="n">
        <v>0</v>
      </c>
    </row>
    <row r="47">
      <c r="A47" s="50">
        <f>Subsurface_Live_Data!A47</f>
        <v/>
      </c>
      <c r="B47" s="50">
        <f>Subsurface_Live_Data!K47</f>
        <v/>
      </c>
      <c r="C47" s="50">
        <f>MAX(0,B47-Subsurface_Inputs!$C$44)</f>
        <v/>
      </c>
      <c r="D47" s="50">
        <f>B47+Subsurface_Inputs!$C$44</f>
        <v/>
      </c>
      <c r="E47" s="50">
        <f>B47*Subsurface_Inputs!$C$45</f>
        <v/>
      </c>
      <c r="F47" s="50">
        <f>B47</f>
        <v/>
      </c>
      <c r="G47" s="50">
        <f>B47*Subsurface_Inputs!$C$46</f>
        <v/>
      </c>
      <c r="H47" s="50">
        <f>Subsurface_Live_Data!Y47</f>
        <v/>
      </c>
      <c r="I47" s="50">
        <f>Subsurface_Inputs!$C$47-Subsurface_Inputs!$C$43+2*SIN(2*PI()*A47/42)</f>
        <v/>
      </c>
      <c r="J47" s="50" t="n">
        <v>0</v>
      </c>
    </row>
    <row r="48">
      <c r="A48" s="50">
        <f>Subsurface_Live_Data!A48</f>
        <v/>
      </c>
      <c r="B48" s="50">
        <f>Subsurface_Live_Data!K48</f>
        <v/>
      </c>
      <c r="C48" s="50">
        <f>MAX(0,B48-Subsurface_Inputs!$C$44)</f>
        <v/>
      </c>
      <c r="D48" s="50">
        <f>B48+Subsurface_Inputs!$C$44</f>
        <v/>
      </c>
      <c r="E48" s="50">
        <f>B48*Subsurface_Inputs!$C$45</f>
        <v/>
      </c>
      <c r="F48" s="50">
        <f>B48</f>
        <v/>
      </c>
      <c r="G48" s="50">
        <f>B48*Subsurface_Inputs!$C$46</f>
        <v/>
      </c>
      <c r="H48" s="50">
        <f>Subsurface_Live_Data!Y48</f>
        <v/>
      </c>
      <c r="I48" s="50">
        <f>Subsurface_Inputs!$C$47-Subsurface_Inputs!$C$43+2*SIN(2*PI()*A48/42)</f>
        <v/>
      </c>
      <c r="J48" s="50" t="n">
        <v>0</v>
      </c>
    </row>
    <row r="49">
      <c r="A49" s="50">
        <f>Subsurface_Live_Data!A49</f>
        <v/>
      </c>
      <c r="B49" s="50">
        <f>Subsurface_Live_Data!K49</f>
        <v/>
      </c>
      <c r="C49" s="50">
        <f>MAX(0,B49-Subsurface_Inputs!$C$44)</f>
        <v/>
      </c>
      <c r="D49" s="50">
        <f>B49+Subsurface_Inputs!$C$44</f>
        <v/>
      </c>
      <c r="E49" s="50">
        <f>B49*Subsurface_Inputs!$C$45</f>
        <v/>
      </c>
      <c r="F49" s="50">
        <f>B49</f>
        <v/>
      </c>
      <c r="G49" s="50">
        <f>B49*Subsurface_Inputs!$C$46</f>
        <v/>
      </c>
      <c r="H49" s="50">
        <f>Subsurface_Live_Data!Y49</f>
        <v/>
      </c>
      <c r="I49" s="50">
        <f>Subsurface_Inputs!$C$47-Subsurface_Inputs!$C$43+2*SIN(2*PI()*A49/42)</f>
        <v/>
      </c>
      <c r="J49" s="50" t="n">
        <v>0</v>
      </c>
    </row>
    <row r="50">
      <c r="A50" s="50">
        <f>Subsurface_Live_Data!A50</f>
        <v/>
      </c>
      <c r="B50" s="50">
        <f>Subsurface_Live_Data!K50</f>
        <v/>
      </c>
      <c r="C50" s="50">
        <f>MAX(0,B50-Subsurface_Inputs!$C$44)</f>
        <v/>
      </c>
      <c r="D50" s="50">
        <f>B50+Subsurface_Inputs!$C$44</f>
        <v/>
      </c>
      <c r="E50" s="50">
        <f>B50*Subsurface_Inputs!$C$45</f>
        <v/>
      </c>
      <c r="F50" s="50">
        <f>B50</f>
        <v/>
      </c>
      <c r="G50" s="50">
        <f>B50*Subsurface_Inputs!$C$46</f>
        <v/>
      </c>
      <c r="H50" s="50">
        <f>Subsurface_Live_Data!Y50</f>
        <v/>
      </c>
      <c r="I50" s="50">
        <f>Subsurface_Inputs!$C$47-Subsurface_Inputs!$C$43+2*SIN(2*PI()*A50/42)</f>
        <v/>
      </c>
      <c r="J50" s="50" t="n">
        <v>0</v>
      </c>
    </row>
    <row r="51">
      <c r="A51" s="50">
        <f>Subsurface_Live_Data!A51</f>
        <v/>
      </c>
      <c r="B51" s="50">
        <f>Subsurface_Live_Data!K51</f>
        <v/>
      </c>
      <c r="C51" s="50">
        <f>MAX(0,B51-Subsurface_Inputs!$C$44)</f>
        <v/>
      </c>
      <c r="D51" s="50">
        <f>B51+Subsurface_Inputs!$C$44</f>
        <v/>
      </c>
      <c r="E51" s="50">
        <f>B51*Subsurface_Inputs!$C$45</f>
        <v/>
      </c>
      <c r="F51" s="50">
        <f>B51</f>
        <v/>
      </c>
      <c r="G51" s="50">
        <f>B51*Subsurface_Inputs!$C$46</f>
        <v/>
      </c>
      <c r="H51" s="50">
        <f>Subsurface_Live_Data!Y51</f>
        <v/>
      </c>
      <c r="I51" s="50">
        <f>Subsurface_Inputs!$C$47-Subsurface_Inputs!$C$43+2*SIN(2*PI()*A51/42)</f>
        <v/>
      </c>
      <c r="J51" s="50" t="n">
        <v>0</v>
      </c>
    </row>
    <row r="52">
      <c r="A52" s="50">
        <f>Subsurface_Live_Data!A52</f>
        <v/>
      </c>
      <c r="B52" s="50">
        <f>Subsurface_Live_Data!K52</f>
        <v/>
      </c>
      <c r="C52" s="50">
        <f>MAX(0,B52-Subsurface_Inputs!$C$44)</f>
        <v/>
      </c>
      <c r="D52" s="50">
        <f>B52+Subsurface_Inputs!$C$44</f>
        <v/>
      </c>
      <c r="E52" s="50">
        <f>B52*Subsurface_Inputs!$C$45</f>
        <v/>
      </c>
      <c r="F52" s="50">
        <f>B52</f>
        <v/>
      </c>
      <c r="G52" s="50">
        <f>B52*Subsurface_Inputs!$C$46</f>
        <v/>
      </c>
      <c r="H52" s="50">
        <f>Subsurface_Live_Data!Y52</f>
        <v/>
      </c>
      <c r="I52" s="50">
        <f>Subsurface_Inputs!$C$47-Subsurface_Inputs!$C$43+2*SIN(2*PI()*A52/42)</f>
        <v/>
      </c>
      <c r="J52" s="50" t="n">
        <v>0</v>
      </c>
    </row>
    <row r="53">
      <c r="A53" s="50">
        <f>Subsurface_Live_Data!A53</f>
        <v/>
      </c>
      <c r="B53" s="50">
        <f>Subsurface_Live_Data!K53</f>
        <v/>
      </c>
      <c r="C53" s="50">
        <f>MAX(0,B53-Subsurface_Inputs!$C$44)</f>
        <v/>
      </c>
      <c r="D53" s="50">
        <f>B53+Subsurface_Inputs!$C$44</f>
        <v/>
      </c>
      <c r="E53" s="50">
        <f>B53*Subsurface_Inputs!$C$45</f>
        <v/>
      </c>
      <c r="F53" s="50">
        <f>B53</f>
        <v/>
      </c>
      <c r="G53" s="50">
        <f>B53*Subsurface_Inputs!$C$46</f>
        <v/>
      </c>
      <c r="H53" s="50">
        <f>Subsurface_Live_Data!Y53</f>
        <v/>
      </c>
      <c r="I53" s="50">
        <f>Subsurface_Inputs!$C$47-Subsurface_Inputs!$C$43+2*SIN(2*PI()*A53/42)</f>
        <v/>
      </c>
      <c r="J53" s="50" t="n">
        <v>0</v>
      </c>
    </row>
    <row r="54">
      <c r="A54" s="50">
        <f>Subsurface_Live_Data!A54</f>
        <v/>
      </c>
      <c r="B54" s="50">
        <f>Subsurface_Live_Data!K54</f>
        <v/>
      </c>
      <c r="C54" s="50">
        <f>MAX(0,B54-Subsurface_Inputs!$C$44)</f>
        <v/>
      </c>
      <c r="D54" s="50">
        <f>B54+Subsurface_Inputs!$C$44</f>
        <v/>
      </c>
      <c r="E54" s="50">
        <f>B54*Subsurface_Inputs!$C$45</f>
        <v/>
      </c>
      <c r="F54" s="50">
        <f>B54</f>
        <v/>
      </c>
      <c r="G54" s="50">
        <f>B54*Subsurface_Inputs!$C$46</f>
        <v/>
      </c>
      <c r="H54" s="50">
        <f>Subsurface_Live_Data!Y54</f>
        <v/>
      </c>
      <c r="I54" s="50">
        <f>Subsurface_Inputs!$C$47-Subsurface_Inputs!$C$43+2*SIN(2*PI()*A54/42)</f>
        <v/>
      </c>
      <c r="J54" s="50" t="n">
        <v>0</v>
      </c>
    </row>
    <row r="55">
      <c r="A55" s="50">
        <f>Subsurface_Live_Data!A55</f>
        <v/>
      </c>
      <c r="B55" s="50">
        <f>Subsurface_Live_Data!K55</f>
        <v/>
      </c>
      <c r="C55" s="50">
        <f>MAX(0,B55-Subsurface_Inputs!$C$44)</f>
        <v/>
      </c>
      <c r="D55" s="50">
        <f>B55+Subsurface_Inputs!$C$44</f>
        <v/>
      </c>
      <c r="E55" s="50">
        <f>B55*Subsurface_Inputs!$C$45</f>
        <v/>
      </c>
      <c r="F55" s="50">
        <f>B55</f>
        <v/>
      </c>
      <c r="G55" s="50">
        <f>B55*Subsurface_Inputs!$C$46</f>
        <v/>
      </c>
      <c r="H55" s="50">
        <f>Subsurface_Live_Data!Y55</f>
        <v/>
      </c>
      <c r="I55" s="50">
        <f>Subsurface_Inputs!$C$47-Subsurface_Inputs!$C$43+2*SIN(2*PI()*A55/42)</f>
        <v/>
      </c>
      <c r="J55" s="50" t="n">
        <v>0</v>
      </c>
    </row>
    <row r="56">
      <c r="A56" s="50">
        <f>Subsurface_Live_Data!A56</f>
        <v/>
      </c>
      <c r="B56" s="50">
        <f>Subsurface_Live_Data!K56</f>
        <v/>
      </c>
      <c r="C56" s="50">
        <f>MAX(0,B56-Subsurface_Inputs!$C$44)</f>
        <v/>
      </c>
      <c r="D56" s="50">
        <f>B56+Subsurface_Inputs!$C$44</f>
        <v/>
      </c>
      <c r="E56" s="50">
        <f>B56*Subsurface_Inputs!$C$45</f>
        <v/>
      </c>
      <c r="F56" s="50">
        <f>B56</f>
        <v/>
      </c>
      <c r="G56" s="50">
        <f>B56*Subsurface_Inputs!$C$46</f>
        <v/>
      </c>
      <c r="H56" s="50">
        <f>Subsurface_Live_Data!Y56</f>
        <v/>
      </c>
      <c r="I56" s="50">
        <f>Subsurface_Inputs!$C$47-Subsurface_Inputs!$C$43+2*SIN(2*PI()*A56/42)</f>
        <v/>
      </c>
      <c r="J56" s="50" t="n">
        <v>0</v>
      </c>
    </row>
    <row r="57">
      <c r="A57" s="50">
        <f>Subsurface_Live_Data!A57</f>
        <v/>
      </c>
      <c r="B57" s="50">
        <f>Subsurface_Live_Data!K57</f>
        <v/>
      </c>
      <c r="C57" s="50">
        <f>MAX(0,B57-Subsurface_Inputs!$C$44)</f>
        <v/>
      </c>
      <c r="D57" s="50">
        <f>B57+Subsurface_Inputs!$C$44</f>
        <v/>
      </c>
      <c r="E57" s="50">
        <f>B57*Subsurface_Inputs!$C$45</f>
        <v/>
      </c>
      <c r="F57" s="50">
        <f>B57</f>
        <v/>
      </c>
      <c r="G57" s="50">
        <f>B57*Subsurface_Inputs!$C$46</f>
        <v/>
      </c>
      <c r="H57" s="50">
        <f>Subsurface_Live_Data!Y57</f>
        <v/>
      </c>
      <c r="I57" s="50">
        <f>Subsurface_Inputs!$C$47-Subsurface_Inputs!$C$43+2*SIN(2*PI()*A57/42)</f>
        <v/>
      </c>
      <c r="J57" s="50" t="n">
        <v>0</v>
      </c>
    </row>
    <row r="58">
      <c r="A58" s="50">
        <f>Subsurface_Live_Data!A58</f>
        <v/>
      </c>
      <c r="B58" s="50">
        <f>Subsurface_Live_Data!K58</f>
        <v/>
      </c>
      <c r="C58" s="50">
        <f>MAX(0,B58-Subsurface_Inputs!$C$44)</f>
        <v/>
      </c>
      <c r="D58" s="50">
        <f>B58+Subsurface_Inputs!$C$44</f>
        <v/>
      </c>
      <c r="E58" s="50">
        <f>B58*Subsurface_Inputs!$C$45</f>
        <v/>
      </c>
      <c r="F58" s="50">
        <f>B58</f>
        <v/>
      </c>
      <c r="G58" s="50">
        <f>B58*Subsurface_Inputs!$C$46</f>
        <v/>
      </c>
      <c r="H58" s="50">
        <f>Subsurface_Live_Data!Y58</f>
        <v/>
      </c>
      <c r="I58" s="50">
        <f>Subsurface_Inputs!$C$47-Subsurface_Inputs!$C$43+2*SIN(2*PI()*A58/42)</f>
        <v/>
      </c>
      <c r="J58" s="50" t="n">
        <v>0</v>
      </c>
    </row>
    <row r="59">
      <c r="A59" s="50">
        <f>Subsurface_Live_Data!A59</f>
        <v/>
      </c>
      <c r="B59" s="50">
        <f>Subsurface_Live_Data!K59</f>
        <v/>
      </c>
      <c r="C59" s="50">
        <f>MAX(0,B59-Subsurface_Inputs!$C$44)</f>
        <v/>
      </c>
      <c r="D59" s="50">
        <f>B59+Subsurface_Inputs!$C$44</f>
        <v/>
      </c>
      <c r="E59" s="50">
        <f>B59*Subsurface_Inputs!$C$45</f>
        <v/>
      </c>
      <c r="F59" s="50">
        <f>B59</f>
        <v/>
      </c>
      <c r="G59" s="50">
        <f>B59*Subsurface_Inputs!$C$46</f>
        <v/>
      </c>
      <c r="H59" s="50">
        <f>Subsurface_Live_Data!Y59</f>
        <v/>
      </c>
      <c r="I59" s="50">
        <f>Subsurface_Inputs!$C$47-Subsurface_Inputs!$C$43+2*SIN(2*PI()*A59/42)</f>
        <v/>
      </c>
      <c r="J59" s="50" t="n">
        <v>0</v>
      </c>
    </row>
    <row r="60">
      <c r="A60" s="50">
        <f>Subsurface_Live_Data!A60</f>
        <v/>
      </c>
      <c r="B60" s="50">
        <f>Subsurface_Live_Data!K60</f>
        <v/>
      </c>
      <c r="C60" s="50">
        <f>MAX(0,B60-Subsurface_Inputs!$C$44)</f>
        <v/>
      </c>
      <c r="D60" s="50">
        <f>B60+Subsurface_Inputs!$C$44</f>
        <v/>
      </c>
      <c r="E60" s="50">
        <f>B60*Subsurface_Inputs!$C$45</f>
        <v/>
      </c>
      <c r="F60" s="50">
        <f>B60</f>
        <v/>
      </c>
      <c r="G60" s="50">
        <f>B60*Subsurface_Inputs!$C$46</f>
        <v/>
      </c>
      <c r="H60" s="50">
        <f>Subsurface_Live_Data!Y60</f>
        <v/>
      </c>
      <c r="I60" s="50">
        <f>Subsurface_Inputs!$C$47-Subsurface_Inputs!$C$43+2*SIN(2*PI()*A60/42)</f>
        <v/>
      </c>
      <c r="J60" s="50" t="n">
        <v>0</v>
      </c>
    </row>
    <row r="61">
      <c r="A61" s="50">
        <f>Subsurface_Live_Data!A61</f>
        <v/>
      </c>
      <c r="B61" s="50">
        <f>Subsurface_Live_Data!K61</f>
        <v/>
      </c>
      <c r="C61" s="50">
        <f>MAX(0,B61-Subsurface_Inputs!$C$44)</f>
        <v/>
      </c>
      <c r="D61" s="50">
        <f>B61+Subsurface_Inputs!$C$44</f>
        <v/>
      </c>
      <c r="E61" s="50">
        <f>B61*Subsurface_Inputs!$C$45</f>
        <v/>
      </c>
      <c r="F61" s="50">
        <f>B61</f>
        <v/>
      </c>
      <c r="G61" s="50">
        <f>B61*Subsurface_Inputs!$C$46</f>
        <v/>
      </c>
      <c r="H61" s="50">
        <f>Subsurface_Live_Data!Y61</f>
        <v/>
      </c>
      <c r="I61" s="50">
        <f>Subsurface_Inputs!$C$47-Subsurface_Inputs!$C$43+2*SIN(2*PI()*A61/42)</f>
        <v/>
      </c>
      <c r="J61" s="50" t="n">
        <v>0</v>
      </c>
    </row>
    <row r="62">
      <c r="A62" s="50">
        <f>Subsurface_Live_Data!A62</f>
        <v/>
      </c>
      <c r="B62" s="50">
        <f>Subsurface_Live_Data!K62</f>
        <v/>
      </c>
      <c r="C62" s="50">
        <f>MAX(0,B62-Subsurface_Inputs!$C$44)</f>
        <v/>
      </c>
      <c r="D62" s="50">
        <f>B62+Subsurface_Inputs!$C$44</f>
        <v/>
      </c>
      <c r="E62" s="50">
        <f>B62*Subsurface_Inputs!$C$45</f>
        <v/>
      </c>
      <c r="F62" s="50">
        <f>B62</f>
        <v/>
      </c>
      <c r="G62" s="50">
        <f>B62*Subsurface_Inputs!$C$46</f>
        <v/>
      </c>
      <c r="H62" s="50">
        <f>Subsurface_Live_Data!Y62</f>
        <v/>
      </c>
      <c r="I62" s="50">
        <f>Subsurface_Inputs!$C$47-Subsurface_Inputs!$C$43+2*SIN(2*PI()*A62/42)</f>
        <v/>
      </c>
      <c r="J62" s="50" t="n">
        <v>0</v>
      </c>
    </row>
    <row r="63">
      <c r="A63" s="50">
        <f>Subsurface_Live_Data!A63</f>
        <v/>
      </c>
      <c r="B63" s="50">
        <f>Subsurface_Live_Data!K63</f>
        <v/>
      </c>
      <c r="C63" s="50">
        <f>MAX(0,B63-Subsurface_Inputs!$C$44)</f>
        <v/>
      </c>
      <c r="D63" s="50">
        <f>B63+Subsurface_Inputs!$C$44</f>
        <v/>
      </c>
      <c r="E63" s="50">
        <f>B63*Subsurface_Inputs!$C$45</f>
        <v/>
      </c>
      <c r="F63" s="50">
        <f>B63</f>
        <v/>
      </c>
      <c r="G63" s="50">
        <f>B63*Subsurface_Inputs!$C$46</f>
        <v/>
      </c>
      <c r="H63" s="50">
        <f>Subsurface_Live_Data!Y63</f>
        <v/>
      </c>
      <c r="I63" s="50">
        <f>Subsurface_Inputs!$C$47-Subsurface_Inputs!$C$43+2*SIN(2*PI()*A63/42)</f>
        <v/>
      </c>
      <c r="J63" s="50" t="n">
        <v>0</v>
      </c>
    </row>
    <row r="64">
      <c r="A64" s="50">
        <f>Subsurface_Live_Data!A64</f>
        <v/>
      </c>
      <c r="B64" s="50">
        <f>Subsurface_Live_Data!K64</f>
        <v/>
      </c>
      <c r="C64" s="50">
        <f>MAX(0,B64-Subsurface_Inputs!$C$44)</f>
        <v/>
      </c>
      <c r="D64" s="50">
        <f>B64+Subsurface_Inputs!$C$44</f>
        <v/>
      </c>
      <c r="E64" s="50">
        <f>B64*Subsurface_Inputs!$C$45</f>
        <v/>
      </c>
      <c r="F64" s="50">
        <f>B64</f>
        <v/>
      </c>
      <c r="G64" s="50">
        <f>B64*Subsurface_Inputs!$C$46</f>
        <v/>
      </c>
      <c r="H64" s="50">
        <f>Subsurface_Live_Data!Y64</f>
        <v/>
      </c>
      <c r="I64" s="50">
        <f>Subsurface_Inputs!$C$47-Subsurface_Inputs!$C$43+2*SIN(2*PI()*A64/42)</f>
        <v/>
      </c>
      <c r="J64" s="50" t="n">
        <v>0</v>
      </c>
    </row>
    <row r="65">
      <c r="A65" s="50">
        <f>Subsurface_Live_Data!A65</f>
        <v/>
      </c>
      <c r="B65" s="50">
        <f>Subsurface_Live_Data!K65</f>
        <v/>
      </c>
      <c r="C65" s="50">
        <f>MAX(0,B65-Subsurface_Inputs!$C$44)</f>
        <v/>
      </c>
      <c r="D65" s="50">
        <f>B65+Subsurface_Inputs!$C$44</f>
        <v/>
      </c>
      <c r="E65" s="50">
        <f>B65*Subsurface_Inputs!$C$45</f>
        <v/>
      </c>
      <c r="F65" s="50">
        <f>B65</f>
        <v/>
      </c>
      <c r="G65" s="50">
        <f>B65*Subsurface_Inputs!$C$46</f>
        <v/>
      </c>
      <c r="H65" s="50">
        <f>Subsurface_Live_Data!Y65</f>
        <v/>
      </c>
      <c r="I65" s="50">
        <f>Subsurface_Inputs!$C$47-Subsurface_Inputs!$C$43+2*SIN(2*PI()*A65/42)</f>
        <v/>
      </c>
      <c r="J65" s="50" t="n">
        <v>0</v>
      </c>
    </row>
    <row r="66">
      <c r="A66" s="50">
        <f>Subsurface_Live_Data!A66</f>
        <v/>
      </c>
      <c r="B66" s="50">
        <f>Subsurface_Live_Data!K66</f>
        <v/>
      </c>
      <c r="C66" s="50">
        <f>MAX(0,B66-Subsurface_Inputs!$C$44)</f>
        <v/>
      </c>
      <c r="D66" s="50">
        <f>B66+Subsurface_Inputs!$C$44</f>
        <v/>
      </c>
      <c r="E66" s="50">
        <f>B66*Subsurface_Inputs!$C$45</f>
        <v/>
      </c>
      <c r="F66" s="50">
        <f>B66</f>
        <v/>
      </c>
      <c r="G66" s="50">
        <f>B66*Subsurface_Inputs!$C$46</f>
        <v/>
      </c>
      <c r="H66" s="50">
        <f>Subsurface_Live_Data!Y66</f>
        <v/>
      </c>
      <c r="I66" s="50">
        <f>Subsurface_Inputs!$C$47-Subsurface_Inputs!$C$43+2*SIN(2*PI()*A66/42)</f>
        <v/>
      </c>
      <c r="J66" s="50" t="n">
        <v>0</v>
      </c>
    </row>
    <row r="67">
      <c r="A67" s="50">
        <f>Subsurface_Live_Data!A67</f>
        <v/>
      </c>
      <c r="B67" s="50">
        <f>Subsurface_Live_Data!K67</f>
        <v/>
      </c>
      <c r="C67" s="50">
        <f>MAX(0,B67-Subsurface_Inputs!$C$44)</f>
        <v/>
      </c>
      <c r="D67" s="50">
        <f>B67+Subsurface_Inputs!$C$44</f>
        <v/>
      </c>
      <c r="E67" s="50">
        <f>B67*Subsurface_Inputs!$C$45</f>
        <v/>
      </c>
      <c r="F67" s="50">
        <f>B67</f>
        <v/>
      </c>
      <c r="G67" s="50">
        <f>B67*Subsurface_Inputs!$C$46</f>
        <v/>
      </c>
      <c r="H67" s="50">
        <f>Subsurface_Live_Data!Y67</f>
        <v/>
      </c>
      <c r="I67" s="50">
        <f>Subsurface_Inputs!$C$47-Subsurface_Inputs!$C$43+2*SIN(2*PI()*A67/42)</f>
        <v/>
      </c>
      <c r="J67" s="50" t="n">
        <v>0</v>
      </c>
    </row>
    <row r="68">
      <c r="A68" s="50">
        <f>Subsurface_Live_Data!A68</f>
        <v/>
      </c>
      <c r="B68" s="50">
        <f>Subsurface_Live_Data!K68</f>
        <v/>
      </c>
      <c r="C68" s="50">
        <f>MAX(0,B68-Subsurface_Inputs!$C$44)</f>
        <v/>
      </c>
      <c r="D68" s="50">
        <f>B68+Subsurface_Inputs!$C$44</f>
        <v/>
      </c>
      <c r="E68" s="50">
        <f>B68*Subsurface_Inputs!$C$45</f>
        <v/>
      </c>
      <c r="F68" s="50">
        <f>B68</f>
        <v/>
      </c>
      <c r="G68" s="50">
        <f>B68*Subsurface_Inputs!$C$46</f>
        <v/>
      </c>
      <c r="H68" s="50">
        <f>Subsurface_Live_Data!Y68</f>
        <v/>
      </c>
      <c r="I68" s="50">
        <f>Subsurface_Inputs!$C$47-Subsurface_Inputs!$C$43+2*SIN(2*PI()*A68/42)</f>
        <v/>
      </c>
      <c r="J68" s="50" t="n">
        <v>0</v>
      </c>
    </row>
    <row r="69">
      <c r="A69" s="50">
        <f>Subsurface_Live_Data!A69</f>
        <v/>
      </c>
      <c r="B69" s="50">
        <f>Subsurface_Live_Data!K69</f>
        <v/>
      </c>
      <c r="C69" s="50">
        <f>MAX(0,B69-Subsurface_Inputs!$C$44)</f>
        <v/>
      </c>
      <c r="D69" s="50">
        <f>B69+Subsurface_Inputs!$C$44</f>
        <v/>
      </c>
      <c r="E69" s="50">
        <f>B69*Subsurface_Inputs!$C$45</f>
        <v/>
      </c>
      <c r="F69" s="50">
        <f>B69</f>
        <v/>
      </c>
      <c r="G69" s="50">
        <f>B69*Subsurface_Inputs!$C$46</f>
        <v/>
      </c>
      <c r="H69" s="50">
        <f>Subsurface_Live_Data!Y69</f>
        <v/>
      </c>
      <c r="I69" s="50">
        <f>Subsurface_Inputs!$C$47-Subsurface_Inputs!$C$43+2*SIN(2*PI()*A69/42)</f>
        <v/>
      </c>
      <c r="J69" s="50" t="n">
        <v>0</v>
      </c>
    </row>
    <row r="70">
      <c r="A70" s="50">
        <f>Subsurface_Live_Data!A70</f>
        <v/>
      </c>
      <c r="B70" s="50">
        <f>Subsurface_Live_Data!K70</f>
        <v/>
      </c>
      <c r="C70" s="50">
        <f>MAX(0,B70-Subsurface_Inputs!$C$44)</f>
        <v/>
      </c>
      <c r="D70" s="50">
        <f>B70+Subsurface_Inputs!$C$44</f>
        <v/>
      </c>
      <c r="E70" s="50">
        <f>B70*Subsurface_Inputs!$C$45</f>
        <v/>
      </c>
      <c r="F70" s="50">
        <f>B70</f>
        <v/>
      </c>
      <c r="G70" s="50">
        <f>B70*Subsurface_Inputs!$C$46</f>
        <v/>
      </c>
      <c r="H70" s="50">
        <f>Subsurface_Live_Data!Y70</f>
        <v/>
      </c>
      <c r="I70" s="50">
        <f>Subsurface_Inputs!$C$47-Subsurface_Inputs!$C$43+2*SIN(2*PI()*A70/42)</f>
        <v/>
      </c>
      <c r="J70" s="50" t="n">
        <v>0</v>
      </c>
    </row>
    <row r="71">
      <c r="A71" s="50">
        <f>Subsurface_Live_Data!A71</f>
        <v/>
      </c>
      <c r="B71" s="50">
        <f>Subsurface_Live_Data!K71</f>
        <v/>
      </c>
      <c r="C71" s="50">
        <f>MAX(0,B71-Subsurface_Inputs!$C$44)</f>
        <v/>
      </c>
      <c r="D71" s="50">
        <f>B71+Subsurface_Inputs!$C$44</f>
        <v/>
      </c>
      <c r="E71" s="50">
        <f>B71*Subsurface_Inputs!$C$45</f>
        <v/>
      </c>
      <c r="F71" s="50">
        <f>B71</f>
        <v/>
      </c>
      <c r="G71" s="50">
        <f>B71*Subsurface_Inputs!$C$46</f>
        <v/>
      </c>
      <c r="H71" s="50">
        <f>Subsurface_Live_Data!Y71</f>
        <v/>
      </c>
      <c r="I71" s="50">
        <f>Subsurface_Inputs!$C$47-Subsurface_Inputs!$C$43+2*SIN(2*PI()*A71/42)</f>
        <v/>
      </c>
      <c r="J71" s="50" t="n">
        <v>0</v>
      </c>
    </row>
    <row r="72">
      <c r="A72" s="50">
        <f>Subsurface_Live_Data!A72</f>
        <v/>
      </c>
      <c r="B72" s="50">
        <f>Subsurface_Live_Data!K72</f>
        <v/>
      </c>
      <c r="C72" s="50">
        <f>MAX(0,B72-Subsurface_Inputs!$C$44)</f>
        <v/>
      </c>
      <c r="D72" s="50">
        <f>B72+Subsurface_Inputs!$C$44</f>
        <v/>
      </c>
      <c r="E72" s="50">
        <f>B72*Subsurface_Inputs!$C$45</f>
        <v/>
      </c>
      <c r="F72" s="50">
        <f>B72</f>
        <v/>
      </c>
      <c r="G72" s="50">
        <f>B72*Subsurface_Inputs!$C$46</f>
        <v/>
      </c>
      <c r="H72" s="50">
        <f>Subsurface_Live_Data!Y72</f>
        <v/>
      </c>
      <c r="I72" s="50">
        <f>Subsurface_Inputs!$C$47-Subsurface_Inputs!$C$43+2*SIN(2*PI()*A72/42)</f>
        <v/>
      </c>
      <c r="J72" s="50" t="n">
        <v>0</v>
      </c>
    </row>
    <row r="73">
      <c r="A73" s="50">
        <f>Subsurface_Live_Data!A73</f>
        <v/>
      </c>
      <c r="B73" s="50">
        <f>Subsurface_Live_Data!K73</f>
        <v/>
      </c>
      <c r="C73" s="50">
        <f>MAX(0,B73-Subsurface_Inputs!$C$44)</f>
        <v/>
      </c>
      <c r="D73" s="50">
        <f>B73+Subsurface_Inputs!$C$44</f>
        <v/>
      </c>
      <c r="E73" s="50">
        <f>B73*Subsurface_Inputs!$C$45</f>
        <v/>
      </c>
      <c r="F73" s="50">
        <f>B73</f>
        <v/>
      </c>
      <c r="G73" s="50">
        <f>B73*Subsurface_Inputs!$C$46</f>
        <v/>
      </c>
      <c r="H73" s="50">
        <f>Subsurface_Live_Data!Y73</f>
        <v/>
      </c>
      <c r="I73" s="50">
        <f>Subsurface_Inputs!$C$47-Subsurface_Inputs!$C$43+2*SIN(2*PI()*A73/42)</f>
        <v/>
      </c>
      <c r="J73" s="50" t="n">
        <v>0</v>
      </c>
    </row>
    <row r="74">
      <c r="A74" s="50">
        <f>Subsurface_Live_Data!A74</f>
        <v/>
      </c>
      <c r="B74" s="50">
        <f>Subsurface_Live_Data!K74</f>
        <v/>
      </c>
      <c r="C74" s="50">
        <f>MAX(0,B74-Subsurface_Inputs!$C$44)</f>
        <v/>
      </c>
      <c r="D74" s="50">
        <f>B74+Subsurface_Inputs!$C$44</f>
        <v/>
      </c>
      <c r="E74" s="50">
        <f>B74*Subsurface_Inputs!$C$45</f>
        <v/>
      </c>
      <c r="F74" s="50">
        <f>B74</f>
        <v/>
      </c>
      <c r="G74" s="50">
        <f>B74*Subsurface_Inputs!$C$46</f>
        <v/>
      </c>
      <c r="H74" s="50">
        <f>Subsurface_Live_Data!Y74</f>
        <v/>
      </c>
      <c r="I74" s="50">
        <f>Subsurface_Inputs!$C$47-Subsurface_Inputs!$C$43+2*SIN(2*PI()*A74/42)</f>
        <v/>
      </c>
      <c r="J74" s="50" t="n">
        <v>0</v>
      </c>
    </row>
    <row r="75">
      <c r="A75" s="50">
        <f>Subsurface_Live_Data!A75</f>
        <v/>
      </c>
      <c r="B75" s="50">
        <f>Subsurface_Live_Data!K75</f>
        <v/>
      </c>
      <c r="C75" s="50">
        <f>MAX(0,B75-Subsurface_Inputs!$C$44)</f>
        <v/>
      </c>
      <c r="D75" s="50">
        <f>B75+Subsurface_Inputs!$C$44</f>
        <v/>
      </c>
      <c r="E75" s="50">
        <f>B75*Subsurface_Inputs!$C$45</f>
        <v/>
      </c>
      <c r="F75" s="50">
        <f>B75</f>
        <v/>
      </c>
      <c r="G75" s="50">
        <f>B75*Subsurface_Inputs!$C$46</f>
        <v/>
      </c>
      <c r="H75" s="50">
        <f>Subsurface_Live_Data!Y75</f>
        <v/>
      </c>
      <c r="I75" s="50">
        <f>Subsurface_Inputs!$C$47-Subsurface_Inputs!$C$43+2*SIN(2*PI()*A75/42)</f>
        <v/>
      </c>
      <c r="J75" s="50" t="n">
        <v>0</v>
      </c>
    </row>
    <row r="76">
      <c r="A76" s="50">
        <f>Subsurface_Live_Data!A76</f>
        <v/>
      </c>
      <c r="B76" s="50">
        <f>Subsurface_Live_Data!K76</f>
        <v/>
      </c>
      <c r="C76" s="50">
        <f>MAX(0,B76-Subsurface_Inputs!$C$44)</f>
        <v/>
      </c>
      <c r="D76" s="50">
        <f>B76+Subsurface_Inputs!$C$44</f>
        <v/>
      </c>
      <c r="E76" s="50">
        <f>B76*Subsurface_Inputs!$C$45</f>
        <v/>
      </c>
      <c r="F76" s="50">
        <f>B76</f>
        <v/>
      </c>
      <c r="G76" s="50">
        <f>B76*Subsurface_Inputs!$C$46</f>
        <v/>
      </c>
      <c r="H76" s="50">
        <f>Subsurface_Live_Data!Y76</f>
        <v/>
      </c>
      <c r="I76" s="50">
        <f>Subsurface_Inputs!$C$47-Subsurface_Inputs!$C$43+2*SIN(2*PI()*A76/42)</f>
        <v/>
      </c>
      <c r="J76" s="50" t="n">
        <v>0</v>
      </c>
    </row>
    <row r="77">
      <c r="A77" s="50">
        <f>Subsurface_Live_Data!A77</f>
        <v/>
      </c>
      <c r="B77" s="50">
        <f>Subsurface_Live_Data!K77</f>
        <v/>
      </c>
      <c r="C77" s="50">
        <f>MAX(0,B77-Subsurface_Inputs!$C$44)</f>
        <v/>
      </c>
      <c r="D77" s="50">
        <f>B77+Subsurface_Inputs!$C$44</f>
        <v/>
      </c>
      <c r="E77" s="50">
        <f>B77*Subsurface_Inputs!$C$45</f>
        <v/>
      </c>
      <c r="F77" s="50">
        <f>B77</f>
        <v/>
      </c>
      <c r="G77" s="50">
        <f>B77*Subsurface_Inputs!$C$46</f>
        <v/>
      </c>
      <c r="H77" s="50">
        <f>Subsurface_Live_Data!Y77</f>
        <v/>
      </c>
      <c r="I77" s="50">
        <f>Subsurface_Inputs!$C$47-Subsurface_Inputs!$C$43+2*SIN(2*PI()*A77/42)</f>
        <v/>
      </c>
      <c r="J77" s="50" t="n">
        <v>0</v>
      </c>
    </row>
    <row r="78">
      <c r="A78" s="50">
        <f>Subsurface_Live_Data!A78</f>
        <v/>
      </c>
      <c r="B78" s="50">
        <f>Subsurface_Live_Data!K78</f>
        <v/>
      </c>
      <c r="C78" s="50">
        <f>MAX(0,B78-Subsurface_Inputs!$C$44)</f>
        <v/>
      </c>
      <c r="D78" s="50">
        <f>B78+Subsurface_Inputs!$C$44</f>
        <v/>
      </c>
      <c r="E78" s="50">
        <f>B78*Subsurface_Inputs!$C$45</f>
        <v/>
      </c>
      <c r="F78" s="50">
        <f>B78</f>
        <v/>
      </c>
      <c r="G78" s="50">
        <f>B78*Subsurface_Inputs!$C$46</f>
        <v/>
      </c>
      <c r="H78" s="50">
        <f>Subsurface_Live_Data!Y78</f>
        <v/>
      </c>
      <c r="I78" s="50">
        <f>Subsurface_Inputs!$C$47-Subsurface_Inputs!$C$43+2*SIN(2*PI()*A78/42)</f>
        <v/>
      </c>
      <c r="J78" s="50" t="n">
        <v>0</v>
      </c>
    </row>
    <row r="79">
      <c r="A79" s="50">
        <f>Subsurface_Live_Data!A79</f>
        <v/>
      </c>
      <c r="B79" s="50">
        <f>Subsurface_Live_Data!K79</f>
        <v/>
      </c>
      <c r="C79" s="50">
        <f>MAX(0,B79-Subsurface_Inputs!$C$44)</f>
        <v/>
      </c>
      <c r="D79" s="50">
        <f>B79+Subsurface_Inputs!$C$44</f>
        <v/>
      </c>
      <c r="E79" s="50">
        <f>B79*Subsurface_Inputs!$C$45</f>
        <v/>
      </c>
      <c r="F79" s="50">
        <f>B79</f>
        <v/>
      </c>
      <c r="G79" s="50">
        <f>B79*Subsurface_Inputs!$C$46</f>
        <v/>
      </c>
      <c r="H79" s="50">
        <f>Subsurface_Live_Data!Y79</f>
        <v/>
      </c>
      <c r="I79" s="50">
        <f>Subsurface_Inputs!$C$47-Subsurface_Inputs!$C$43+2*SIN(2*PI()*A79/42)</f>
        <v/>
      </c>
      <c r="J79" s="50" t="n">
        <v>0</v>
      </c>
    </row>
    <row r="80">
      <c r="A80" s="50">
        <f>Subsurface_Live_Data!A80</f>
        <v/>
      </c>
      <c r="B80" s="50">
        <f>Subsurface_Live_Data!K80</f>
        <v/>
      </c>
      <c r="C80" s="50">
        <f>MAX(0,B80-Subsurface_Inputs!$C$44)</f>
        <v/>
      </c>
      <c r="D80" s="50">
        <f>B80+Subsurface_Inputs!$C$44</f>
        <v/>
      </c>
      <c r="E80" s="50">
        <f>B80*Subsurface_Inputs!$C$45</f>
        <v/>
      </c>
      <c r="F80" s="50">
        <f>B80</f>
        <v/>
      </c>
      <c r="G80" s="50">
        <f>B80*Subsurface_Inputs!$C$46</f>
        <v/>
      </c>
      <c r="H80" s="50">
        <f>Subsurface_Live_Data!Y80</f>
        <v/>
      </c>
      <c r="I80" s="50">
        <f>Subsurface_Inputs!$C$47-Subsurface_Inputs!$C$43+2*SIN(2*PI()*A80/42)</f>
        <v/>
      </c>
      <c r="J80" s="50" t="n">
        <v>0</v>
      </c>
    </row>
    <row r="81">
      <c r="A81" s="50">
        <f>Subsurface_Live_Data!A81</f>
        <v/>
      </c>
      <c r="B81" s="50">
        <f>Subsurface_Live_Data!K81</f>
        <v/>
      </c>
      <c r="C81" s="50">
        <f>MAX(0,B81-Subsurface_Inputs!$C$44)</f>
        <v/>
      </c>
      <c r="D81" s="50">
        <f>B81+Subsurface_Inputs!$C$44</f>
        <v/>
      </c>
      <c r="E81" s="50">
        <f>B81*Subsurface_Inputs!$C$45</f>
        <v/>
      </c>
      <c r="F81" s="50">
        <f>B81</f>
        <v/>
      </c>
      <c r="G81" s="50">
        <f>B81*Subsurface_Inputs!$C$46</f>
        <v/>
      </c>
      <c r="H81" s="50">
        <f>Subsurface_Live_Data!Y81</f>
        <v/>
      </c>
      <c r="I81" s="50">
        <f>Subsurface_Inputs!$C$47-Subsurface_Inputs!$C$43+2*SIN(2*PI()*A81/42)</f>
        <v/>
      </c>
      <c r="J81" s="50" t="n">
        <v>0</v>
      </c>
    </row>
    <row r="82">
      <c r="A82" s="50">
        <f>Subsurface_Live_Data!A82</f>
        <v/>
      </c>
      <c r="B82" s="50">
        <f>Subsurface_Live_Data!K82</f>
        <v/>
      </c>
      <c r="C82" s="50">
        <f>MAX(0,B82-Subsurface_Inputs!$C$44)</f>
        <v/>
      </c>
      <c r="D82" s="50">
        <f>B82+Subsurface_Inputs!$C$44</f>
        <v/>
      </c>
      <c r="E82" s="50">
        <f>B82*Subsurface_Inputs!$C$45</f>
        <v/>
      </c>
      <c r="F82" s="50">
        <f>B82</f>
        <v/>
      </c>
      <c r="G82" s="50">
        <f>B82*Subsurface_Inputs!$C$46</f>
        <v/>
      </c>
      <c r="H82" s="50">
        <f>Subsurface_Live_Data!Y82</f>
        <v/>
      </c>
      <c r="I82" s="50">
        <f>Subsurface_Inputs!$C$47-Subsurface_Inputs!$C$43+2*SIN(2*PI()*A82/42)</f>
        <v/>
      </c>
      <c r="J82" s="50" t="n">
        <v>0</v>
      </c>
    </row>
    <row r="83">
      <c r="A83" s="50">
        <f>Subsurface_Live_Data!A83</f>
        <v/>
      </c>
      <c r="B83" s="50">
        <f>Subsurface_Live_Data!K83</f>
        <v/>
      </c>
      <c r="C83" s="50">
        <f>MAX(0,B83-Subsurface_Inputs!$C$44)</f>
        <v/>
      </c>
      <c r="D83" s="50">
        <f>B83+Subsurface_Inputs!$C$44</f>
        <v/>
      </c>
      <c r="E83" s="50">
        <f>B83*Subsurface_Inputs!$C$45</f>
        <v/>
      </c>
      <c r="F83" s="50">
        <f>B83</f>
        <v/>
      </c>
      <c r="G83" s="50">
        <f>B83*Subsurface_Inputs!$C$46</f>
        <v/>
      </c>
      <c r="H83" s="50">
        <f>Subsurface_Live_Data!Y83</f>
        <v/>
      </c>
      <c r="I83" s="50">
        <f>Subsurface_Inputs!$C$47-Subsurface_Inputs!$C$43+2*SIN(2*PI()*A83/42)</f>
        <v/>
      </c>
      <c r="J83" s="50" t="n">
        <v>0</v>
      </c>
    </row>
    <row r="84">
      <c r="A84" s="50">
        <f>Subsurface_Live_Data!A84</f>
        <v/>
      </c>
      <c r="B84" s="50">
        <f>Subsurface_Live_Data!K84</f>
        <v/>
      </c>
      <c r="C84" s="50">
        <f>MAX(0,B84-Subsurface_Inputs!$C$44)</f>
        <v/>
      </c>
      <c r="D84" s="50">
        <f>B84+Subsurface_Inputs!$C$44</f>
        <v/>
      </c>
      <c r="E84" s="50">
        <f>B84*Subsurface_Inputs!$C$45</f>
        <v/>
      </c>
      <c r="F84" s="50">
        <f>B84</f>
        <v/>
      </c>
      <c r="G84" s="50">
        <f>B84*Subsurface_Inputs!$C$46</f>
        <v/>
      </c>
      <c r="H84" s="50">
        <f>Subsurface_Live_Data!Y84</f>
        <v/>
      </c>
      <c r="I84" s="50">
        <f>Subsurface_Inputs!$C$47-Subsurface_Inputs!$C$43+2*SIN(2*PI()*A84/42)</f>
        <v/>
      </c>
      <c r="J84" s="50" t="n">
        <v>0</v>
      </c>
    </row>
    <row r="85">
      <c r="A85" s="50">
        <f>Subsurface_Live_Data!A85</f>
        <v/>
      </c>
      <c r="B85" s="50">
        <f>Subsurface_Live_Data!K85</f>
        <v/>
      </c>
      <c r="C85" s="50">
        <f>MAX(0,B85-Subsurface_Inputs!$C$44)</f>
        <v/>
      </c>
      <c r="D85" s="50">
        <f>B85+Subsurface_Inputs!$C$44</f>
        <v/>
      </c>
      <c r="E85" s="50">
        <f>B85*Subsurface_Inputs!$C$45</f>
        <v/>
      </c>
      <c r="F85" s="50">
        <f>B85</f>
        <v/>
      </c>
      <c r="G85" s="50">
        <f>B85*Subsurface_Inputs!$C$46</f>
        <v/>
      </c>
      <c r="H85" s="50">
        <f>Subsurface_Live_Data!Y85</f>
        <v/>
      </c>
      <c r="I85" s="50">
        <f>Subsurface_Inputs!$C$47-Subsurface_Inputs!$C$43+2*SIN(2*PI()*A85/42)</f>
        <v/>
      </c>
      <c r="J85" s="50" t="n">
        <v>0</v>
      </c>
    </row>
    <row r="86">
      <c r="A86" s="50">
        <f>Subsurface_Live_Data!A86</f>
        <v/>
      </c>
      <c r="B86" s="50">
        <f>Subsurface_Live_Data!K86</f>
        <v/>
      </c>
      <c r="C86" s="50">
        <f>MAX(0,B86-Subsurface_Inputs!$C$44)</f>
        <v/>
      </c>
      <c r="D86" s="50">
        <f>B86+Subsurface_Inputs!$C$44</f>
        <v/>
      </c>
      <c r="E86" s="50">
        <f>B86*Subsurface_Inputs!$C$45</f>
        <v/>
      </c>
      <c r="F86" s="50">
        <f>B86</f>
        <v/>
      </c>
      <c r="G86" s="50">
        <f>B86*Subsurface_Inputs!$C$46</f>
        <v/>
      </c>
      <c r="H86" s="50">
        <f>Subsurface_Live_Data!Y86</f>
        <v/>
      </c>
      <c r="I86" s="50">
        <f>Subsurface_Inputs!$C$47-Subsurface_Inputs!$C$43+2*SIN(2*PI()*A86/42)</f>
        <v/>
      </c>
      <c r="J86" s="50" t="n">
        <v>0</v>
      </c>
    </row>
    <row r="87">
      <c r="A87" s="50">
        <f>Subsurface_Live_Data!A87</f>
        <v/>
      </c>
      <c r="B87" s="50">
        <f>Subsurface_Live_Data!K87</f>
        <v/>
      </c>
      <c r="C87" s="50">
        <f>MAX(0,B87-Subsurface_Inputs!$C$44)</f>
        <v/>
      </c>
      <c r="D87" s="50">
        <f>B87+Subsurface_Inputs!$C$44</f>
        <v/>
      </c>
      <c r="E87" s="50">
        <f>B87*Subsurface_Inputs!$C$45</f>
        <v/>
      </c>
      <c r="F87" s="50">
        <f>B87</f>
        <v/>
      </c>
      <c r="G87" s="50">
        <f>B87*Subsurface_Inputs!$C$46</f>
        <v/>
      </c>
      <c r="H87" s="50">
        <f>Subsurface_Live_Data!Y87</f>
        <v/>
      </c>
      <c r="I87" s="50">
        <f>Subsurface_Inputs!$C$47-Subsurface_Inputs!$C$43+2*SIN(2*PI()*A87/42)</f>
        <v/>
      </c>
      <c r="J87" s="50" t="n">
        <v>0</v>
      </c>
    </row>
    <row r="88">
      <c r="A88" s="50">
        <f>Subsurface_Live_Data!A88</f>
        <v/>
      </c>
      <c r="B88" s="50">
        <f>Subsurface_Live_Data!K88</f>
        <v/>
      </c>
      <c r="C88" s="50">
        <f>MAX(0,B88-Subsurface_Inputs!$C$44)</f>
        <v/>
      </c>
      <c r="D88" s="50">
        <f>B88+Subsurface_Inputs!$C$44</f>
        <v/>
      </c>
      <c r="E88" s="50">
        <f>B88*Subsurface_Inputs!$C$45</f>
        <v/>
      </c>
      <c r="F88" s="50">
        <f>B88</f>
        <v/>
      </c>
      <c r="G88" s="50">
        <f>B88*Subsurface_Inputs!$C$46</f>
        <v/>
      </c>
      <c r="H88" s="50">
        <f>Subsurface_Live_Data!Y88</f>
        <v/>
      </c>
      <c r="I88" s="50">
        <f>Subsurface_Inputs!$C$47-Subsurface_Inputs!$C$43+2*SIN(2*PI()*A88/42)</f>
        <v/>
      </c>
      <c r="J88" s="50" t="n">
        <v>0</v>
      </c>
    </row>
    <row r="89">
      <c r="A89" s="50">
        <f>Subsurface_Live_Data!A89</f>
        <v/>
      </c>
      <c r="B89" s="50">
        <f>Subsurface_Live_Data!K89</f>
        <v/>
      </c>
      <c r="C89" s="50">
        <f>MAX(0,B89-Subsurface_Inputs!$C$44)</f>
        <v/>
      </c>
      <c r="D89" s="50">
        <f>B89+Subsurface_Inputs!$C$44</f>
        <v/>
      </c>
      <c r="E89" s="50">
        <f>B89*Subsurface_Inputs!$C$45</f>
        <v/>
      </c>
      <c r="F89" s="50">
        <f>B89</f>
        <v/>
      </c>
      <c r="G89" s="50">
        <f>B89*Subsurface_Inputs!$C$46</f>
        <v/>
      </c>
      <c r="H89" s="50">
        <f>Subsurface_Live_Data!Y89</f>
        <v/>
      </c>
      <c r="I89" s="50">
        <f>Subsurface_Inputs!$C$47-Subsurface_Inputs!$C$43+2*SIN(2*PI()*A89/42)</f>
        <v/>
      </c>
      <c r="J89" s="50" t="n">
        <v>0</v>
      </c>
    </row>
    <row r="90">
      <c r="A90" s="50">
        <f>Subsurface_Live_Data!A90</f>
        <v/>
      </c>
      <c r="B90" s="50">
        <f>Subsurface_Live_Data!K90</f>
        <v/>
      </c>
      <c r="C90" s="50">
        <f>MAX(0,B90-Subsurface_Inputs!$C$44)</f>
        <v/>
      </c>
      <c r="D90" s="50">
        <f>B90+Subsurface_Inputs!$C$44</f>
        <v/>
      </c>
      <c r="E90" s="50">
        <f>B90*Subsurface_Inputs!$C$45</f>
        <v/>
      </c>
      <c r="F90" s="50">
        <f>B90</f>
        <v/>
      </c>
      <c r="G90" s="50">
        <f>B90*Subsurface_Inputs!$C$46</f>
        <v/>
      </c>
      <c r="H90" s="50">
        <f>Subsurface_Live_Data!Y90</f>
        <v/>
      </c>
      <c r="I90" s="50">
        <f>Subsurface_Inputs!$C$47-Subsurface_Inputs!$C$43+2*SIN(2*PI()*A90/42)</f>
        <v/>
      </c>
      <c r="J90" s="50" t="n">
        <v>0</v>
      </c>
    </row>
    <row r="91">
      <c r="A91" s="50">
        <f>Subsurface_Live_Data!A91</f>
        <v/>
      </c>
      <c r="B91" s="50">
        <f>Subsurface_Live_Data!K91</f>
        <v/>
      </c>
      <c r="C91" s="50">
        <f>MAX(0,B91-Subsurface_Inputs!$C$44)</f>
        <v/>
      </c>
      <c r="D91" s="50">
        <f>B91+Subsurface_Inputs!$C$44</f>
        <v/>
      </c>
      <c r="E91" s="50">
        <f>B91*Subsurface_Inputs!$C$45</f>
        <v/>
      </c>
      <c r="F91" s="50">
        <f>B91</f>
        <v/>
      </c>
      <c r="G91" s="50">
        <f>B91*Subsurface_Inputs!$C$46</f>
        <v/>
      </c>
      <c r="H91" s="50">
        <f>Subsurface_Live_Data!Y91</f>
        <v/>
      </c>
      <c r="I91" s="50">
        <f>Subsurface_Inputs!$C$47-Subsurface_Inputs!$C$43+2*SIN(2*PI()*A91/42)</f>
        <v/>
      </c>
      <c r="J91" s="50" t="n">
        <v>0</v>
      </c>
    </row>
    <row r="92">
      <c r="A92" s="50">
        <f>Subsurface_Live_Data!A92</f>
        <v/>
      </c>
      <c r="B92" s="50">
        <f>Subsurface_Live_Data!K92</f>
        <v/>
      </c>
      <c r="C92" s="50">
        <f>MAX(0,B92-Subsurface_Inputs!$C$44)</f>
        <v/>
      </c>
      <c r="D92" s="50">
        <f>B92+Subsurface_Inputs!$C$44</f>
        <v/>
      </c>
      <c r="E92" s="50">
        <f>B92*Subsurface_Inputs!$C$45</f>
        <v/>
      </c>
      <c r="F92" s="50">
        <f>B92</f>
        <v/>
      </c>
      <c r="G92" s="50">
        <f>B92*Subsurface_Inputs!$C$46</f>
        <v/>
      </c>
      <c r="H92" s="50">
        <f>Subsurface_Live_Data!Y92</f>
        <v/>
      </c>
      <c r="I92" s="50">
        <f>Subsurface_Inputs!$C$47-Subsurface_Inputs!$C$43+2*SIN(2*PI()*A92/42)</f>
        <v/>
      </c>
      <c r="J92" s="50" t="n">
        <v>0</v>
      </c>
    </row>
    <row r="93">
      <c r="A93" s="50">
        <f>Subsurface_Live_Data!A93</f>
        <v/>
      </c>
      <c r="B93" s="50">
        <f>Subsurface_Live_Data!K93</f>
        <v/>
      </c>
      <c r="C93" s="50">
        <f>MAX(0,B93-Subsurface_Inputs!$C$44)</f>
        <v/>
      </c>
      <c r="D93" s="50">
        <f>B93+Subsurface_Inputs!$C$44</f>
        <v/>
      </c>
      <c r="E93" s="50">
        <f>B93*Subsurface_Inputs!$C$45</f>
        <v/>
      </c>
      <c r="F93" s="50">
        <f>B93</f>
        <v/>
      </c>
      <c r="G93" s="50">
        <f>B93*Subsurface_Inputs!$C$46</f>
        <v/>
      </c>
      <c r="H93" s="50">
        <f>Subsurface_Live_Data!Y93</f>
        <v/>
      </c>
      <c r="I93" s="50">
        <f>Subsurface_Inputs!$C$47-Subsurface_Inputs!$C$43+2*SIN(2*PI()*A93/42)</f>
        <v/>
      </c>
      <c r="J93" s="50" t="n">
        <v>0</v>
      </c>
    </row>
    <row r="94">
      <c r="A94" s="50">
        <f>Subsurface_Live_Data!A94</f>
        <v/>
      </c>
      <c r="B94" s="50">
        <f>Subsurface_Live_Data!K94</f>
        <v/>
      </c>
      <c r="C94" s="50">
        <f>MAX(0,B94-Subsurface_Inputs!$C$44)</f>
        <v/>
      </c>
      <c r="D94" s="50">
        <f>B94+Subsurface_Inputs!$C$44</f>
        <v/>
      </c>
      <c r="E94" s="50">
        <f>B94*Subsurface_Inputs!$C$45</f>
        <v/>
      </c>
      <c r="F94" s="50">
        <f>B94</f>
        <v/>
      </c>
      <c r="G94" s="50">
        <f>B94*Subsurface_Inputs!$C$46</f>
        <v/>
      </c>
      <c r="H94" s="50">
        <f>Subsurface_Live_Data!Y94</f>
        <v/>
      </c>
      <c r="I94" s="50">
        <f>Subsurface_Inputs!$C$47-Subsurface_Inputs!$C$43+2*SIN(2*PI()*A94/42)</f>
        <v/>
      </c>
      <c r="J94" s="50" t="n">
        <v>0</v>
      </c>
    </row>
    <row r="95">
      <c r="A95" s="50">
        <f>Subsurface_Live_Data!A95</f>
        <v/>
      </c>
      <c r="B95" s="50">
        <f>Subsurface_Live_Data!K95</f>
        <v/>
      </c>
      <c r="C95" s="50">
        <f>MAX(0,B95-Subsurface_Inputs!$C$44)</f>
        <v/>
      </c>
      <c r="D95" s="50">
        <f>B95+Subsurface_Inputs!$C$44</f>
        <v/>
      </c>
      <c r="E95" s="50">
        <f>B95*Subsurface_Inputs!$C$45</f>
        <v/>
      </c>
      <c r="F95" s="50">
        <f>B95</f>
        <v/>
      </c>
      <c r="G95" s="50">
        <f>B95*Subsurface_Inputs!$C$46</f>
        <v/>
      </c>
      <c r="H95" s="50">
        <f>Subsurface_Live_Data!Y95</f>
        <v/>
      </c>
      <c r="I95" s="50">
        <f>Subsurface_Inputs!$C$47-Subsurface_Inputs!$C$43+2*SIN(2*PI()*A95/42)</f>
        <v/>
      </c>
      <c r="J95" s="50" t="n">
        <v>0</v>
      </c>
    </row>
    <row r="96">
      <c r="A96" s="50">
        <f>Subsurface_Live_Data!A96</f>
        <v/>
      </c>
      <c r="B96" s="50">
        <f>Subsurface_Live_Data!K96</f>
        <v/>
      </c>
      <c r="C96" s="50">
        <f>MAX(0,B96-Subsurface_Inputs!$C$44)</f>
        <v/>
      </c>
      <c r="D96" s="50">
        <f>B96+Subsurface_Inputs!$C$44</f>
        <v/>
      </c>
      <c r="E96" s="50">
        <f>B96*Subsurface_Inputs!$C$45</f>
        <v/>
      </c>
      <c r="F96" s="50">
        <f>B96</f>
        <v/>
      </c>
      <c r="G96" s="50">
        <f>B96*Subsurface_Inputs!$C$46</f>
        <v/>
      </c>
      <c r="H96" s="50">
        <f>Subsurface_Live_Data!Y96</f>
        <v/>
      </c>
      <c r="I96" s="50">
        <f>Subsurface_Inputs!$C$47-Subsurface_Inputs!$C$43+2*SIN(2*PI()*A96/42)</f>
        <v/>
      </c>
      <c r="J96" s="50" t="n">
        <v>0</v>
      </c>
    </row>
    <row r="97">
      <c r="A97" s="50">
        <f>Subsurface_Live_Data!A97</f>
        <v/>
      </c>
      <c r="B97" s="50">
        <f>Subsurface_Live_Data!K97</f>
        <v/>
      </c>
      <c r="C97" s="50">
        <f>MAX(0,B97-Subsurface_Inputs!$C$44)</f>
        <v/>
      </c>
      <c r="D97" s="50">
        <f>B97+Subsurface_Inputs!$C$44</f>
        <v/>
      </c>
      <c r="E97" s="50">
        <f>B97*Subsurface_Inputs!$C$45</f>
        <v/>
      </c>
      <c r="F97" s="50">
        <f>B97</f>
        <v/>
      </c>
      <c r="G97" s="50">
        <f>B97*Subsurface_Inputs!$C$46</f>
        <v/>
      </c>
      <c r="H97" s="50">
        <f>Subsurface_Live_Data!Y97</f>
        <v/>
      </c>
      <c r="I97" s="50">
        <f>Subsurface_Inputs!$C$47-Subsurface_Inputs!$C$43+2*SIN(2*PI()*A97/42)</f>
        <v/>
      </c>
      <c r="J97" s="50" t="n">
        <v>0</v>
      </c>
    </row>
    <row r="98">
      <c r="A98" s="50">
        <f>Subsurface_Live_Data!A98</f>
        <v/>
      </c>
      <c r="B98" s="50">
        <f>Subsurface_Live_Data!K98</f>
        <v/>
      </c>
      <c r="C98" s="50">
        <f>MAX(0,B98-Subsurface_Inputs!$C$44)</f>
        <v/>
      </c>
      <c r="D98" s="50">
        <f>B98+Subsurface_Inputs!$C$44</f>
        <v/>
      </c>
      <c r="E98" s="50">
        <f>B98*Subsurface_Inputs!$C$45</f>
        <v/>
      </c>
      <c r="F98" s="50">
        <f>B98</f>
        <v/>
      </c>
      <c r="G98" s="50">
        <f>B98*Subsurface_Inputs!$C$46</f>
        <v/>
      </c>
      <c r="H98" s="50">
        <f>Subsurface_Live_Data!Y98</f>
        <v/>
      </c>
      <c r="I98" s="50">
        <f>Subsurface_Inputs!$C$47-Subsurface_Inputs!$C$43+2*SIN(2*PI()*A98/42)</f>
        <v/>
      </c>
      <c r="J98" s="50" t="n">
        <v>0</v>
      </c>
    </row>
    <row r="99">
      <c r="A99" s="50">
        <f>Subsurface_Live_Data!A99</f>
        <v/>
      </c>
      <c r="B99" s="50">
        <f>Subsurface_Live_Data!K99</f>
        <v/>
      </c>
      <c r="C99" s="50">
        <f>MAX(0,B99-Subsurface_Inputs!$C$44)</f>
        <v/>
      </c>
      <c r="D99" s="50">
        <f>B99+Subsurface_Inputs!$C$44</f>
        <v/>
      </c>
      <c r="E99" s="50">
        <f>B99*Subsurface_Inputs!$C$45</f>
        <v/>
      </c>
      <c r="F99" s="50">
        <f>B99</f>
        <v/>
      </c>
      <c r="G99" s="50">
        <f>B99*Subsurface_Inputs!$C$46</f>
        <v/>
      </c>
      <c r="H99" s="50">
        <f>Subsurface_Live_Data!Y99</f>
        <v/>
      </c>
      <c r="I99" s="50">
        <f>Subsurface_Inputs!$C$47-Subsurface_Inputs!$C$43+2*SIN(2*PI()*A99/42)</f>
        <v/>
      </c>
      <c r="J99" s="50" t="n">
        <v>0</v>
      </c>
    </row>
    <row r="100">
      <c r="A100" s="50">
        <f>Subsurface_Live_Data!A100</f>
        <v/>
      </c>
      <c r="B100" s="50">
        <f>Subsurface_Live_Data!K100</f>
        <v/>
      </c>
      <c r="C100" s="50">
        <f>MAX(0,B100-Subsurface_Inputs!$C$44)</f>
        <v/>
      </c>
      <c r="D100" s="50">
        <f>B100+Subsurface_Inputs!$C$44</f>
        <v/>
      </c>
      <c r="E100" s="50">
        <f>B100*Subsurface_Inputs!$C$45</f>
        <v/>
      </c>
      <c r="F100" s="50">
        <f>B100</f>
        <v/>
      </c>
      <c r="G100" s="50">
        <f>B100*Subsurface_Inputs!$C$46</f>
        <v/>
      </c>
      <c r="H100" s="50">
        <f>Subsurface_Live_Data!Y100</f>
        <v/>
      </c>
      <c r="I100" s="50">
        <f>Subsurface_Inputs!$C$47-Subsurface_Inputs!$C$43+2*SIN(2*PI()*A100/42)</f>
        <v/>
      </c>
      <c r="J100" s="50" t="n">
        <v>0</v>
      </c>
    </row>
    <row r="101">
      <c r="A101" s="50">
        <f>Subsurface_Live_Data!A101</f>
        <v/>
      </c>
      <c r="B101" s="50">
        <f>Subsurface_Live_Data!K101</f>
        <v/>
      </c>
      <c r="C101" s="50">
        <f>MAX(0,B101-Subsurface_Inputs!$C$44)</f>
        <v/>
      </c>
      <c r="D101" s="50">
        <f>B101+Subsurface_Inputs!$C$44</f>
        <v/>
      </c>
      <c r="E101" s="50">
        <f>B101*Subsurface_Inputs!$C$45</f>
        <v/>
      </c>
      <c r="F101" s="50">
        <f>B101</f>
        <v/>
      </c>
      <c r="G101" s="50">
        <f>B101*Subsurface_Inputs!$C$46</f>
        <v/>
      </c>
      <c r="H101" s="50">
        <f>Subsurface_Live_Data!Y101</f>
        <v/>
      </c>
      <c r="I101" s="50">
        <f>Subsurface_Inputs!$C$47-Subsurface_Inputs!$C$43+2*SIN(2*PI()*A101/42)</f>
        <v/>
      </c>
      <c r="J101" s="50" t="n">
        <v>0</v>
      </c>
    </row>
    <row r="102">
      <c r="A102" s="50">
        <f>Subsurface_Live_Data!A102</f>
        <v/>
      </c>
      <c r="B102" s="50">
        <f>Subsurface_Live_Data!K102</f>
        <v/>
      </c>
      <c r="C102" s="50">
        <f>MAX(0,B102-Subsurface_Inputs!$C$44)</f>
        <v/>
      </c>
      <c r="D102" s="50">
        <f>B102+Subsurface_Inputs!$C$44</f>
        <v/>
      </c>
      <c r="E102" s="50">
        <f>B102*Subsurface_Inputs!$C$45</f>
        <v/>
      </c>
      <c r="F102" s="50">
        <f>B102</f>
        <v/>
      </c>
      <c r="G102" s="50">
        <f>B102*Subsurface_Inputs!$C$46</f>
        <v/>
      </c>
      <c r="H102" s="50">
        <f>Subsurface_Live_Data!Y102</f>
        <v/>
      </c>
      <c r="I102" s="50">
        <f>Subsurface_Inputs!$C$47-Subsurface_Inputs!$C$43+2*SIN(2*PI()*A102/42)</f>
        <v/>
      </c>
      <c r="J102" s="50" t="n">
        <v>0</v>
      </c>
    </row>
    <row r="103">
      <c r="A103" s="50">
        <f>Subsurface_Live_Data!A103</f>
        <v/>
      </c>
      <c r="B103" s="50">
        <f>Subsurface_Live_Data!K103</f>
        <v/>
      </c>
      <c r="C103" s="50">
        <f>MAX(0,B103-Subsurface_Inputs!$C$44)</f>
        <v/>
      </c>
      <c r="D103" s="50">
        <f>B103+Subsurface_Inputs!$C$44</f>
        <v/>
      </c>
      <c r="E103" s="50">
        <f>B103*Subsurface_Inputs!$C$45</f>
        <v/>
      </c>
      <c r="F103" s="50">
        <f>B103</f>
        <v/>
      </c>
      <c r="G103" s="50">
        <f>B103*Subsurface_Inputs!$C$46</f>
        <v/>
      </c>
      <c r="H103" s="50">
        <f>Subsurface_Live_Data!Y103</f>
        <v/>
      </c>
      <c r="I103" s="50">
        <f>Subsurface_Inputs!$C$47-Subsurface_Inputs!$C$43+2*SIN(2*PI()*A103/42)</f>
        <v/>
      </c>
      <c r="J103" s="50" t="n">
        <v>0</v>
      </c>
    </row>
    <row r="104">
      <c r="A104" s="50">
        <f>Subsurface_Live_Data!A104</f>
        <v/>
      </c>
      <c r="B104" s="50">
        <f>Subsurface_Live_Data!K104</f>
        <v/>
      </c>
      <c r="C104" s="50">
        <f>MAX(0,B104-Subsurface_Inputs!$C$44)</f>
        <v/>
      </c>
      <c r="D104" s="50">
        <f>B104+Subsurface_Inputs!$C$44</f>
        <v/>
      </c>
      <c r="E104" s="50">
        <f>B104*Subsurface_Inputs!$C$45</f>
        <v/>
      </c>
      <c r="F104" s="50">
        <f>B104</f>
        <v/>
      </c>
      <c r="G104" s="50">
        <f>B104*Subsurface_Inputs!$C$46</f>
        <v/>
      </c>
      <c r="H104" s="50">
        <f>Subsurface_Live_Data!Y104</f>
        <v/>
      </c>
      <c r="I104" s="50">
        <f>Subsurface_Inputs!$C$47-Subsurface_Inputs!$C$43+2*SIN(2*PI()*A104/42)</f>
        <v/>
      </c>
      <c r="J104" s="50" t="n">
        <v>0</v>
      </c>
    </row>
    <row r="105">
      <c r="A105" s="50">
        <f>Subsurface_Live_Data!A105</f>
        <v/>
      </c>
      <c r="B105" s="50">
        <f>Subsurface_Live_Data!K105</f>
        <v/>
      </c>
      <c r="C105" s="50">
        <f>MAX(0,B105-Subsurface_Inputs!$C$44)</f>
        <v/>
      </c>
      <c r="D105" s="50">
        <f>B105+Subsurface_Inputs!$C$44</f>
        <v/>
      </c>
      <c r="E105" s="50">
        <f>B105*Subsurface_Inputs!$C$45</f>
        <v/>
      </c>
      <c r="F105" s="50">
        <f>B105</f>
        <v/>
      </c>
      <c r="G105" s="50">
        <f>B105*Subsurface_Inputs!$C$46</f>
        <v/>
      </c>
      <c r="H105" s="50">
        <f>Subsurface_Live_Data!Y105</f>
        <v/>
      </c>
      <c r="I105" s="50">
        <f>Subsurface_Inputs!$C$47-Subsurface_Inputs!$C$43+2*SIN(2*PI()*A105/42)</f>
        <v/>
      </c>
      <c r="J105" s="50" t="n">
        <v>0</v>
      </c>
    </row>
    <row r="106">
      <c r="A106" s="50">
        <f>Subsurface_Live_Data!A106</f>
        <v/>
      </c>
      <c r="B106" s="50">
        <f>Subsurface_Live_Data!K106</f>
        <v/>
      </c>
      <c r="C106" s="50">
        <f>MAX(0,B106-Subsurface_Inputs!$C$44)</f>
        <v/>
      </c>
      <c r="D106" s="50">
        <f>B106+Subsurface_Inputs!$C$44</f>
        <v/>
      </c>
      <c r="E106" s="50">
        <f>B106*Subsurface_Inputs!$C$45</f>
        <v/>
      </c>
      <c r="F106" s="50">
        <f>B106</f>
        <v/>
      </c>
      <c r="G106" s="50">
        <f>B106*Subsurface_Inputs!$C$46</f>
        <v/>
      </c>
      <c r="H106" s="50">
        <f>Subsurface_Live_Data!Y106</f>
        <v/>
      </c>
      <c r="I106" s="50">
        <f>Subsurface_Inputs!$C$47-Subsurface_Inputs!$C$43+2*SIN(2*PI()*A106/42)</f>
        <v/>
      </c>
      <c r="J106" s="50" t="n">
        <v>0</v>
      </c>
    </row>
    <row r="107">
      <c r="A107" s="50">
        <f>Subsurface_Live_Data!A107</f>
        <v/>
      </c>
      <c r="B107" s="50">
        <f>Subsurface_Live_Data!K107</f>
        <v/>
      </c>
      <c r="C107" s="50">
        <f>MAX(0,B107-Subsurface_Inputs!$C$44)</f>
        <v/>
      </c>
      <c r="D107" s="50">
        <f>B107+Subsurface_Inputs!$C$44</f>
        <v/>
      </c>
      <c r="E107" s="50">
        <f>B107*Subsurface_Inputs!$C$45</f>
        <v/>
      </c>
      <c r="F107" s="50">
        <f>B107</f>
        <v/>
      </c>
      <c r="G107" s="50">
        <f>B107*Subsurface_Inputs!$C$46</f>
        <v/>
      </c>
      <c r="H107" s="50">
        <f>Subsurface_Live_Data!Y107</f>
        <v/>
      </c>
      <c r="I107" s="50">
        <f>Subsurface_Inputs!$C$47-Subsurface_Inputs!$C$43+2*SIN(2*PI()*A107/42)</f>
        <v/>
      </c>
      <c r="J107" s="50" t="n">
        <v>0</v>
      </c>
    </row>
    <row r="108">
      <c r="A108" s="50">
        <f>Subsurface_Live_Data!A108</f>
        <v/>
      </c>
      <c r="B108" s="50">
        <f>Subsurface_Live_Data!K108</f>
        <v/>
      </c>
      <c r="C108" s="50">
        <f>MAX(0,B108-Subsurface_Inputs!$C$44)</f>
        <v/>
      </c>
      <c r="D108" s="50">
        <f>B108+Subsurface_Inputs!$C$44</f>
        <v/>
      </c>
      <c r="E108" s="50">
        <f>B108*Subsurface_Inputs!$C$45</f>
        <v/>
      </c>
      <c r="F108" s="50">
        <f>B108</f>
        <v/>
      </c>
      <c r="G108" s="50">
        <f>B108*Subsurface_Inputs!$C$46</f>
        <v/>
      </c>
      <c r="H108" s="50">
        <f>Subsurface_Live_Data!Y108</f>
        <v/>
      </c>
      <c r="I108" s="50">
        <f>Subsurface_Inputs!$C$47-Subsurface_Inputs!$C$43+2*SIN(2*PI()*A108/42)</f>
        <v/>
      </c>
      <c r="J108" s="50" t="n">
        <v>0</v>
      </c>
    </row>
    <row r="109">
      <c r="A109" s="50">
        <f>Subsurface_Live_Data!A109</f>
        <v/>
      </c>
      <c r="B109" s="50">
        <f>Subsurface_Live_Data!K109</f>
        <v/>
      </c>
      <c r="C109" s="50">
        <f>MAX(0,B109-Subsurface_Inputs!$C$44)</f>
        <v/>
      </c>
      <c r="D109" s="50">
        <f>B109+Subsurface_Inputs!$C$44</f>
        <v/>
      </c>
      <c r="E109" s="50">
        <f>B109*Subsurface_Inputs!$C$45</f>
        <v/>
      </c>
      <c r="F109" s="50">
        <f>B109</f>
        <v/>
      </c>
      <c r="G109" s="50">
        <f>B109*Subsurface_Inputs!$C$46</f>
        <v/>
      </c>
      <c r="H109" s="50">
        <f>Subsurface_Live_Data!Y109</f>
        <v/>
      </c>
      <c r="I109" s="50">
        <f>Subsurface_Inputs!$C$47-Subsurface_Inputs!$C$43+2*SIN(2*PI()*A109/42)</f>
        <v/>
      </c>
      <c r="J109" s="50" t="n">
        <v>0</v>
      </c>
    </row>
    <row r="110">
      <c r="A110" s="50">
        <f>Subsurface_Live_Data!A110</f>
        <v/>
      </c>
      <c r="B110" s="50">
        <f>Subsurface_Live_Data!K110</f>
        <v/>
      </c>
      <c r="C110" s="50">
        <f>MAX(0,B110-Subsurface_Inputs!$C$44)</f>
        <v/>
      </c>
      <c r="D110" s="50">
        <f>B110+Subsurface_Inputs!$C$44</f>
        <v/>
      </c>
      <c r="E110" s="50">
        <f>B110*Subsurface_Inputs!$C$45</f>
        <v/>
      </c>
      <c r="F110" s="50">
        <f>B110</f>
        <v/>
      </c>
      <c r="G110" s="50">
        <f>B110*Subsurface_Inputs!$C$46</f>
        <v/>
      </c>
      <c r="H110" s="50">
        <f>Subsurface_Live_Data!Y110</f>
        <v/>
      </c>
      <c r="I110" s="50">
        <f>Subsurface_Inputs!$C$47-Subsurface_Inputs!$C$43+2*SIN(2*PI()*A110/42)</f>
        <v/>
      </c>
      <c r="J110" s="50" t="n">
        <v>0</v>
      </c>
    </row>
    <row r="111">
      <c r="A111" s="50">
        <f>Subsurface_Live_Data!A111</f>
        <v/>
      </c>
      <c r="B111" s="50">
        <f>Subsurface_Live_Data!K111</f>
        <v/>
      </c>
      <c r="C111" s="50">
        <f>MAX(0,B111-Subsurface_Inputs!$C$44)</f>
        <v/>
      </c>
      <c r="D111" s="50">
        <f>B111+Subsurface_Inputs!$C$44</f>
        <v/>
      </c>
      <c r="E111" s="50">
        <f>B111*Subsurface_Inputs!$C$45</f>
        <v/>
      </c>
      <c r="F111" s="50">
        <f>B111</f>
        <v/>
      </c>
      <c r="G111" s="50">
        <f>B111*Subsurface_Inputs!$C$46</f>
        <v/>
      </c>
      <c r="H111" s="50">
        <f>Subsurface_Live_Data!Y111</f>
        <v/>
      </c>
      <c r="I111" s="50">
        <f>Subsurface_Inputs!$C$47-Subsurface_Inputs!$C$43+2*SIN(2*PI()*A111/42)</f>
        <v/>
      </c>
      <c r="J111" s="50" t="n">
        <v>0</v>
      </c>
    </row>
    <row r="112">
      <c r="A112" s="50">
        <f>Subsurface_Live_Data!A112</f>
        <v/>
      </c>
      <c r="B112" s="50">
        <f>Subsurface_Live_Data!K112</f>
        <v/>
      </c>
      <c r="C112" s="50">
        <f>MAX(0,B112-Subsurface_Inputs!$C$44)</f>
        <v/>
      </c>
      <c r="D112" s="50">
        <f>B112+Subsurface_Inputs!$C$44</f>
        <v/>
      </c>
      <c r="E112" s="50">
        <f>B112*Subsurface_Inputs!$C$45</f>
        <v/>
      </c>
      <c r="F112" s="50">
        <f>B112</f>
        <v/>
      </c>
      <c r="G112" s="50">
        <f>B112*Subsurface_Inputs!$C$46</f>
        <v/>
      </c>
      <c r="H112" s="50">
        <f>Subsurface_Live_Data!Y112</f>
        <v/>
      </c>
      <c r="I112" s="50">
        <f>Subsurface_Inputs!$C$47-Subsurface_Inputs!$C$43+2*SIN(2*PI()*A112/42)</f>
        <v/>
      </c>
      <c r="J112" s="50" t="n">
        <v>0</v>
      </c>
    </row>
    <row r="113">
      <c r="A113" s="50">
        <f>Subsurface_Live_Data!A113</f>
        <v/>
      </c>
      <c r="B113" s="50">
        <f>Subsurface_Live_Data!K113</f>
        <v/>
      </c>
      <c r="C113" s="50">
        <f>MAX(0,B113-Subsurface_Inputs!$C$44)</f>
        <v/>
      </c>
      <c r="D113" s="50">
        <f>B113+Subsurface_Inputs!$C$44</f>
        <v/>
      </c>
      <c r="E113" s="50">
        <f>B113*Subsurface_Inputs!$C$45</f>
        <v/>
      </c>
      <c r="F113" s="50">
        <f>B113</f>
        <v/>
      </c>
      <c r="G113" s="50">
        <f>B113*Subsurface_Inputs!$C$46</f>
        <v/>
      </c>
      <c r="H113" s="50">
        <f>Subsurface_Live_Data!Y113</f>
        <v/>
      </c>
      <c r="I113" s="50">
        <f>Subsurface_Inputs!$C$47-Subsurface_Inputs!$C$43+2*SIN(2*PI()*A113/42)</f>
        <v/>
      </c>
      <c r="J113" s="50" t="n">
        <v>0</v>
      </c>
    </row>
    <row r="114">
      <c r="A114" s="50">
        <f>Subsurface_Live_Data!A114</f>
        <v/>
      </c>
      <c r="B114" s="50">
        <f>Subsurface_Live_Data!K114</f>
        <v/>
      </c>
      <c r="C114" s="50">
        <f>MAX(0,B114-Subsurface_Inputs!$C$44)</f>
        <v/>
      </c>
      <c r="D114" s="50">
        <f>B114+Subsurface_Inputs!$C$44</f>
        <v/>
      </c>
      <c r="E114" s="50">
        <f>B114*Subsurface_Inputs!$C$45</f>
        <v/>
      </c>
      <c r="F114" s="50">
        <f>B114</f>
        <v/>
      </c>
      <c r="G114" s="50">
        <f>B114*Subsurface_Inputs!$C$46</f>
        <v/>
      </c>
      <c r="H114" s="50">
        <f>Subsurface_Live_Data!Y114</f>
        <v/>
      </c>
      <c r="I114" s="50">
        <f>Subsurface_Inputs!$C$47-Subsurface_Inputs!$C$43+2*SIN(2*PI()*A114/42)</f>
        <v/>
      </c>
      <c r="J114" s="50" t="n">
        <v>0</v>
      </c>
    </row>
    <row r="115">
      <c r="A115" s="50">
        <f>Subsurface_Live_Data!A115</f>
        <v/>
      </c>
      <c r="B115" s="50">
        <f>Subsurface_Live_Data!K115</f>
        <v/>
      </c>
      <c r="C115" s="50">
        <f>MAX(0,B115-Subsurface_Inputs!$C$44)</f>
        <v/>
      </c>
      <c r="D115" s="50">
        <f>B115+Subsurface_Inputs!$C$44</f>
        <v/>
      </c>
      <c r="E115" s="50">
        <f>B115*Subsurface_Inputs!$C$45</f>
        <v/>
      </c>
      <c r="F115" s="50">
        <f>B115</f>
        <v/>
      </c>
      <c r="G115" s="50">
        <f>B115*Subsurface_Inputs!$C$46</f>
        <v/>
      </c>
      <c r="H115" s="50">
        <f>Subsurface_Live_Data!Y115</f>
        <v/>
      </c>
      <c r="I115" s="50">
        <f>Subsurface_Inputs!$C$47-Subsurface_Inputs!$C$43+2*SIN(2*PI()*A115/42)</f>
        <v/>
      </c>
      <c r="J115" s="50" t="n">
        <v>0</v>
      </c>
    </row>
    <row r="116">
      <c r="A116" s="50">
        <f>Subsurface_Live_Data!A116</f>
        <v/>
      </c>
      <c r="B116" s="50">
        <f>Subsurface_Live_Data!K116</f>
        <v/>
      </c>
      <c r="C116" s="50">
        <f>MAX(0,B116-Subsurface_Inputs!$C$44)</f>
        <v/>
      </c>
      <c r="D116" s="50">
        <f>B116+Subsurface_Inputs!$C$44</f>
        <v/>
      </c>
      <c r="E116" s="50">
        <f>B116*Subsurface_Inputs!$C$45</f>
        <v/>
      </c>
      <c r="F116" s="50">
        <f>B116</f>
        <v/>
      </c>
      <c r="G116" s="50">
        <f>B116*Subsurface_Inputs!$C$46</f>
        <v/>
      </c>
      <c r="H116" s="50">
        <f>Subsurface_Live_Data!Y116</f>
        <v/>
      </c>
      <c r="I116" s="50">
        <f>Subsurface_Inputs!$C$47-Subsurface_Inputs!$C$43+2*SIN(2*PI()*A116/42)</f>
        <v/>
      </c>
      <c r="J116" s="50" t="n">
        <v>0</v>
      </c>
    </row>
    <row r="117">
      <c r="A117" s="50">
        <f>Subsurface_Live_Data!A117</f>
        <v/>
      </c>
      <c r="B117" s="50">
        <f>Subsurface_Live_Data!K117</f>
        <v/>
      </c>
      <c r="C117" s="50">
        <f>MAX(0,B117-Subsurface_Inputs!$C$44)</f>
        <v/>
      </c>
      <c r="D117" s="50">
        <f>B117+Subsurface_Inputs!$C$44</f>
        <v/>
      </c>
      <c r="E117" s="50">
        <f>B117*Subsurface_Inputs!$C$45</f>
        <v/>
      </c>
      <c r="F117" s="50">
        <f>B117</f>
        <v/>
      </c>
      <c r="G117" s="50">
        <f>B117*Subsurface_Inputs!$C$46</f>
        <v/>
      </c>
      <c r="H117" s="50">
        <f>Subsurface_Live_Data!Y117</f>
        <v/>
      </c>
      <c r="I117" s="50">
        <f>Subsurface_Inputs!$C$47-Subsurface_Inputs!$C$43+2*SIN(2*PI()*A117/42)</f>
        <v/>
      </c>
      <c r="J117" s="50" t="n">
        <v>0</v>
      </c>
    </row>
    <row r="118">
      <c r="A118" s="50">
        <f>Subsurface_Live_Data!A118</f>
        <v/>
      </c>
      <c r="B118" s="50">
        <f>Subsurface_Live_Data!K118</f>
        <v/>
      </c>
      <c r="C118" s="50">
        <f>MAX(0,B118-Subsurface_Inputs!$C$44)</f>
        <v/>
      </c>
      <c r="D118" s="50">
        <f>B118+Subsurface_Inputs!$C$44</f>
        <v/>
      </c>
      <c r="E118" s="50">
        <f>B118*Subsurface_Inputs!$C$45</f>
        <v/>
      </c>
      <c r="F118" s="50">
        <f>B118</f>
        <v/>
      </c>
      <c r="G118" s="50">
        <f>B118*Subsurface_Inputs!$C$46</f>
        <v/>
      </c>
      <c r="H118" s="50">
        <f>Subsurface_Live_Data!Y118</f>
        <v/>
      </c>
      <c r="I118" s="50">
        <f>Subsurface_Inputs!$C$47-Subsurface_Inputs!$C$43+2*SIN(2*PI()*A118/42)</f>
        <v/>
      </c>
      <c r="J118" s="50" t="n">
        <v>0</v>
      </c>
    </row>
    <row r="119">
      <c r="A119" s="50">
        <f>Subsurface_Live_Data!A119</f>
        <v/>
      </c>
      <c r="B119" s="50">
        <f>Subsurface_Live_Data!K119</f>
        <v/>
      </c>
      <c r="C119" s="50">
        <f>MAX(0,B119-Subsurface_Inputs!$C$44)</f>
        <v/>
      </c>
      <c r="D119" s="50">
        <f>B119+Subsurface_Inputs!$C$44</f>
        <v/>
      </c>
      <c r="E119" s="50">
        <f>B119*Subsurface_Inputs!$C$45</f>
        <v/>
      </c>
      <c r="F119" s="50">
        <f>B119</f>
        <v/>
      </c>
      <c r="G119" s="50">
        <f>B119*Subsurface_Inputs!$C$46</f>
        <v/>
      </c>
      <c r="H119" s="50">
        <f>Subsurface_Live_Data!Y119</f>
        <v/>
      </c>
      <c r="I119" s="50">
        <f>Subsurface_Inputs!$C$47-Subsurface_Inputs!$C$43+2*SIN(2*PI()*A119/42)</f>
        <v/>
      </c>
      <c r="J119" s="50" t="n">
        <v>0</v>
      </c>
    </row>
    <row r="120">
      <c r="A120" s="50">
        <f>Subsurface_Live_Data!A120</f>
        <v/>
      </c>
      <c r="B120" s="50">
        <f>Subsurface_Live_Data!K120</f>
        <v/>
      </c>
      <c r="C120" s="50">
        <f>MAX(0,B120-Subsurface_Inputs!$C$44)</f>
        <v/>
      </c>
      <c r="D120" s="50">
        <f>B120+Subsurface_Inputs!$C$44</f>
        <v/>
      </c>
      <c r="E120" s="50">
        <f>B120*Subsurface_Inputs!$C$45</f>
        <v/>
      </c>
      <c r="F120" s="50">
        <f>B120</f>
        <v/>
      </c>
      <c r="G120" s="50">
        <f>B120*Subsurface_Inputs!$C$46</f>
        <v/>
      </c>
      <c r="H120" s="50">
        <f>Subsurface_Live_Data!Y120</f>
        <v/>
      </c>
      <c r="I120" s="50">
        <f>Subsurface_Inputs!$C$47-Subsurface_Inputs!$C$43+2*SIN(2*PI()*A120/42)</f>
        <v/>
      </c>
      <c r="J120" s="50" t="n">
        <v>0</v>
      </c>
    </row>
    <row r="121">
      <c r="A121" s="50">
        <f>Subsurface_Live_Data!A121</f>
        <v/>
      </c>
      <c r="B121" s="50">
        <f>Subsurface_Live_Data!K121</f>
        <v/>
      </c>
      <c r="C121" s="50">
        <f>MAX(0,B121-Subsurface_Inputs!$C$44)</f>
        <v/>
      </c>
      <c r="D121" s="50">
        <f>B121+Subsurface_Inputs!$C$44</f>
        <v/>
      </c>
      <c r="E121" s="50">
        <f>B121*Subsurface_Inputs!$C$45</f>
        <v/>
      </c>
      <c r="F121" s="50">
        <f>B121</f>
        <v/>
      </c>
      <c r="G121" s="50">
        <f>B121*Subsurface_Inputs!$C$46</f>
        <v/>
      </c>
      <c r="H121" s="50">
        <f>Subsurface_Live_Data!Y121</f>
        <v/>
      </c>
      <c r="I121" s="50">
        <f>Subsurface_Inputs!$C$47-Subsurface_Inputs!$C$43+2*SIN(2*PI()*A121/42)</f>
        <v/>
      </c>
      <c r="J121" s="50" t="n">
        <v>0</v>
      </c>
    </row>
    <row r="122">
      <c r="A122" s="50">
        <f>Subsurface_Live_Data!A122</f>
        <v/>
      </c>
      <c r="B122" s="50">
        <f>Subsurface_Live_Data!K122</f>
        <v/>
      </c>
      <c r="C122" s="50">
        <f>MAX(0,B122-Subsurface_Inputs!$C$44)</f>
        <v/>
      </c>
      <c r="D122" s="50">
        <f>B122+Subsurface_Inputs!$C$44</f>
        <v/>
      </c>
      <c r="E122" s="50">
        <f>B122*Subsurface_Inputs!$C$45</f>
        <v/>
      </c>
      <c r="F122" s="50">
        <f>B122</f>
        <v/>
      </c>
      <c r="G122" s="50">
        <f>B122*Subsurface_Inputs!$C$46</f>
        <v/>
      </c>
      <c r="H122" s="50">
        <f>Subsurface_Live_Data!Y122</f>
        <v/>
      </c>
      <c r="I122" s="50">
        <f>Subsurface_Inputs!$C$47-Subsurface_Inputs!$C$43+2*SIN(2*PI()*A122/42)</f>
        <v/>
      </c>
      <c r="J122" s="50" t="n">
        <v>0</v>
      </c>
    </row>
    <row r="123">
      <c r="A123" s="50">
        <f>Subsurface_Live_Data!A123</f>
        <v/>
      </c>
      <c r="B123" s="50">
        <f>Subsurface_Live_Data!K123</f>
        <v/>
      </c>
      <c r="C123" s="50">
        <f>MAX(0,B123-Subsurface_Inputs!$C$44)</f>
        <v/>
      </c>
      <c r="D123" s="50">
        <f>B123+Subsurface_Inputs!$C$44</f>
        <v/>
      </c>
      <c r="E123" s="50">
        <f>B123*Subsurface_Inputs!$C$45</f>
        <v/>
      </c>
      <c r="F123" s="50">
        <f>B123</f>
        <v/>
      </c>
      <c r="G123" s="50">
        <f>B123*Subsurface_Inputs!$C$46</f>
        <v/>
      </c>
      <c r="H123" s="50">
        <f>Subsurface_Live_Data!Y123</f>
        <v/>
      </c>
      <c r="I123" s="50">
        <f>Subsurface_Inputs!$C$47-Subsurface_Inputs!$C$43+2*SIN(2*PI()*A123/42)</f>
        <v/>
      </c>
      <c r="J123" s="50" t="n">
        <v>0</v>
      </c>
    </row>
    <row r="124">
      <c r="A124" s="50">
        <f>Subsurface_Live_Data!A124</f>
        <v/>
      </c>
      <c r="B124" s="50">
        <f>Subsurface_Live_Data!K124</f>
        <v/>
      </c>
      <c r="C124" s="50">
        <f>MAX(0,B124-Subsurface_Inputs!$C$44)</f>
        <v/>
      </c>
      <c r="D124" s="50">
        <f>B124+Subsurface_Inputs!$C$44</f>
        <v/>
      </c>
      <c r="E124" s="50">
        <f>B124*Subsurface_Inputs!$C$45</f>
        <v/>
      </c>
      <c r="F124" s="50">
        <f>B124</f>
        <v/>
      </c>
      <c r="G124" s="50">
        <f>B124*Subsurface_Inputs!$C$46</f>
        <v/>
      </c>
      <c r="H124" s="50">
        <f>Subsurface_Live_Data!Y124</f>
        <v/>
      </c>
      <c r="I124" s="50">
        <f>Subsurface_Inputs!$C$47-Subsurface_Inputs!$C$43+2*SIN(2*PI()*A124/42)</f>
        <v/>
      </c>
      <c r="J124" s="50" t="n">
        <v>0</v>
      </c>
    </row>
    <row r="125">
      <c r="A125" s="50">
        <f>Subsurface_Live_Data!A125</f>
        <v/>
      </c>
      <c r="B125" s="50">
        <f>Subsurface_Live_Data!K125</f>
        <v/>
      </c>
      <c r="C125" s="50">
        <f>MAX(0,B125-Subsurface_Inputs!$C$44)</f>
        <v/>
      </c>
      <c r="D125" s="50">
        <f>B125+Subsurface_Inputs!$C$44</f>
        <v/>
      </c>
      <c r="E125" s="50">
        <f>B125*Subsurface_Inputs!$C$45</f>
        <v/>
      </c>
      <c r="F125" s="50">
        <f>B125</f>
        <v/>
      </c>
      <c r="G125" s="50">
        <f>B125*Subsurface_Inputs!$C$46</f>
        <v/>
      </c>
      <c r="H125" s="50">
        <f>Subsurface_Live_Data!Y125</f>
        <v/>
      </c>
      <c r="I125" s="50">
        <f>Subsurface_Inputs!$C$47-Subsurface_Inputs!$C$43+2*SIN(2*PI()*A125/42)</f>
        <v/>
      </c>
      <c r="J125" s="50" t="n">
        <v>0</v>
      </c>
    </row>
    <row r="126">
      <c r="A126" s="50">
        <f>Subsurface_Live_Data!A126</f>
        <v/>
      </c>
      <c r="B126" s="50">
        <f>Subsurface_Live_Data!K126</f>
        <v/>
      </c>
      <c r="C126" s="50">
        <f>MAX(0,B126-Subsurface_Inputs!$C$44)</f>
        <v/>
      </c>
      <c r="D126" s="50">
        <f>B126+Subsurface_Inputs!$C$44</f>
        <v/>
      </c>
      <c r="E126" s="50">
        <f>B126*Subsurface_Inputs!$C$45</f>
        <v/>
      </c>
      <c r="F126" s="50">
        <f>B126</f>
        <v/>
      </c>
      <c r="G126" s="50">
        <f>B126*Subsurface_Inputs!$C$46</f>
        <v/>
      </c>
      <c r="H126" s="50">
        <f>Subsurface_Live_Data!Y126</f>
        <v/>
      </c>
      <c r="I126" s="50">
        <f>Subsurface_Inputs!$C$47-Subsurface_Inputs!$C$43+2*SIN(2*PI()*A126/42)</f>
        <v/>
      </c>
      <c r="J126" s="50" t="n">
        <v>0</v>
      </c>
    </row>
    <row r="127">
      <c r="A127" s="50">
        <f>Subsurface_Live_Data!A127</f>
        <v/>
      </c>
      <c r="B127" s="50">
        <f>Subsurface_Live_Data!K127</f>
        <v/>
      </c>
      <c r="C127" s="50">
        <f>MAX(0,B127-Subsurface_Inputs!$C$44)</f>
        <v/>
      </c>
      <c r="D127" s="50">
        <f>B127+Subsurface_Inputs!$C$44</f>
        <v/>
      </c>
      <c r="E127" s="50">
        <f>B127*Subsurface_Inputs!$C$45</f>
        <v/>
      </c>
      <c r="F127" s="50">
        <f>B127</f>
        <v/>
      </c>
      <c r="G127" s="50">
        <f>B127*Subsurface_Inputs!$C$46</f>
        <v/>
      </c>
      <c r="H127" s="50">
        <f>Subsurface_Live_Data!Y127</f>
        <v/>
      </c>
      <c r="I127" s="50">
        <f>Subsurface_Inputs!$C$47-Subsurface_Inputs!$C$43+2*SIN(2*PI()*A127/42)</f>
        <v/>
      </c>
      <c r="J127" s="50" t="n">
        <v>0</v>
      </c>
    </row>
    <row r="128">
      <c r="A128" s="50">
        <f>Subsurface_Live_Data!A128</f>
        <v/>
      </c>
      <c r="B128" s="50">
        <f>Subsurface_Live_Data!K128</f>
        <v/>
      </c>
      <c r="C128" s="50">
        <f>MAX(0,B128-Subsurface_Inputs!$C$44)</f>
        <v/>
      </c>
      <c r="D128" s="50">
        <f>B128+Subsurface_Inputs!$C$44</f>
        <v/>
      </c>
      <c r="E128" s="50">
        <f>B128*Subsurface_Inputs!$C$45</f>
        <v/>
      </c>
      <c r="F128" s="50">
        <f>B128</f>
        <v/>
      </c>
      <c r="G128" s="50">
        <f>B128*Subsurface_Inputs!$C$46</f>
        <v/>
      </c>
      <c r="H128" s="50">
        <f>Subsurface_Live_Data!Y128</f>
        <v/>
      </c>
      <c r="I128" s="50">
        <f>Subsurface_Inputs!$C$47-Subsurface_Inputs!$C$43+2*SIN(2*PI()*A128/42)</f>
        <v/>
      </c>
      <c r="J128" s="50" t="n">
        <v>0</v>
      </c>
    </row>
    <row r="129">
      <c r="A129" s="50">
        <f>Subsurface_Live_Data!A129</f>
        <v/>
      </c>
      <c r="B129" s="50">
        <f>Subsurface_Live_Data!K129</f>
        <v/>
      </c>
      <c r="C129" s="50">
        <f>MAX(0,B129-Subsurface_Inputs!$C$44)</f>
        <v/>
      </c>
      <c r="D129" s="50">
        <f>B129+Subsurface_Inputs!$C$44</f>
        <v/>
      </c>
      <c r="E129" s="50">
        <f>B129*Subsurface_Inputs!$C$45</f>
        <v/>
      </c>
      <c r="F129" s="50">
        <f>B129</f>
        <v/>
      </c>
      <c r="G129" s="50">
        <f>B129*Subsurface_Inputs!$C$46</f>
        <v/>
      </c>
      <c r="H129" s="50">
        <f>Subsurface_Live_Data!Y129</f>
        <v/>
      </c>
      <c r="I129" s="50">
        <f>Subsurface_Inputs!$C$47-Subsurface_Inputs!$C$43+2*SIN(2*PI()*A129/42)</f>
        <v/>
      </c>
      <c r="J129" s="50" t="n">
        <v>0</v>
      </c>
    </row>
    <row r="130">
      <c r="A130" s="50">
        <f>Subsurface_Live_Data!A130</f>
        <v/>
      </c>
      <c r="B130" s="50">
        <f>Subsurface_Live_Data!K130</f>
        <v/>
      </c>
      <c r="C130" s="50">
        <f>MAX(0,B130-Subsurface_Inputs!$C$44)</f>
        <v/>
      </c>
      <c r="D130" s="50">
        <f>B130+Subsurface_Inputs!$C$44</f>
        <v/>
      </c>
      <c r="E130" s="50">
        <f>B130*Subsurface_Inputs!$C$45</f>
        <v/>
      </c>
      <c r="F130" s="50">
        <f>B130</f>
        <v/>
      </c>
      <c r="G130" s="50">
        <f>B130*Subsurface_Inputs!$C$46</f>
        <v/>
      </c>
      <c r="H130" s="50">
        <f>Subsurface_Live_Data!Y130</f>
        <v/>
      </c>
      <c r="I130" s="50">
        <f>Subsurface_Inputs!$C$47-Subsurface_Inputs!$C$43+2*SIN(2*PI()*A130/42)</f>
        <v/>
      </c>
      <c r="J130" s="50" t="n">
        <v>0</v>
      </c>
    </row>
    <row r="131">
      <c r="A131" s="50">
        <f>Subsurface_Live_Data!A131</f>
        <v/>
      </c>
      <c r="B131" s="50">
        <f>Subsurface_Live_Data!K131</f>
        <v/>
      </c>
      <c r="C131" s="50">
        <f>MAX(0,B131-Subsurface_Inputs!$C$44)</f>
        <v/>
      </c>
      <c r="D131" s="50">
        <f>B131+Subsurface_Inputs!$C$44</f>
        <v/>
      </c>
      <c r="E131" s="50">
        <f>B131*Subsurface_Inputs!$C$45</f>
        <v/>
      </c>
      <c r="F131" s="50">
        <f>B131</f>
        <v/>
      </c>
      <c r="G131" s="50">
        <f>B131*Subsurface_Inputs!$C$46</f>
        <v/>
      </c>
      <c r="H131" s="50">
        <f>Subsurface_Live_Data!Y131</f>
        <v/>
      </c>
      <c r="I131" s="50">
        <f>Subsurface_Inputs!$C$47-Subsurface_Inputs!$C$43+2*SIN(2*PI()*A131/42)</f>
        <v/>
      </c>
      <c r="J131" s="50" t="n">
        <v>0</v>
      </c>
    </row>
    <row r="132">
      <c r="A132" s="50">
        <f>Subsurface_Live_Data!A132</f>
        <v/>
      </c>
      <c r="B132" s="50">
        <f>Subsurface_Live_Data!K132</f>
        <v/>
      </c>
      <c r="C132" s="50">
        <f>MAX(0,B132-Subsurface_Inputs!$C$44)</f>
        <v/>
      </c>
      <c r="D132" s="50">
        <f>B132+Subsurface_Inputs!$C$44</f>
        <v/>
      </c>
      <c r="E132" s="50">
        <f>B132*Subsurface_Inputs!$C$45</f>
        <v/>
      </c>
      <c r="F132" s="50">
        <f>B132</f>
        <v/>
      </c>
      <c r="G132" s="50">
        <f>B132*Subsurface_Inputs!$C$46</f>
        <v/>
      </c>
      <c r="H132" s="50">
        <f>Subsurface_Live_Data!Y132</f>
        <v/>
      </c>
      <c r="I132" s="50">
        <f>Subsurface_Inputs!$C$47-Subsurface_Inputs!$C$43+2*SIN(2*PI()*A132/42)</f>
        <v/>
      </c>
      <c r="J132" s="50" t="n">
        <v>0</v>
      </c>
    </row>
    <row r="133">
      <c r="A133" s="50">
        <f>Subsurface_Live_Data!A133</f>
        <v/>
      </c>
      <c r="B133" s="50">
        <f>Subsurface_Live_Data!K133</f>
        <v/>
      </c>
      <c r="C133" s="50">
        <f>MAX(0,B133-Subsurface_Inputs!$C$44)</f>
        <v/>
      </c>
      <c r="D133" s="50">
        <f>B133+Subsurface_Inputs!$C$44</f>
        <v/>
      </c>
      <c r="E133" s="50">
        <f>B133*Subsurface_Inputs!$C$45</f>
        <v/>
      </c>
      <c r="F133" s="50">
        <f>B133</f>
        <v/>
      </c>
      <c r="G133" s="50">
        <f>B133*Subsurface_Inputs!$C$46</f>
        <v/>
      </c>
      <c r="H133" s="50">
        <f>Subsurface_Live_Data!Y133</f>
        <v/>
      </c>
      <c r="I133" s="50">
        <f>Subsurface_Inputs!$C$47-Subsurface_Inputs!$C$43+2*SIN(2*PI()*A133/42)</f>
        <v/>
      </c>
      <c r="J133" s="50" t="n">
        <v>0</v>
      </c>
    </row>
    <row r="134">
      <c r="A134" s="50">
        <f>Subsurface_Live_Data!A134</f>
        <v/>
      </c>
      <c r="B134" s="50">
        <f>Subsurface_Live_Data!K134</f>
        <v/>
      </c>
      <c r="C134" s="50">
        <f>MAX(0,B134-Subsurface_Inputs!$C$44)</f>
        <v/>
      </c>
      <c r="D134" s="50">
        <f>B134+Subsurface_Inputs!$C$44</f>
        <v/>
      </c>
      <c r="E134" s="50">
        <f>B134*Subsurface_Inputs!$C$45</f>
        <v/>
      </c>
      <c r="F134" s="50">
        <f>B134</f>
        <v/>
      </c>
      <c r="G134" s="50">
        <f>B134*Subsurface_Inputs!$C$46</f>
        <v/>
      </c>
      <c r="H134" s="50">
        <f>Subsurface_Live_Data!Y134</f>
        <v/>
      </c>
      <c r="I134" s="50">
        <f>Subsurface_Inputs!$C$47-Subsurface_Inputs!$C$43+2*SIN(2*PI()*A134/42)</f>
        <v/>
      </c>
      <c r="J134" s="50" t="n">
        <v>0</v>
      </c>
    </row>
    <row r="135">
      <c r="A135" s="50">
        <f>Subsurface_Live_Data!A135</f>
        <v/>
      </c>
      <c r="B135" s="50">
        <f>Subsurface_Live_Data!K135</f>
        <v/>
      </c>
      <c r="C135" s="50">
        <f>MAX(0,B135-Subsurface_Inputs!$C$44)</f>
        <v/>
      </c>
      <c r="D135" s="50">
        <f>B135+Subsurface_Inputs!$C$44</f>
        <v/>
      </c>
      <c r="E135" s="50">
        <f>B135*Subsurface_Inputs!$C$45</f>
        <v/>
      </c>
      <c r="F135" s="50">
        <f>B135</f>
        <v/>
      </c>
      <c r="G135" s="50">
        <f>B135*Subsurface_Inputs!$C$46</f>
        <v/>
      </c>
      <c r="H135" s="50">
        <f>Subsurface_Live_Data!Y135</f>
        <v/>
      </c>
      <c r="I135" s="50">
        <f>Subsurface_Inputs!$C$47-Subsurface_Inputs!$C$43+2*SIN(2*PI()*A135/42)</f>
        <v/>
      </c>
      <c r="J135" s="50" t="n">
        <v>0</v>
      </c>
    </row>
    <row r="136">
      <c r="A136" s="50">
        <f>Subsurface_Live_Data!A136</f>
        <v/>
      </c>
      <c r="B136" s="50">
        <f>Subsurface_Live_Data!K136</f>
        <v/>
      </c>
      <c r="C136" s="50">
        <f>MAX(0,B136-Subsurface_Inputs!$C$44)</f>
        <v/>
      </c>
      <c r="D136" s="50">
        <f>B136+Subsurface_Inputs!$C$44</f>
        <v/>
      </c>
      <c r="E136" s="50">
        <f>B136*Subsurface_Inputs!$C$45</f>
        <v/>
      </c>
      <c r="F136" s="50">
        <f>B136</f>
        <v/>
      </c>
      <c r="G136" s="50">
        <f>B136*Subsurface_Inputs!$C$46</f>
        <v/>
      </c>
      <c r="H136" s="50">
        <f>Subsurface_Live_Data!Y136</f>
        <v/>
      </c>
      <c r="I136" s="50">
        <f>Subsurface_Inputs!$C$47-Subsurface_Inputs!$C$43+2*SIN(2*PI()*A136/42)</f>
        <v/>
      </c>
      <c r="J136" s="50" t="n">
        <v>0</v>
      </c>
    </row>
    <row r="137">
      <c r="A137" s="50">
        <f>Subsurface_Live_Data!A137</f>
        <v/>
      </c>
      <c r="B137" s="50">
        <f>Subsurface_Live_Data!K137</f>
        <v/>
      </c>
      <c r="C137" s="50">
        <f>MAX(0,B137-Subsurface_Inputs!$C$44)</f>
        <v/>
      </c>
      <c r="D137" s="50">
        <f>B137+Subsurface_Inputs!$C$44</f>
        <v/>
      </c>
      <c r="E137" s="50">
        <f>B137*Subsurface_Inputs!$C$45</f>
        <v/>
      </c>
      <c r="F137" s="50">
        <f>B137</f>
        <v/>
      </c>
      <c r="G137" s="50">
        <f>B137*Subsurface_Inputs!$C$46</f>
        <v/>
      </c>
      <c r="H137" s="50">
        <f>Subsurface_Live_Data!Y137</f>
        <v/>
      </c>
      <c r="I137" s="50">
        <f>Subsurface_Inputs!$C$47-Subsurface_Inputs!$C$43+2*SIN(2*PI()*A137/42)</f>
        <v/>
      </c>
      <c r="J137" s="50" t="n">
        <v>0</v>
      </c>
    </row>
    <row r="138">
      <c r="A138" s="50">
        <f>Subsurface_Live_Data!A138</f>
        <v/>
      </c>
      <c r="B138" s="50">
        <f>Subsurface_Live_Data!K138</f>
        <v/>
      </c>
      <c r="C138" s="50">
        <f>MAX(0,B138-Subsurface_Inputs!$C$44)</f>
        <v/>
      </c>
      <c r="D138" s="50">
        <f>B138+Subsurface_Inputs!$C$44</f>
        <v/>
      </c>
      <c r="E138" s="50">
        <f>B138*Subsurface_Inputs!$C$45</f>
        <v/>
      </c>
      <c r="F138" s="50">
        <f>B138</f>
        <v/>
      </c>
      <c r="G138" s="50">
        <f>B138*Subsurface_Inputs!$C$46</f>
        <v/>
      </c>
      <c r="H138" s="50">
        <f>Subsurface_Live_Data!Y138</f>
        <v/>
      </c>
      <c r="I138" s="50">
        <f>Subsurface_Inputs!$C$47-Subsurface_Inputs!$C$43+2*SIN(2*PI()*A138/42)</f>
        <v/>
      </c>
      <c r="J138" s="50" t="n">
        <v>0</v>
      </c>
    </row>
    <row r="139">
      <c r="A139" s="50">
        <f>Subsurface_Live_Data!A139</f>
        <v/>
      </c>
      <c r="B139" s="50">
        <f>Subsurface_Live_Data!K139</f>
        <v/>
      </c>
      <c r="C139" s="50">
        <f>MAX(0,B139-Subsurface_Inputs!$C$44)</f>
        <v/>
      </c>
      <c r="D139" s="50">
        <f>B139+Subsurface_Inputs!$C$44</f>
        <v/>
      </c>
      <c r="E139" s="50">
        <f>B139*Subsurface_Inputs!$C$45</f>
        <v/>
      </c>
      <c r="F139" s="50">
        <f>B139</f>
        <v/>
      </c>
      <c r="G139" s="50">
        <f>B139*Subsurface_Inputs!$C$46</f>
        <v/>
      </c>
      <c r="H139" s="50">
        <f>Subsurface_Live_Data!Y139</f>
        <v/>
      </c>
      <c r="I139" s="50">
        <f>Subsurface_Inputs!$C$47-Subsurface_Inputs!$C$43+2*SIN(2*PI()*A139/42)</f>
        <v/>
      </c>
      <c r="J139" s="50" t="n">
        <v>0</v>
      </c>
    </row>
    <row r="140">
      <c r="A140" s="50">
        <f>Subsurface_Live_Data!A140</f>
        <v/>
      </c>
      <c r="B140" s="50">
        <f>Subsurface_Live_Data!K140</f>
        <v/>
      </c>
      <c r="C140" s="50">
        <f>MAX(0,B140-Subsurface_Inputs!$C$44)</f>
        <v/>
      </c>
      <c r="D140" s="50">
        <f>B140+Subsurface_Inputs!$C$44</f>
        <v/>
      </c>
      <c r="E140" s="50">
        <f>B140*Subsurface_Inputs!$C$45</f>
        <v/>
      </c>
      <c r="F140" s="50">
        <f>B140</f>
        <v/>
      </c>
      <c r="G140" s="50">
        <f>B140*Subsurface_Inputs!$C$46</f>
        <v/>
      </c>
      <c r="H140" s="50">
        <f>Subsurface_Live_Data!Y140</f>
        <v/>
      </c>
      <c r="I140" s="50">
        <f>Subsurface_Inputs!$C$47-Subsurface_Inputs!$C$43+2*SIN(2*PI()*A140/42)</f>
        <v/>
      </c>
      <c r="J140" s="50" t="n">
        <v>0</v>
      </c>
    </row>
    <row r="141">
      <c r="A141" s="50">
        <f>Subsurface_Live_Data!A141</f>
        <v/>
      </c>
      <c r="B141" s="50">
        <f>Subsurface_Live_Data!K141</f>
        <v/>
      </c>
      <c r="C141" s="50">
        <f>MAX(0,B141-Subsurface_Inputs!$C$44)</f>
        <v/>
      </c>
      <c r="D141" s="50">
        <f>B141+Subsurface_Inputs!$C$44</f>
        <v/>
      </c>
      <c r="E141" s="50">
        <f>B141*Subsurface_Inputs!$C$45</f>
        <v/>
      </c>
      <c r="F141" s="50">
        <f>B141</f>
        <v/>
      </c>
      <c r="G141" s="50">
        <f>B141*Subsurface_Inputs!$C$46</f>
        <v/>
      </c>
      <c r="H141" s="50">
        <f>Subsurface_Live_Data!Y141</f>
        <v/>
      </c>
      <c r="I141" s="50">
        <f>Subsurface_Inputs!$C$47-Subsurface_Inputs!$C$43+2*SIN(2*PI()*A141/42)</f>
        <v/>
      </c>
      <c r="J141" s="50" t="n">
        <v>0</v>
      </c>
    </row>
    <row r="142">
      <c r="A142" s="50">
        <f>Subsurface_Live_Data!A142</f>
        <v/>
      </c>
      <c r="B142" s="50">
        <f>Subsurface_Live_Data!K142</f>
        <v/>
      </c>
      <c r="C142" s="50">
        <f>MAX(0,B142-Subsurface_Inputs!$C$44)</f>
        <v/>
      </c>
      <c r="D142" s="50">
        <f>B142+Subsurface_Inputs!$C$44</f>
        <v/>
      </c>
      <c r="E142" s="50">
        <f>B142*Subsurface_Inputs!$C$45</f>
        <v/>
      </c>
      <c r="F142" s="50">
        <f>B142</f>
        <v/>
      </c>
      <c r="G142" s="50">
        <f>B142*Subsurface_Inputs!$C$46</f>
        <v/>
      </c>
      <c r="H142" s="50">
        <f>Subsurface_Live_Data!Y142</f>
        <v/>
      </c>
      <c r="I142" s="50">
        <f>Subsurface_Inputs!$C$47-Subsurface_Inputs!$C$43+2*SIN(2*PI()*A142/42)</f>
        <v/>
      </c>
      <c r="J142" s="50" t="n">
        <v>0</v>
      </c>
    </row>
    <row r="143">
      <c r="A143" s="50">
        <f>Subsurface_Live_Data!A143</f>
        <v/>
      </c>
      <c r="B143" s="50">
        <f>Subsurface_Live_Data!K143</f>
        <v/>
      </c>
      <c r="C143" s="50">
        <f>MAX(0,B143-Subsurface_Inputs!$C$44)</f>
        <v/>
      </c>
      <c r="D143" s="50">
        <f>B143+Subsurface_Inputs!$C$44</f>
        <v/>
      </c>
      <c r="E143" s="50">
        <f>B143*Subsurface_Inputs!$C$45</f>
        <v/>
      </c>
      <c r="F143" s="50">
        <f>B143</f>
        <v/>
      </c>
      <c r="G143" s="50">
        <f>B143*Subsurface_Inputs!$C$46</f>
        <v/>
      </c>
      <c r="H143" s="50">
        <f>Subsurface_Live_Data!Y143</f>
        <v/>
      </c>
      <c r="I143" s="50">
        <f>Subsurface_Inputs!$C$47-Subsurface_Inputs!$C$43+2*SIN(2*PI()*A143/42)</f>
        <v/>
      </c>
      <c r="J143" s="50" t="n">
        <v>0</v>
      </c>
    </row>
    <row r="144">
      <c r="A144" s="50">
        <f>Subsurface_Live_Data!A144</f>
        <v/>
      </c>
      <c r="B144" s="50">
        <f>Subsurface_Live_Data!K144</f>
        <v/>
      </c>
      <c r="C144" s="50">
        <f>MAX(0,B144-Subsurface_Inputs!$C$44)</f>
        <v/>
      </c>
      <c r="D144" s="50">
        <f>B144+Subsurface_Inputs!$C$44</f>
        <v/>
      </c>
      <c r="E144" s="50">
        <f>B144*Subsurface_Inputs!$C$45</f>
        <v/>
      </c>
      <c r="F144" s="50">
        <f>B144</f>
        <v/>
      </c>
      <c r="G144" s="50">
        <f>B144*Subsurface_Inputs!$C$46</f>
        <v/>
      </c>
      <c r="H144" s="50">
        <f>Subsurface_Live_Data!Y144</f>
        <v/>
      </c>
      <c r="I144" s="50">
        <f>Subsurface_Inputs!$C$47-Subsurface_Inputs!$C$43+2*SIN(2*PI()*A144/42)</f>
        <v/>
      </c>
      <c r="J144" s="50" t="n">
        <v>0</v>
      </c>
    </row>
    <row r="145">
      <c r="A145" s="50">
        <f>Subsurface_Live_Data!A145</f>
        <v/>
      </c>
      <c r="B145" s="50">
        <f>Subsurface_Live_Data!K145</f>
        <v/>
      </c>
      <c r="C145" s="50">
        <f>MAX(0,B145-Subsurface_Inputs!$C$44)</f>
        <v/>
      </c>
      <c r="D145" s="50">
        <f>B145+Subsurface_Inputs!$C$44</f>
        <v/>
      </c>
      <c r="E145" s="50">
        <f>B145*Subsurface_Inputs!$C$45</f>
        <v/>
      </c>
      <c r="F145" s="50">
        <f>B145</f>
        <v/>
      </c>
      <c r="G145" s="50">
        <f>B145*Subsurface_Inputs!$C$46</f>
        <v/>
      </c>
      <c r="H145" s="50">
        <f>Subsurface_Live_Data!Y145</f>
        <v/>
      </c>
      <c r="I145" s="50">
        <f>Subsurface_Inputs!$C$47-Subsurface_Inputs!$C$43+2*SIN(2*PI()*A145/42)</f>
        <v/>
      </c>
      <c r="J145" s="50" t="n">
        <v>0</v>
      </c>
    </row>
    <row r="146">
      <c r="A146" s="50">
        <f>Subsurface_Live_Data!A146</f>
        <v/>
      </c>
      <c r="B146" s="50">
        <f>Subsurface_Live_Data!K146</f>
        <v/>
      </c>
      <c r="C146" s="50">
        <f>MAX(0,B146-Subsurface_Inputs!$C$44)</f>
        <v/>
      </c>
      <c r="D146" s="50">
        <f>B146+Subsurface_Inputs!$C$44</f>
        <v/>
      </c>
      <c r="E146" s="50">
        <f>B146*Subsurface_Inputs!$C$45</f>
        <v/>
      </c>
      <c r="F146" s="50">
        <f>B146</f>
        <v/>
      </c>
      <c r="G146" s="50">
        <f>B146*Subsurface_Inputs!$C$46</f>
        <v/>
      </c>
      <c r="H146" s="50">
        <f>Subsurface_Live_Data!Y146</f>
        <v/>
      </c>
      <c r="I146" s="50">
        <f>Subsurface_Inputs!$C$47-Subsurface_Inputs!$C$43+2*SIN(2*PI()*A146/42)</f>
        <v/>
      </c>
      <c r="J146" s="50" t="n">
        <v>0</v>
      </c>
    </row>
    <row r="147">
      <c r="A147" s="50">
        <f>Subsurface_Live_Data!A147</f>
        <v/>
      </c>
      <c r="B147" s="50">
        <f>Subsurface_Live_Data!K147</f>
        <v/>
      </c>
      <c r="C147" s="50">
        <f>MAX(0,B147-Subsurface_Inputs!$C$44)</f>
        <v/>
      </c>
      <c r="D147" s="50">
        <f>B147+Subsurface_Inputs!$C$44</f>
        <v/>
      </c>
      <c r="E147" s="50">
        <f>B147*Subsurface_Inputs!$C$45</f>
        <v/>
      </c>
      <c r="F147" s="50">
        <f>B147</f>
        <v/>
      </c>
      <c r="G147" s="50">
        <f>B147*Subsurface_Inputs!$C$46</f>
        <v/>
      </c>
      <c r="H147" s="50">
        <f>Subsurface_Live_Data!Y147</f>
        <v/>
      </c>
      <c r="I147" s="50">
        <f>Subsurface_Inputs!$C$47-Subsurface_Inputs!$C$43+2*SIN(2*PI()*A147/42)</f>
        <v/>
      </c>
      <c r="J147" s="50" t="n">
        <v>0</v>
      </c>
    </row>
    <row r="148">
      <c r="A148" s="50">
        <f>Subsurface_Live_Data!A148</f>
        <v/>
      </c>
      <c r="B148" s="50">
        <f>Subsurface_Live_Data!K148</f>
        <v/>
      </c>
      <c r="C148" s="50">
        <f>MAX(0,B148-Subsurface_Inputs!$C$44)</f>
        <v/>
      </c>
      <c r="D148" s="50">
        <f>B148+Subsurface_Inputs!$C$44</f>
        <v/>
      </c>
      <c r="E148" s="50">
        <f>B148*Subsurface_Inputs!$C$45</f>
        <v/>
      </c>
      <c r="F148" s="50">
        <f>B148</f>
        <v/>
      </c>
      <c r="G148" s="50">
        <f>B148*Subsurface_Inputs!$C$46</f>
        <v/>
      </c>
      <c r="H148" s="50">
        <f>Subsurface_Live_Data!Y148</f>
        <v/>
      </c>
      <c r="I148" s="50">
        <f>Subsurface_Inputs!$C$47-Subsurface_Inputs!$C$43+2*SIN(2*PI()*A148/42)</f>
        <v/>
      </c>
      <c r="J148" s="50" t="n">
        <v>0</v>
      </c>
    </row>
    <row r="149">
      <c r="A149" s="50">
        <f>Subsurface_Live_Data!A149</f>
        <v/>
      </c>
      <c r="B149" s="50">
        <f>Subsurface_Live_Data!K149</f>
        <v/>
      </c>
      <c r="C149" s="50">
        <f>MAX(0,B149-Subsurface_Inputs!$C$44)</f>
        <v/>
      </c>
      <c r="D149" s="50">
        <f>B149+Subsurface_Inputs!$C$44</f>
        <v/>
      </c>
      <c r="E149" s="50">
        <f>B149*Subsurface_Inputs!$C$45</f>
        <v/>
      </c>
      <c r="F149" s="50">
        <f>B149</f>
        <v/>
      </c>
      <c r="G149" s="50">
        <f>B149*Subsurface_Inputs!$C$46</f>
        <v/>
      </c>
      <c r="H149" s="50">
        <f>Subsurface_Live_Data!Y149</f>
        <v/>
      </c>
      <c r="I149" s="50">
        <f>Subsurface_Inputs!$C$47-Subsurface_Inputs!$C$43+2*SIN(2*PI()*A149/42)</f>
        <v/>
      </c>
      <c r="J149" s="50" t="n">
        <v>0</v>
      </c>
    </row>
    <row r="150">
      <c r="A150" s="50">
        <f>Subsurface_Live_Data!A150</f>
        <v/>
      </c>
      <c r="B150" s="50">
        <f>Subsurface_Live_Data!K150</f>
        <v/>
      </c>
      <c r="C150" s="50">
        <f>MAX(0,B150-Subsurface_Inputs!$C$44)</f>
        <v/>
      </c>
      <c r="D150" s="50">
        <f>B150+Subsurface_Inputs!$C$44</f>
        <v/>
      </c>
      <c r="E150" s="50">
        <f>B150*Subsurface_Inputs!$C$45</f>
        <v/>
      </c>
      <c r="F150" s="50">
        <f>B150</f>
        <v/>
      </c>
      <c r="G150" s="50">
        <f>B150*Subsurface_Inputs!$C$46</f>
        <v/>
      </c>
      <c r="H150" s="50">
        <f>Subsurface_Live_Data!Y150</f>
        <v/>
      </c>
      <c r="I150" s="50">
        <f>Subsurface_Inputs!$C$47-Subsurface_Inputs!$C$43+2*SIN(2*PI()*A150/42)</f>
        <v/>
      </c>
      <c r="J150" s="50" t="n">
        <v>0</v>
      </c>
    </row>
    <row r="151">
      <c r="A151" s="50">
        <f>Subsurface_Live_Data!A151</f>
        <v/>
      </c>
      <c r="B151" s="50">
        <f>Subsurface_Live_Data!K151</f>
        <v/>
      </c>
      <c r="C151" s="50">
        <f>MAX(0,B151-Subsurface_Inputs!$C$44)</f>
        <v/>
      </c>
      <c r="D151" s="50">
        <f>B151+Subsurface_Inputs!$C$44</f>
        <v/>
      </c>
      <c r="E151" s="50">
        <f>B151*Subsurface_Inputs!$C$45</f>
        <v/>
      </c>
      <c r="F151" s="50">
        <f>B151</f>
        <v/>
      </c>
      <c r="G151" s="50">
        <f>B151*Subsurface_Inputs!$C$46</f>
        <v/>
      </c>
      <c r="H151" s="50">
        <f>Subsurface_Live_Data!Y151</f>
        <v/>
      </c>
      <c r="I151" s="50">
        <f>Subsurface_Inputs!$C$47-Subsurface_Inputs!$C$43+2*SIN(2*PI()*A151/42)</f>
        <v/>
      </c>
      <c r="J151" s="50" t="n">
        <v>0</v>
      </c>
    </row>
    <row r="152">
      <c r="A152" s="50">
        <f>Subsurface_Live_Data!A152</f>
        <v/>
      </c>
      <c r="B152" s="50">
        <f>Subsurface_Live_Data!K152</f>
        <v/>
      </c>
      <c r="C152" s="50">
        <f>MAX(0,B152-Subsurface_Inputs!$C$44)</f>
        <v/>
      </c>
      <c r="D152" s="50">
        <f>B152+Subsurface_Inputs!$C$44</f>
        <v/>
      </c>
      <c r="E152" s="50">
        <f>B152*Subsurface_Inputs!$C$45</f>
        <v/>
      </c>
      <c r="F152" s="50">
        <f>B152</f>
        <v/>
      </c>
      <c r="G152" s="50">
        <f>B152*Subsurface_Inputs!$C$46</f>
        <v/>
      </c>
      <c r="H152" s="50">
        <f>Subsurface_Live_Data!Y152</f>
        <v/>
      </c>
      <c r="I152" s="50">
        <f>Subsurface_Inputs!$C$47-Subsurface_Inputs!$C$43+2*SIN(2*PI()*A152/42)</f>
        <v/>
      </c>
      <c r="J152" s="50" t="n">
        <v>0</v>
      </c>
    </row>
    <row r="153">
      <c r="A153" s="50">
        <f>Subsurface_Live_Data!A153</f>
        <v/>
      </c>
      <c r="B153" s="50">
        <f>Subsurface_Live_Data!K153</f>
        <v/>
      </c>
      <c r="C153" s="50">
        <f>MAX(0,B153-Subsurface_Inputs!$C$44)</f>
        <v/>
      </c>
      <c r="D153" s="50">
        <f>B153+Subsurface_Inputs!$C$44</f>
        <v/>
      </c>
      <c r="E153" s="50">
        <f>B153*Subsurface_Inputs!$C$45</f>
        <v/>
      </c>
      <c r="F153" s="50">
        <f>B153</f>
        <v/>
      </c>
      <c r="G153" s="50">
        <f>B153*Subsurface_Inputs!$C$46</f>
        <v/>
      </c>
      <c r="H153" s="50">
        <f>Subsurface_Live_Data!Y153</f>
        <v/>
      </c>
      <c r="I153" s="50">
        <f>Subsurface_Inputs!$C$47-Subsurface_Inputs!$C$43+2*SIN(2*PI()*A153/42)</f>
        <v/>
      </c>
      <c r="J153" s="50" t="n">
        <v>0</v>
      </c>
    </row>
    <row r="154">
      <c r="A154" s="50">
        <f>Subsurface_Live_Data!A154</f>
        <v/>
      </c>
      <c r="B154" s="50">
        <f>Subsurface_Live_Data!K154</f>
        <v/>
      </c>
      <c r="C154" s="50">
        <f>MAX(0,B154-Subsurface_Inputs!$C$44)</f>
        <v/>
      </c>
      <c r="D154" s="50">
        <f>B154+Subsurface_Inputs!$C$44</f>
        <v/>
      </c>
      <c r="E154" s="50">
        <f>B154*Subsurface_Inputs!$C$45</f>
        <v/>
      </c>
      <c r="F154" s="50">
        <f>B154</f>
        <v/>
      </c>
      <c r="G154" s="50">
        <f>B154*Subsurface_Inputs!$C$46</f>
        <v/>
      </c>
      <c r="H154" s="50">
        <f>Subsurface_Live_Data!Y154</f>
        <v/>
      </c>
      <c r="I154" s="50">
        <f>Subsurface_Inputs!$C$47-Subsurface_Inputs!$C$43+2*SIN(2*PI()*A154/42)</f>
        <v/>
      </c>
      <c r="J154" s="50" t="n">
        <v>0</v>
      </c>
    </row>
    <row r="155">
      <c r="A155" s="50">
        <f>Subsurface_Live_Data!A155</f>
        <v/>
      </c>
      <c r="B155" s="50">
        <f>Subsurface_Live_Data!K155</f>
        <v/>
      </c>
      <c r="C155" s="50">
        <f>MAX(0,B155-Subsurface_Inputs!$C$44)</f>
        <v/>
      </c>
      <c r="D155" s="50">
        <f>B155+Subsurface_Inputs!$C$44</f>
        <v/>
      </c>
      <c r="E155" s="50">
        <f>B155*Subsurface_Inputs!$C$45</f>
        <v/>
      </c>
      <c r="F155" s="50">
        <f>B155</f>
        <v/>
      </c>
      <c r="G155" s="50">
        <f>B155*Subsurface_Inputs!$C$46</f>
        <v/>
      </c>
      <c r="H155" s="50">
        <f>Subsurface_Live_Data!Y155</f>
        <v/>
      </c>
      <c r="I155" s="50">
        <f>Subsurface_Inputs!$C$47-Subsurface_Inputs!$C$43+2*SIN(2*PI()*A155/42)</f>
        <v/>
      </c>
      <c r="J155" s="50" t="n">
        <v>0</v>
      </c>
    </row>
    <row r="156">
      <c r="A156" s="50">
        <f>Subsurface_Live_Data!A156</f>
        <v/>
      </c>
      <c r="B156" s="50">
        <f>Subsurface_Live_Data!K156</f>
        <v/>
      </c>
      <c r="C156" s="50">
        <f>MAX(0,B156-Subsurface_Inputs!$C$44)</f>
        <v/>
      </c>
      <c r="D156" s="50">
        <f>B156+Subsurface_Inputs!$C$44</f>
        <v/>
      </c>
      <c r="E156" s="50">
        <f>B156*Subsurface_Inputs!$C$45</f>
        <v/>
      </c>
      <c r="F156" s="50">
        <f>B156</f>
        <v/>
      </c>
      <c r="G156" s="50">
        <f>B156*Subsurface_Inputs!$C$46</f>
        <v/>
      </c>
      <c r="H156" s="50">
        <f>Subsurface_Live_Data!Y156</f>
        <v/>
      </c>
      <c r="I156" s="50">
        <f>Subsurface_Inputs!$C$47-Subsurface_Inputs!$C$43+2*SIN(2*PI()*A156/42)</f>
        <v/>
      </c>
      <c r="J156" s="50" t="n">
        <v>0</v>
      </c>
    </row>
    <row r="157">
      <c r="A157" s="50">
        <f>Subsurface_Live_Data!A157</f>
        <v/>
      </c>
      <c r="B157" s="50">
        <f>Subsurface_Live_Data!K157</f>
        <v/>
      </c>
      <c r="C157" s="50">
        <f>MAX(0,B157-Subsurface_Inputs!$C$44)</f>
        <v/>
      </c>
      <c r="D157" s="50">
        <f>B157+Subsurface_Inputs!$C$44</f>
        <v/>
      </c>
      <c r="E157" s="50">
        <f>B157*Subsurface_Inputs!$C$45</f>
        <v/>
      </c>
      <c r="F157" s="50">
        <f>B157</f>
        <v/>
      </c>
      <c r="G157" s="50">
        <f>B157*Subsurface_Inputs!$C$46</f>
        <v/>
      </c>
      <c r="H157" s="50">
        <f>Subsurface_Live_Data!Y157</f>
        <v/>
      </c>
      <c r="I157" s="50">
        <f>Subsurface_Inputs!$C$47-Subsurface_Inputs!$C$43+2*SIN(2*PI()*A157/42)</f>
        <v/>
      </c>
      <c r="J157" s="50" t="n">
        <v>0</v>
      </c>
    </row>
    <row r="158">
      <c r="A158" s="50">
        <f>Subsurface_Live_Data!A158</f>
        <v/>
      </c>
      <c r="B158" s="50">
        <f>Subsurface_Live_Data!K158</f>
        <v/>
      </c>
      <c r="C158" s="50">
        <f>MAX(0,B158-Subsurface_Inputs!$C$44)</f>
        <v/>
      </c>
      <c r="D158" s="50">
        <f>B158+Subsurface_Inputs!$C$44</f>
        <v/>
      </c>
      <c r="E158" s="50">
        <f>B158*Subsurface_Inputs!$C$45</f>
        <v/>
      </c>
      <c r="F158" s="50">
        <f>B158</f>
        <v/>
      </c>
      <c r="G158" s="50">
        <f>B158*Subsurface_Inputs!$C$46</f>
        <v/>
      </c>
      <c r="H158" s="50">
        <f>Subsurface_Live_Data!Y158</f>
        <v/>
      </c>
      <c r="I158" s="50">
        <f>Subsurface_Inputs!$C$47-Subsurface_Inputs!$C$43+2*SIN(2*PI()*A158/42)</f>
        <v/>
      </c>
      <c r="J158" s="50" t="n">
        <v>0</v>
      </c>
    </row>
    <row r="159">
      <c r="A159" s="50">
        <f>Subsurface_Live_Data!A159</f>
        <v/>
      </c>
      <c r="B159" s="50">
        <f>Subsurface_Live_Data!K159</f>
        <v/>
      </c>
      <c r="C159" s="50">
        <f>MAX(0,B159-Subsurface_Inputs!$C$44)</f>
        <v/>
      </c>
      <c r="D159" s="50">
        <f>B159+Subsurface_Inputs!$C$44</f>
        <v/>
      </c>
      <c r="E159" s="50">
        <f>B159*Subsurface_Inputs!$C$45</f>
        <v/>
      </c>
      <c r="F159" s="50">
        <f>B159</f>
        <v/>
      </c>
      <c r="G159" s="50">
        <f>B159*Subsurface_Inputs!$C$46</f>
        <v/>
      </c>
      <c r="H159" s="50">
        <f>Subsurface_Live_Data!Y159</f>
        <v/>
      </c>
      <c r="I159" s="50">
        <f>Subsurface_Inputs!$C$47-Subsurface_Inputs!$C$43+2*SIN(2*PI()*A159/42)</f>
        <v/>
      </c>
      <c r="J159" s="50" t="n">
        <v>0</v>
      </c>
    </row>
    <row r="160">
      <c r="A160" s="50">
        <f>Subsurface_Live_Data!A160</f>
        <v/>
      </c>
      <c r="B160" s="50">
        <f>Subsurface_Live_Data!K160</f>
        <v/>
      </c>
      <c r="C160" s="50">
        <f>MAX(0,B160-Subsurface_Inputs!$C$44)</f>
        <v/>
      </c>
      <c r="D160" s="50">
        <f>B160+Subsurface_Inputs!$C$44</f>
        <v/>
      </c>
      <c r="E160" s="50">
        <f>B160*Subsurface_Inputs!$C$45</f>
        <v/>
      </c>
      <c r="F160" s="50">
        <f>B160</f>
        <v/>
      </c>
      <c r="G160" s="50">
        <f>B160*Subsurface_Inputs!$C$46</f>
        <v/>
      </c>
      <c r="H160" s="50">
        <f>Subsurface_Live_Data!Y160</f>
        <v/>
      </c>
      <c r="I160" s="50">
        <f>Subsurface_Inputs!$C$47-Subsurface_Inputs!$C$43+2*SIN(2*PI()*A160/42)</f>
        <v/>
      </c>
      <c r="J160" s="50" t="n">
        <v>0</v>
      </c>
    </row>
    <row r="161">
      <c r="A161" s="50">
        <f>Subsurface_Live_Data!A161</f>
        <v/>
      </c>
      <c r="B161" s="50">
        <f>Subsurface_Live_Data!K161</f>
        <v/>
      </c>
      <c r="C161" s="50">
        <f>MAX(0,B161-Subsurface_Inputs!$C$44)</f>
        <v/>
      </c>
      <c r="D161" s="50">
        <f>B161+Subsurface_Inputs!$C$44</f>
        <v/>
      </c>
      <c r="E161" s="50">
        <f>B161*Subsurface_Inputs!$C$45</f>
        <v/>
      </c>
      <c r="F161" s="50">
        <f>B161</f>
        <v/>
      </c>
      <c r="G161" s="50">
        <f>B161*Subsurface_Inputs!$C$46</f>
        <v/>
      </c>
      <c r="H161" s="50">
        <f>Subsurface_Live_Data!Y161</f>
        <v/>
      </c>
      <c r="I161" s="50">
        <f>Subsurface_Inputs!$C$47-Subsurface_Inputs!$C$43+2*SIN(2*PI()*A161/42)</f>
        <v/>
      </c>
      <c r="J161" s="50" t="n">
        <v>0</v>
      </c>
    </row>
    <row r="162">
      <c r="A162" s="50">
        <f>Subsurface_Live_Data!A162</f>
        <v/>
      </c>
      <c r="B162" s="50">
        <f>Subsurface_Live_Data!K162</f>
        <v/>
      </c>
      <c r="C162" s="50">
        <f>MAX(0,B162-Subsurface_Inputs!$C$44)</f>
        <v/>
      </c>
      <c r="D162" s="50">
        <f>B162+Subsurface_Inputs!$C$44</f>
        <v/>
      </c>
      <c r="E162" s="50">
        <f>B162*Subsurface_Inputs!$C$45</f>
        <v/>
      </c>
      <c r="F162" s="50">
        <f>B162</f>
        <v/>
      </c>
      <c r="G162" s="50">
        <f>B162*Subsurface_Inputs!$C$46</f>
        <v/>
      </c>
      <c r="H162" s="50">
        <f>Subsurface_Live_Data!Y162</f>
        <v/>
      </c>
      <c r="I162" s="50">
        <f>Subsurface_Inputs!$C$47-Subsurface_Inputs!$C$43+2*SIN(2*PI()*A162/42)</f>
        <v/>
      </c>
      <c r="J162" s="50" t="n">
        <v>0</v>
      </c>
    </row>
    <row r="163">
      <c r="A163" s="50">
        <f>Subsurface_Live_Data!A163</f>
        <v/>
      </c>
      <c r="B163" s="50">
        <f>Subsurface_Live_Data!K163</f>
        <v/>
      </c>
      <c r="C163" s="50">
        <f>MAX(0,B163-Subsurface_Inputs!$C$44)</f>
        <v/>
      </c>
      <c r="D163" s="50">
        <f>B163+Subsurface_Inputs!$C$44</f>
        <v/>
      </c>
      <c r="E163" s="50">
        <f>B163*Subsurface_Inputs!$C$45</f>
        <v/>
      </c>
      <c r="F163" s="50">
        <f>B163</f>
        <v/>
      </c>
      <c r="G163" s="50">
        <f>B163*Subsurface_Inputs!$C$46</f>
        <v/>
      </c>
      <c r="H163" s="50">
        <f>Subsurface_Live_Data!Y163</f>
        <v/>
      </c>
      <c r="I163" s="50">
        <f>Subsurface_Inputs!$C$47-Subsurface_Inputs!$C$43+2*SIN(2*PI()*A163/42)</f>
        <v/>
      </c>
      <c r="J163" s="50" t="n">
        <v>0</v>
      </c>
    </row>
    <row r="164">
      <c r="A164" s="50">
        <f>Subsurface_Live_Data!A164</f>
        <v/>
      </c>
      <c r="B164" s="50">
        <f>Subsurface_Live_Data!K164</f>
        <v/>
      </c>
      <c r="C164" s="50">
        <f>MAX(0,B164-Subsurface_Inputs!$C$44)</f>
        <v/>
      </c>
      <c r="D164" s="50">
        <f>B164+Subsurface_Inputs!$C$44</f>
        <v/>
      </c>
      <c r="E164" s="50">
        <f>B164*Subsurface_Inputs!$C$45</f>
        <v/>
      </c>
      <c r="F164" s="50">
        <f>B164</f>
        <v/>
      </c>
      <c r="G164" s="50">
        <f>B164*Subsurface_Inputs!$C$46</f>
        <v/>
      </c>
      <c r="H164" s="50">
        <f>Subsurface_Live_Data!Y164</f>
        <v/>
      </c>
      <c r="I164" s="50">
        <f>Subsurface_Inputs!$C$47-Subsurface_Inputs!$C$43+2*SIN(2*PI()*A164/42)</f>
        <v/>
      </c>
      <c r="J164" s="50" t="n">
        <v>0</v>
      </c>
    </row>
    <row r="165">
      <c r="A165" s="50">
        <f>Subsurface_Live_Data!A165</f>
        <v/>
      </c>
      <c r="B165" s="50">
        <f>Subsurface_Live_Data!K165</f>
        <v/>
      </c>
      <c r="C165" s="50">
        <f>MAX(0,B165-Subsurface_Inputs!$C$44)</f>
        <v/>
      </c>
      <c r="D165" s="50">
        <f>B165+Subsurface_Inputs!$C$44</f>
        <v/>
      </c>
      <c r="E165" s="50">
        <f>B165*Subsurface_Inputs!$C$45</f>
        <v/>
      </c>
      <c r="F165" s="50">
        <f>B165</f>
        <v/>
      </c>
      <c r="G165" s="50">
        <f>B165*Subsurface_Inputs!$C$46</f>
        <v/>
      </c>
      <c r="H165" s="50">
        <f>Subsurface_Live_Data!Y165</f>
        <v/>
      </c>
      <c r="I165" s="50">
        <f>Subsurface_Inputs!$C$47-Subsurface_Inputs!$C$43+2*SIN(2*PI()*A165/42)</f>
        <v/>
      </c>
      <c r="J165" s="50" t="n">
        <v>0</v>
      </c>
    </row>
    <row r="166">
      <c r="A166" s="50">
        <f>Subsurface_Live_Data!A166</f>
        <v/>
      </c>
      <c r="B166" s="50">
        <f>Subsurface_Live_Data!K166</f>
        <v/>
      </c>
      <c r="C166" s="50">
        <f>MAX(0,B166-Subsurface_Inputs!$C$44)</f>
        <v/>
      </c>
      <c r="D166" s="50">
        <f>B166+Subsurface_Inputs!$C$44</f>
        <v/>
      </c>
      <c r="E166" s="50">
        <f>B166*Subsurface_Inputs!$C$45</f>
        <v/>
      </c>
      <c r="F166" s="50">
        <f>B166</f>
        <v/>
      </c>
      <c r="G166" s="50">
        <f>B166*Subsurface_Inputs!$C$46</f>
        <v/>
      </c>
      <c r="H166" s="50">
        <f>Subsurface_Live_Data!Y166</f>
        <v/>
      </c>
      <c r="I166" s="50">
        <f>Subsurface_Inputs!$C$47-Subsurface_Inputs!$C$43+2*SIN(2*PI()*A166/42)</f>
        <v/>
      </c>
      <c r="J166" s="50" t="n">
        <v>0</v>
      </c>
    </row>
    <row r="167">
      <c r="A167" s="50">
        <f>Subsurface_Live_Data!A167</f>
        <v/>
      </c>
      <c r="B167" s="50">
        <f>Subsurface_Live_Data!K167</f>
        <v/>
      </c>
      <c r="C167" s="50">
        <f>MAX(0,B167-Subsurface_Inputs!$C$44)</f>
        <v/>
      </c>
      <c r="D167" s="50">
        <f>B167+Subsurface_Inputs!$C$44</f>
        <v/>
      </c>
      <c r="E167" s="50">
        <f>B167*Subsurface_Inputs!$C$45</f>
        <v/>
      </c>
      <c r="F167" s="50">
        <f>B167</f>
        <v/>
      </c>
      <c r="G167" s="50">
        <f>B167*Subsurface_Inputs!$C$46</f>
        <v/>
      </c>
      <c r="H167" s="50">
        <f>Subsurface_Live_Data!Y167</f>
        <v/>
      </c>
      <c r="I167" s="50">
        <f>Subsurface_Inputs!$C$47-Subsurface_Inputs!$C$43+2*SIN(2*PI()*A167/42)</f>
        <v/>
      </c>
      <c r="J167" s="50" t="n">
        <v>0</v>
      </c>
    </row>
    <row r="168">
      <c r="A168" s="50">
        <f>Subsurface_Live_Data!A168</f>
        <v/>
      </c>
      <c r="B168" s="50">
        <f>Subsurface_Live_Data!K168</f>
        <v/>
      </c>
      <c r="C168" s="50">
        <f>MAX(0,B168-Subsurface_Inputs!$C$44)</f>
        <v/>
      </c>
      <c r="D168" s="50">
        <f>B168+Subsurface_Inputs!$C$44</f>
        <v/>
      </c>
      <c r="E168" s="50">
        <f>B168*Subsurface_Inputs!$C$45</f>
        <v/>
      </c>
      <c r="F168" s="50">
        <f>B168</f>
        <v/>
      </c>
      <c r="G168" s="50">
        <f>B168*Subsurface_Inputs!$C$46</f>
        <v/>
      </c>
      <c r="H168" s="50">
        <f>Subsurface_Live_Data!Y168</f>
        <v/>
      </c>
      <c r="I168" s="50">
        <f>Subsurface_Inputs!$C$47-Subsurface_Inputs!$C$43+2*SIN(2*PI()*A168/42)</f>
        <v/>
      </c>
      <c r="J168" s="50" t="n">
        <v>0</v>
      </c>
    </row>
    <row r="169">
      <c r="A169" s="50">
        <f>Subsurface_Live_Data!A169</f>
        <v/>
      </c>
      <c r="B169" s="50">
        <f>Subsurface_Live_Data!K169</f>
        <v/>
      </c>
      <c r="C169" s="50">
        <f>MAX(0,B169-Subsurface_Inputs!$C$44)</f>
        <v/>
      </c>
      <c r="D169" s="50">
        <f>B169+Subsurface_Inputs!$C$44</f>
        <v/>
      </c>
      <c r="E169" s="50">
        <f>B169*Subsurface_Inputs!$C$45</f>
        <v/>
      </c>
      <c r="F169" s="50">
        <f>B169</f>
        <v/>
      </c>
      <c r="G169" s="50">
        <f>B169*Subsurface_Inputs!$C$46</f>
        <v/>
      </c>
      <c r="H169" s="50">
        <f>Subsurface_Live_Data!Y169</f>
        <v/>
      </c>
      <c r="I169" s="50">
        <f>Subsurface_Inputs!$C$47-Subsurface_Inputs!$C$43+2*SIN(2*PI()*A169/42)</f>
        <v/>
      </c>
      <c r="J169" s="50" t="n">
        <v>0</v>
      </c>
    </row>
    <row r="170">
      <c r="A170" s="50">
        <f>Subsurface_Live_Data!A170</f>
        <v/>
      </c>
      <c r="B170" s="50">
        <f>Subsurface_Live_Data!K170</f>
        <v/>
      </c>
      <c r="C170" s="50">
        <f>MAX(0,B170-Subsurface_Inputs!$C$44)</f>
        <v/>
      </c>
      <c r="D170" s="50">
        <f>B170+Subsurface_Inputs!$C$44</f>
        <v/>
      </c>
      <c r="E170" s="50">
        <f>B170*Subsurface_Inputs!$C$45</f>
        <v/>
      </c>
      <c r="F170" s="50">
        <f>B170</f>
        <v/>
      </c>
      <c r="G170" s="50">
        <f>B170*Subsurface_Inputs!$C$46</f>
        <v/>
      </c>
      <c r="H170" s="50">
        <f>Subsurface_Live_Data!Y170</f>
        <v/>
      </c>
      <c r="I170" s="50">
        <f>Subsurface_Inputs!$C$47-Subsurface_Inputs!$C$43+2*SIN(2*PI()*A170/42)</f>
        <v/>
      </c>
      <c r="J170" s="50" t="n">
        <v>0</v>
      </c>
    </row>
    <row r="171">
      <c r="A171" s="50">
        <f>Subsurface_Live_Data!A171</f>
        <v/>
      </c>
      <c r="B171" s="50">
        <f>Subsurface_Live_Data!K171</f>
        <v/>
      </c>
      <c r="C171" s="50">
        <f>MAX(0,B171-Subsurface_Inputs!$C$44)</f>
        <v/>
      </c>
      <c r="D171" s="50">
        <f>B171+Subsurface_Inputs!$C$44</f>
        <v/>
      </c>
      <c r="E171" s="50">
        <f>B171*Subsurface_Inputs!$C$45</f>
        <v/>
      </c>
      <c r="F171" s="50">
        <f>B171</f>
        <v/>
      </c>
      <c r="G171" s="50">
        <f>B171*Subsurface_Inputs!$C$46</f>
        <v/>
      </c>
      <c r="H171" s="50">
        <f>Subsurface_Live_Data!Y171</f>
        <v/>
      </c>
      <c r="I171" s="50">
        <f>Subsurface_Inputs!$C$47-Subsurface_Inputs!$C$43+2*SIN(2*PI()*A171/42)</f>
        <v/>
      </c>
      <c r="J171" s="50" t="n">
        <v>0</v>
      </c>
    </row>
    <row r="172">
      <c r="A172" s="50">
        <f>Subsurface_Live_Data!A172</f>
        <v/>
      </c>
      <c r="B172" s="50">
        <f>Subsurface_Live_Data!K172</f>
        <v/>
      </c>
      <c r="C172" s="50">
        <f>MAX(0,B172-Subsurface_Inputs!$C$44)</f>
        <v/>
      </c>
      <c r="D172" s="50">
        <f>B172+Subsurface_Inputs!$C$44</f>
        <v/>
      </c>
      <c r="E172" s="50">
        <f>B172*Subsurface_Inputs!$C$45</f>
        <v/>
      </c>
      <c r="F172" s="50">
        <f>B172</f>
        <v/>
      </c>
      <c r="G172" s="50">
        <f>B172*Subsurface_Inputs!$C$46</f>
        <v/>
      </c>
      <c r="H172" s="50">
        <f>Subsurface_Live_Data!Y172</f>
        <v/>
      </c>
      <c r="I172" s="50">
        <f>Subsurface_Inputs!$C$47-Subsurface_Inputs!$C$43+2*SIN(2*PI()*A172/42)</f>
        <v/>
      </c>
      <c r="J172" s="50" t="n">
        <v>0</v>
      </c>
    </row>
    <row r="173">
      <c r="A173" s="50">
        <f>Subsurface_Live_Data!A173</f>
        <v/>
      </c>
      <c r="B173" s="50">
        <f>Subsurface_Live_Data!K173</f>
        <v/>
      </c>
      <c r="C173" s="50">
        <f>MAX(0,B173-Subsurface_Inputs!$C$44)</f>
        <v/>
      </c>
      <c r="D173" s="50">
        <f>B173+Subsurface_Inputs!$C$44</f>
        <v/>
      </c>
      <c r="E173" s="50">
        <f>B173*Subsurface_Inputs!$C$45</f>
        <v/>
      </c>
      <c r="F173" s="50">
        <f>B173</f>
        <v/>
      </c>
      <c r="G173" s="50">
        <f>B173*Subsurface_Inputs!$C$46</f>
        <v/>
      </c>
      <c r="H173" s="50">
        <f>Subsurface_Live_Data!Y173</f>
        <v/>
      </c>
      <c r="I173" s="50">
        <f>Subsurface_Inputs!$C$47-Subsurface_Inputs!$C$43+2*SIN(2*PI()*A173/42)</f>
        <v/>
      </c>
      <c r="J173" s="50" t="n">
        <v>0</v>
      </c>
    </row>
    <row r="174">
      <c r="A174" s="50">
        <f>Subsurface_Live_Data!A174</f>
        <v/>
      </c>
      <c r="B174" s="50">
        <f>Subsurface_Live_Data!K174</f>
        <v/>
      </c>
      <c r="C174" s="50">
        <f>MAX(0,B174-Subsurface_Inputs!$C$44)</f>
        <v/>
      </c>
      <c r="D174" s="50">
        <f>B174+Subsurface_Inputs!$C$44</f>
        <v/>
      </c>
      <c r="E174" s="50">
        <f>B174*Subsurface_Inputs!$C$45</f>
        <v/>
      </c>
      <c r="F174" s="50">
        <f>B174</f>
        <v/>
      </c>
      <c r="G174" s="50">
        <f>B174*Subsurface_Inputs!$C$46</f>
        <v/>
      </c>
      <c r="H174" s="50">
        <f>Subsurface_Live_Data!Y174</f>
        <v/>
      </c>
      <c r="I174" s="50">
        <f>Subsurface_Inputs!$C$47-Subsurface_Inputs!$C$43+2*SIN(2*PI()*A174/42)</f>
        <v/>
      </c>
      <c r="J174" s="50" t="n">
        <v>0</v>
      </c>
    </row>
    <row r="175">
      <c r="A175" s="50">
        <f>Subsurface_Live_Data!A175</f>
        <v/>
      </c>
      <c r="B175" s="50">
        <f>Subsurface_Live_Data!K175</f>
        <v/>
      </c>
      <c r="C175" s="50">
        <f>MAX(0,B175-Subsurface_Inputs!$C$44)</f>
        <v/>
      </c>
      <c r="D175" s="50">
        <f>B175+Subsurface_Inputs!$C$44</f>
        <v/>
      </c>
      <c r="E175" s="50">
        <f>B175*Subsurface_Inputs!$C$45</f>
        <v/>
      </c>
      <c r="F175" s="50">
        <f>B175</f>
        <v/>
      </c>
      <c r="G175" s="50">
        <f>B175*Subsurface_Inputs!$C$46</f>
        <v/>
      </c>
      <c r="H175" s="50">
        <f>Subsurface_Live_Data!Y175</f>
        <v/>
      </c>
      <c r="I175" s="50">
        <f>Subsurface_Inputs!$C$47-Subsurface_Inputs!$C$43+2*SIN(2*PI()*A175/42)</f>
        <v/>
      </c>
      <c r="J175" s="50" t="n">
        <v>0</v>
      </c>
    </row>
    <row r="176">
      <c r="A176" s="50">
        <f>Subsurface_Live_Data!A176</f>
        <v/>
      </c>
      <c r="B176" s="50">
        <f>Subsurface_Live_Data!K176</f>
        <v/>
      </c>
      <c r="C176" s="50">
        <f>MAX(0,B176-Subsurface_Inputs!$C$44)</f>
        <v/>
      </c>
      <c r="D176" s="50">
        <f>B176+Subsurface_Inputs!$C$44</f>
        <v/>
      </c>
      <c r="E176" s="50">
        <f>B176*Subsurface_Inputs!$C$45</f>
        <v/>
      </c>
      <c r="F176" s="50">
        <f>B176</f>
        <v/>
      </c>
      <c r="G176" s="50">
        <f>B176*Subsurface_Inputs!$C$46</f>
        <v/>
      </c>
      <c r="H176" s="50">
        <f>Subsurface_Live_Data!Y176</f>
        <v/>
      </c>
      <c r="I176" s="50">
        <f>Subsurface_Inputs!$C$47-Subsurface_Inputs!$C$43+2*SIN(2*PI()*A176/42)</f>
        <v/>
      </c>
      <c r="J176" s="50" t="n">
        <v>0</v>
      </c>
    </row>
    <row r="177">
      <c r="A177" s="50">
        <f>Subsurface_Live_Data!A177</f>
        <v/>
      </c>
      <c r="B177" s="50">
        <f>Subsurface_Live_Data!K177</f>
        <v/>
      </c>
      <c r="C177" s="50">
        <f>MAX(0,B177-Subsurface_Inputs!$C$44)</f>
        <v/>
      </c>
      <c r="D177" s="50">
        <f>B177+Subsurface_Inputs!$C$44</f>
        <v/>
      </c>
      <c r="E177" s="50">
        <f>B177*Subsurface_Inputs!$C$45</f>
        <v/>
      </c>
      <c r="F177" s="50">
        <f>B177</f>
        <v/>
      </c>
      <c r="G177" s="50">
        <f>B177*Subsurface_Inputs!$C$46</f>
        <v/>
      </c>
      <c r="H177" s="50">
        <f>Subsurface_Live_Data!Y177</f>
        <v/>
      </c>
      <c r="I177" s="50">
        <f>Subsurface_Inputs!$C$47-Subsurface_Inputs!$C$43+2*SIN(2*PI()*A177/42)</f>
        <v/>
      </c>
      <c r="J177" s="50" t="n">
        <v>0</v>
      </c>
    </row>
    <row r="178">
      <c r="A178" s="50">
        <f>Subsurface_Live_Data!A178</f>
        <v/>
      </c>
      <c r="B178" s="50">
        <f>Subsurface_Live_Data!K178</f>
        <v/>
      </c>
      <c r="C178" s="50">
        <f>MAX(0,B178-Subsurface_Inputs!$C$44)</f>
        <v/>
      </c>
      <c r="D178" s="50">
        <f>B178+Subsurface_Inputs!$C$44</f>
        <v/>
      </c>
      <c r="E178" s="50">
        <f>B178*Subsurface_Inputs!$C$45</f>
        <v/>
      </c>
      <c r="F178" s="50">
        <f>B178</f>
        <v/>
      </c>
      <c r="G178" s="50">
        <f>B178*Subsurface_Inputs!$C$46</f>
        <v/>
      </c>
      <c r="H178" s="50">
        <f>Subsurface_Live_Data!Y178</f>
        <v/>
      </c>
      <c r="I178" s="50">
        <f>Subsurface_Inputs!$C$47-Subsurface_Inputs!$C$43+2*SIN(2*PI()*A178/42)</f>
        <v/>
      </c>
      <c r="J178" s="50" t="n">
        <v>0</v>
      </c>
    </row>
    <row r="179">
      <c r="A179" s="50">
        <f>Subsurface_Live_Data!A179</f>
        <v/>
      </c>
      <c r="B179" s="50">
        <f>Subsurface_Live_Data!K179</f>
        <v/>
      </c>
      <c r="C179" s="50">
        <f>MAX(0,B179-Subsurface_Inputs!$C$44)</f>
        <v/>
      </c>
      <c r="D179" s="50">
        <f>B179+Subsurface_Inputs!$C$44</f>
        <v/>
      </c>
      <c r="E179" s="50">
        <f>B179*Subsurface_Inputs!$C$45</f>
        <v/>
      </c>
      <c r="F179" s="50">
        <f>B179</f>
        <v/>
      </c>
      <c r="G179" s="50">
        <f>B179*Subsurface_Inputs!$C$46</f>
        <v/>
      </c>
      <c r="H179" s="50">
        <f>Subsurface_Live_Data!Y179</f>
        <v/>
      </c>
      <c r="I179" s="50">
        <f>Subsurface_Inputs!$C$47-Subsurface_Inputs!$C$43+2*SIN(2*PI()*A179/42)</f>
        <v/>
      </c>
      <c r="J179" s="50" t="n">
        <v>0</v>
      </c>
    </row>
    <row r="180">
      <c r="A180" s="50">
        <f>Subsurface_Live_Data!A180</f>
        <v/>
      </c>
      <c r="B180" s="50">
        <f>Subsurface_Live_Data!K180</f>
        <v/>
      </c>
      <c r="C180" s="50">
        <f>MAX(0,B180-Subsurface_Inputs!$C$44)</f>
        <v/>
      </c>
      <c r="D180" s="50">
        <f>B180+Subsurface_Inputs!$C$44</f>
        <v/>
      </c>
      <c r="E180" s="50">
        <f>B180*Subsurface_Inputs!$C$45</f>
        <v/>
      </c>
      <c r="F180" s="50">
        <f>B180</f>
        <v/>
      </c>
      <c r="G180" s="50">
        <f>B180*Subsurface_Inputs!$C$46</f>
        <v/>
      </c>
      <c r="H180" s="50">
        <f>Subsurface_Live_Data!Y180</f>
        <v/>
      </c>
      <c r="I180" s="50">
        <f>Subsurface_Inputs!$C$47-Subsurface_Inputs!$C$43+2*SIN(2*PI()*A180/42)</f>
        <v/>
      </c>
      <c r="J180" s="50" t="n">
        <v>0</v>
      </c>
    </row>
    <row r="181">
      <c r="A181" s="50">
        <f>Subsurface_Live_Data!A181</f>
        <v/>
      </c>
      <c r="B181" s="50">
        <f>Subsurface_Live_Data!K181</f>
        <v/>
      </c>
      <c r="C181" s="50">
        <f>MAX(0,B181-Subsurface_Inputs!$C$44)</f>
        <v/>
      </c>
      <c r="D181" s="50">
        <f>B181+Subsurface_Inputs!$C$44</f>
        <v/>
      </c>
      <c r="E181" s="50">
        <f>B181*Subsurface_Inputs!$C$45</f>
        <v/>
      </c>
      <c r="F181" s="50">
        <f>B181</f>
        <v/>
      </c>
      <c r="G181" s="50">
        <f>B181*Subsurface_Inputs!$C$46</f>
        <v/>
      </c>
      <c r="H181" s="50">
        <f>Subsurface_Live_Data!Y181</f>
        <v/>
      </c>
      <c r="I181" s="50">
        <f>Subsurface_Inputs!$C$47-Subsurface_Inputs!$C$43+2*SIN(2*PI()*A181/42)</f>
        <v/>
      </c>
      <c r="J181" s="50" t="n">
        <v>0</v>
      </c>
    </row>
    <row r="182">
      <c r="A182" s="50">
        <f>Subsurface_Live_Data!A182</f>
        <v/>
      </c>
      <c r="B182" s="50">
        <f>Subsurface_Live_Data!K182</f>
        <v/>
      </c>
      <c r="C182" s="50">
        <f>MAX(0,B182-Subsurface_Inputs!$C$44)</f>
        <v/>
      </c>
      <c r="D182" s="50">
        <f>B182+Subsurface_Inputs!$C$44</f>
        <v/>
      </c>
      <c r="E182" s="50">
        <f>B182*Subsurface_Inputs!$C$45</f>
        <v/>
      </c>
      <c r="F182" s="50">
        <f>B182</f>
        <v/>
      </c>
      <c r="G182" s="50">
        <f>B182*Subsurface_Inputs!$C$46</f>
        <v/>
      </c>
      <c r="H182" s="50">
        <f>Subsurface_Live_Data!Y182</f>
        <v/>
      </c>
      <c r="I182" s="50">
        <f>Subsurface_Inputs!$C$47-Subsurface_Inputs!$C$43+2*SIN(2*PI()*A182/42)</f>
        <v/>
      </c>
      <c r="J182" s="50" t="n">
        <v>0</v>
      </c>
    </row>
    <row r="183">
      <c r="A183" s="50">
        <f>Subsurface_Live_Data!A183</f>
        <v/>
      </c>
      <c r="B183" s="50">
        <f>Subsurface_Live_Data!K183</f>
        <v/>
      </c>
      <c r="C183" s="50">
        <f>MAX(0,B183-Subsurface_Inputs!$C$44)</f>
        <v/>
      </c>
      <c r="D183" s="50">
        <f>B183+Subsurface_Inputs!$C$44</f>
        <v/>
      </c>
      <c r="E183" s="50">
        <f>B183*Subsurface_Inputs!$C$45</f>
        <v/>
      </c>
      <c r="F183" s="50">
        <f>B183</f>
        <v/>
      </c>
      <c r="G183" s="50">
        <f>B183*Subsurface_Inputs!$C$46</f>
        <v/>
      </c>
      <c r="H183" s="50">
        <f>Subsurface_Live_Data!Y183</f>
        <v/>
      </c>
      <c r="I183" s="50">
        <f>Subsurface_Inputs!$C$47-Subsurface_Inputs!$C$43+2*SIN(2*PI()*A183/42)</f>
        <v/>
      </c>
      <c r="J183" s="50" t="n">
        <v>0</v>
      </c>
    </row>
    <row r="184">
      <c r="A184" s="50">
        <f>Subsurface_Live_Data!A184</f>
        <v/>
      </c>
      <c r="B184" s="50">
        <f>Subsurface_Live_Data!K184</f>
        <v/>
      </c>
      <c r="C184" s="50">
        <f>MAX(0,B184-Subsurface_Inputs!$C$44)</f>
        <v/>
      </c>
      <c r="D184" s="50">
        <f>B184+Subsurface_Inputs!$C$44</f>
        <v/>
      </c>
      <c r="E184" s="50">
        <f>B184*Subsurface_Inputs!$C$45</f>
        <v/>
      </c>
      <c r="F184" s="50">
        <f>B184</f>
        <v/>
      </c>
      <c r="G184" s="50">
        <f>B184*Subsurface_Inputs!$C$46</f>
        <v/>
      </c>
      <c r="H184" s="50">
        <f>Subsurface_Live_Data!Y184</f>
        <v/>
      </c>
      <c r="I184" s="50">
        <f>Subsurface_Inputs!$C$47-Subsurface_Inputs!$C$43+2*SIN(2*PI()*A184/42)</f>
        <v/>
      </c>
      <c r="J184" s="50" t="n">
        <v>0</v>
      </c>
    </row>
    <row r="185">
      <c r="A185" s="50">
        <f>Subsurface_Live_Data!A185</f>
        <v/>
      </c>
      <c r="B185" s="50">
        <f>Subsurface_Live_Data!K185</f>
        <v/>
      </c>
      <c r="C185" s="50">
        <f>MAX(0,B185-Subsurface_Inputs!$C$44)</f>
        <v/>
      </c>
      <c r="D185" s="50">
        <f>B185+Subsurface_Inputs!$C$44</f>
        <v/>
      </c>
      <c r="E185" s="50">
        <f>B185*Subsurface_Inputs!$C$45</f>
        <v/>
      </c>
      <c r="F185" s="50">
        <f>B185</f>
        <v/>
      </c>
      <c r="G185" s="50">
        <f>B185*Subsurface_Inputs!$C$46</f>
        <v/>
      </c>
      <c r="H185" s="50">
        <f>Subsurface_Live_Data!Y185</f>
        <v/>
      </c>
      <c r="I185" s="50">
        <f>Subsurface_Inputs!$C$47-Subsurface_Inputs!$C$43+2*SIN(2*PI()*A185/42)</f>
        <v/>
      </c>
      <c r="J185" s="50" t="n">
        <v>0</v>
      </c>
    </row>
    <row r="186">
      <c r="A186" s="50">
        <f>Subsurface_Live_Data!A186</f>
        <v/>
      </c>
      <c r="B186" s="50">
        <f>Subsurface_Live_Data!K186</f>
        <v/>
      </c>
      <c r="C186" s="50">
        <f>MAX(0,B186-Subsurface_Inputs!$C$44)</f>
        <v/>
      </c>
      <c r="D186" s="50">
        <f>B186+Subsurface_Inputs!$C$44</f>
        <v/>
      </c>
      <c r="E186" s="50">
        <f>B186*Subsurface_Inputs!$C$45</f>
        <v/>
      </c>
      <c r="F186" s="50">
        <f>B186</f>
        <v/>
      </c>
      <c r="G186" s="50">
        <f>B186*Subsurface_Inputs!$C$46</f>
        <v/>
      </c>
      <c r="H186" s="50">
        <f>Subsurface_Live_Data!Y186</f>
        <v/>
      </c>
      <c r="I186" s="50">
        <f>Subsurface_Inputs!$C$47-Subsurface_Inputs!$C$43+2*SIN(2*PI()*A186/42)</f>
        <v/>
      </c>
      <c r="J186" s="50" t="n">
        <v>0</v>
      </c>
    </row>
    <row r="187">
      <c r="A187" s="50">
        <f>Subsurface_Live_Data!A187</f>
        <v/>
      </c>
      <c r="B187" s="50">
        <f>Subsurface_Live_Data!K187</f>
        <v/>
      </c>
      <c r="C187" s="50">
        <f>MAX(0,B187-Subsurface_Inputs!$C$44)</f>
        <v/>
      </c>
      <c r="D187" s="50">
        <f>B187+Subsurface_Inputs!$C$44</f>
        <v/>
      </c>
      <c r="E187" s="50">
        <f>B187*Subsurface_Inputs!$C$45</f>
        <v/>
      </c>
      <c r="F187" s="50">
        <f>B187</f>
        <v/>
      </c>
      <c r="G187" s="50">
        <f>B187*Subsurface_Inputs!$C$46</f>
        <v/>
      </c>
      <c r="H187" s="50">
        <f>Subsurface_Live_Data!Y187</f>
        <v/>
      </c>
      <c r="I187" s="50">
        <f>Subsurface_Inputs!$C$47-Subsurface_Inputs!$C$43+2*SIN(2*PI()*A187/42)</f>
        <v/>
      </c>
      <c r="J187" s="50" t="n">
        <v>0</v>
      </c>
    </row>
    <row r="188">
      <c r="A188" s="50">
        <f>Subsurface_Live_Data!A188</f>
        <v/>
      </c>
      <c r="B188" s="50">
        <f>Subsurface_Live_Data!K188</f>
        <v/>
      </c>
      <c r="C188" s="50">
        <f>MAX(0,B188-Subsurface_Inputs!$C$44)</f>
        <v/>
      </c>
      <c r="D188" s="50">
        <f>B188+Subsurface_Inputs!$C$44</f>
        <v/>
      </c>
      <c r="E188" s="50">
        <f>B188*Subsurface_Inputs!$C$45</f>
        <v/>
      </c>
      <c r="F188" s="50">
        <f>B188</f>
        <v/>
      </c>
      <c r="G188" s="50">
        <f>B188*Subsurface_Inputs!$C$46</f>
        <v/>
      </c>
      <c r="H188" s="50">
        <f>Subsurface_Live_Data!Y188</f>
        <v/>
      </c>
      <c r="I188" s="50">
        <f>Subsurface_Inputs!$C$47-Subsurface_Inputs!$C$43+2*SIN(2*PI()*A188/42)</f>
        <v/>
      </c>
      <c r="J188" s="50" t="n">
        <v>0</v>
      </c>
    </row>
    <row r="189">
      <c r="A189" s="50">
        <f>Subsurface_Live_Data!A189</f>
        <v/>
      </c>
      <c r="B189" s="50">
        <f>Subsurface_Live_Data!K189</f>
        <v/>
      </c>
      <c r="C189" s="50">
        <f>MAX(0,B189-Subsurface_Inputs!$C$44)</f>
        <v/>
      </c>
      <c r="D189" s="50">
        <f>B189+Subsurface_Inputs!$C$44</f>
        <v/>
      </c>
      <c r="E189" s="50">
        <f>B189*Subsurface_Inputs!$C$45</f>
        <v/>
      </c>
      <c r="F189" s="50">
        <f>B189</f>
        <v/>
      </c>
      <c r="G189" s="50">
        <f>B189*Subsurface_Inputs!$C$46</f>
        <v/>
      </c>
      <c r="H189" s="50">
        <f>Subsurface_Live_Data!Y189</f>
        <v/>
      </c>
      <c r="I189" s="50">
        <f>Subsurface_Inputs!$C$47-Subsurface_Inputs!$C$43+2*SIN(2*PI()*A189/42)</f>
        <v/>
      </c>
      <c r="J189" s="50" t="n">
        <v>0</v>
      </c>
    </row>
    <row r="190">
      <c r="A190" s="50">
        <f>Subsurface_Live_Data!A190</f>
        <v/>
      </c>
      <c r="B190" s="50">
        <f>Subsurface_Live_Data!K190</f>
        <v/>
      </c>
      <c r="C190" s="50">
        <f>MAX(0,B190-Subsurface_Inputs!$C$44)</f>
        <v/>
      </c>
      <c r="D190" s="50">
        <f>B190+Subsurface_Inputs!$C$44</f>
        <v/>
      </c>
      <c r="E190" s="50">
        <f>B190*Subsurface_Inputs!$C$45</f>
        <v/>
      </c>
      <c r="F190" s="50">
        <f>B190</f>
        <v/>
      </c>
      <c r="G190" s="50">
        <f>B190*Subsurface_Inputs!$C$46</f>
        <v/>
      </c>
      <c r="H190" s="50">
        <f>Subsurface_Live_Data!Y190</f>
        <v/>
      </c>
      <c r="I190" s="50">
        <f>Subsurface_Inputs!$C$47-Subsurface_Inputs!$C$43+2*SIN(2*PI()*A190/42)</f>
        <v/>
      </c>
      <c r="J190" s="50" t="n">
        <v>0</v>
      </c>
    </row>
    <row r="191">
      <c r="A191" s="50">
        <f>Subsurface_Live_Data!A191</f>
        <v/>
      </c>
      <c r="B191" s="50">
        <f>Subsurface_Live_Data!K191</f>
        <v/>
      </c>
      <c r="C191" s="50">
        <f>MAX(0,B191-Subsurface_Inputs!$C$44)</f>
        <v/>
      </c>
      <c r="D191" s="50">
        <f>B191+Subsurface_Inputs!$C$44</f>
        <v/>
      </c>
      <c r="E191" s="50">
        <f>B191*Subsurface_Inputs!$C$45</f>
        <v/>
      </c>
      <c r="F191" s="50">
        <f>B191</f>
        <v/>
      </c>
      <c r="G191" s="50">
        <f>B191*Subsurface_Inputs!$C$46</f>
        <v/>
      </c>
      <c r="H191" s="50">
        <f>Subsurface_Live_Data!Y191</f>
        <v/>
      </c>
      <c r="I191" s="50">
        <f>Subsurface_Inputs!$C$47-Subsurface_Inputs!$C$43+2*SIN(2*PI()*A191/42)</f>
        <v/>
      </c>
      <c r="J191" s="50" t="n">
        <v>0</v>
      </c>
    </row>
    <row r="192">
      <c r="A192" s="50">
        <f>Subsurface_Live_Data!A192</f>
        <v/>
      </c>
      <c r="B192" s="50">
        <f>Subsurface_Live_Data!K192</f>
        <v/>
      </c>
      <c r="C192" s="50">
        <f>MAX(0,B192-Subsurface_Inputs!$C$44)</f>
        <v/>
      </c>
      <c r="D192" s="50">
        <f>B192+Subsurface_Inputs!$C$44</f>
        <v/>
      </c>
      <c r="E192" s="50">
        <f>B192*Subsurface_Inputs!$C$45</f>
        <v/>
      </c>
      <c r="F192" s="50">
        <f>B192</f>
        <v/>
      </c>
      <c r="G192" s="50">
        <f>B192*Subsurface_Inputs!$C$46</f>
        <v/>
      </c>
      <c r="H192" s="50">
        <f>Subsurface_Live_Data!Y192</f>
        <v/>
      </c>
      <c r="I192" s="50">
        <f>Subsurface_Inputs!$C$47-Subsurface_Inputs!$C$43+2*SIN(2*PI()*A192/42)</f>
        <v/>
      </c>
      <c r="J192" s="50" t="n">
        <v>0</v>
      </c>
    </row>
    <row r="193">
      <c r="A193" s="50">
        <f>Subsurface_Live_Data!A193</f>
        <v/>
      </c>
      <c r="B193" s="50">
        <f>Subsurface_Live_Data!K193</f>
        <v/>
      </c>
      <c r="C193" s="50">
        <f>MAX(0,B193-Subsurface_Inputs!$C$44)</f>
        <v/>
      </c>
      <c r="D193" s="50">
        <f>B193+Subsurface_Inputs!$C$44</f>
        <v/>
      </c>
      <c r="E193" s="50">
        <f>B193*Subsurface_Inputs!$C$45</f>
        <v/>
      </c>
      <c r="F193" s="50">
        <f>B193</f>
        <v/>
      </c>
      <c r="G193" s="50">
        <f>B193*Subsurface_Inputs!$C$46</f>
        <v/>
      </c>
      <c r="H193" s="50">
        <f>Subsurface_Live_Data!Y193</f>
        <v/>
      </c>
      <c r="I193" s="50">
        <f>Subsurface_Inputs!$C$47-Subsurface_Inputs!$C$43+2*SIN(2*PI()*A193/42)</f>
        <v/>
      </c>
      <c r="J193" s="50" t="n">
        <v>0</v>
      </c>
    </row>
    <row r="194">
      <c r="A194" s="50">
        <f>Subsurface_Live_Data!A194</f>
        <v/>
      </c>
      <c r="B194" s="50">
        <f>Subsurface_Live_Data!K194</f>
        <v/>
      </c>
      <c r="C194" s="50">
        <f>MAX(0,B194-Subsurface_Inputs!$C$44)</f>
        <v/>
      </c>
      <c r="D194" s="50">
        <f>B194+Subsurface_Inputs!$C$44</f>
        <v/>
      </c>
      <c r="E194" s="50">
        <f>B194*Subsurface_Inputs!$C$45</f>
        <v/>
      </c>
      <c r="F194" s="50">
        <f>B194</f>
        <v/>
      </c>
      <c r="G194" s="50">
        <f>B194*Subsurface_Inputs!$C$46</f>
        <v/>
      </c>
      <c r="H194" s="50">
        <f>Subsurface_Live_Data!Y194</f>
        <v/>
      </c>
      <c r="I194" s="50">
        <f>Subsurface_Inputs!$C$47-Subsurface_Inputs!$C$43+2*SIN(2*PI()*A194/42)</f>
        <v/>
      </c>
      <c r="J194" s="50" t="n">
        <v>0</v>
      </c>
    </row>
    <row r="195">
      <c r="A195" s="50">
        <f>Subsurface_Live_Data!A195</f>
        <v/>
      </c>
      <c r="B195" s="50">
        <f>Subsurface_Live_Data!K195</f>
        <v/>
      </c>
      <c r="C195" s="50">
        <f>MAX(0,B195-Subsurface_Inputs!$C$44)</f>
        <v/>
      </c>
      <c r="D195" s="50">
        <f>B195+Subsurface_Inputs!$C$44</f>
        <v/>
      </c>
      <c r="E195" s="50">
        <f>B195*Subsurface_Inputs!$C$45</f>
        <v/>
      </c>
      <c r="F195" s="50">
        <f>B195</f>
        <v/>
      </c>
      <c r="G195" s="50">
        <f>B195*Subsurface_Inputs!$C$46</f>
        <v/>
      </c>
      <c r="H195" s="50">
        <f>Subsurface_Live_Data!Y195</f>
        <v/>
      </c>
      <c r="I195" s="50">
        <f>Subsurface_Inputs!$C$47-Subsurface_Inputs!$C$43+2*SIN(2*PI()*A195/42)</f>
        <v/>
      </c>
      <c r="J195" s="50" t="n">
        <v>0</v>
      </c>
    </row>
    <row r="196">
      <c r="A196" s="50">
        <f>Subsurface_Live_Data!A196</f>
        <v/>
      </c>
      <c r="B196" s="50">
        <f>Subsurface_Live_Data!K196</f>
        <v/>
      </c>
      <c r="C196" s="50">
        <f>MAX(0,B196-Subsurface_Inputs!$C$44)</f>
        <v/>
      </c>
      <c r="D196" s="50">
        <f>B196+Subsurface_Inputs!$C$44</f>
        <v/>
      </c>
      <c r="E196" s="50">
        <f>B196*Subsurface_Inputs!$C$45</f>
        <v/>
      </c>
      <c r="F196" s="50">
        <f>B196</f>
        <v/>
      </c>
      <c r="G196" s="50">
        <f>B196*Subsurface_Inputs!$C$46</f>
        <v/>
      </c>
      <c r="H196" s="50">
        <f>Subsurface_Live_Data!Y196</f>
        <v/>
      </c>
      <c r="I196" s="50">
        <f>Subsurface_Inputs!$C$47-Subsurface_Inputs!$C$43+2*SIN(2*PI()*A196/42)</f>
        <v/>
      </c>
      <c r="J196" s="50" t="n">
        <v>0</v>
      </c>
    </row>
    <row r="197">
      <c r="A197" s="50">
        <f>Subsurface_Live_Data!A197</f>
        <v/>
      </c>
      <c r="B197" s="50">
        <f>Subsurface_Live_Data!K197</f>
        <v/>
      </c>
      <c r="C197" s="50">
        <f>MAX(0,B197-Subsurface_Inputs!$C$44)</f>
        <v/>
      </c>
      <c r="D197" s="50">
        <f>B197+Subsurface_Inputs!$C$44</f>
        <v/>
      </c>
      <c r="E197" s="50">
        <f>B197*Subsurface_Inputs!$C$45</f>
        <v/>
      </c>
      <c r="F197" s="50">
        <f>B197</f>
        <v/>
      </c>
      <c r="G197" s="50">
        <f>B197*Subsurface_Inputs!$C$46</f>
        <v/>
      </c>
      <c r="H197" s="50">
        <f>Subsurface_Live_Data!Y197</f>
        <v/>
      </c>
      <c r="I197" s="50">
        <f>Subsurface_Inputs!$C$47-Subsurface_Inputs!$C$43+2*SIN(2*PI()*A197/42)</f>
        <v/>
      </c>
      <c r="J197" s="50" t="n">
        <v>0</v>
      </c>
    </row>
    <row r="198">
      <c r="A198" s="50">
        <f>Subsurface_Live_Data!A198</f>
        <v/>
      </c>
      <c r="B198" s="50">
        <f>Subsurface_Live_Data!K198</f>
        <v/>
      </c>
      <c r="C198" s="50">
        <f>MAX(0,B198-Subsurface_Inputs!$C$44)</f>
        <v/>
      </c>
      <c r="D198" s="50">
        <f>B198+Subsurface_Inputs!$C$44</f>
        <v/>
      </c>
      <c r="E198" s="50">
        <f>B198*Subsurface_Inputs!$C$45</f>
        <v/>
      </c>
      <c r="F198" s="50">
        <f>B198</f>
        <v/>
      </c>
      <c r="G198" s="50">
        <f>B198*Subsurface_Inputs!$C$46</f>
        <v/>
      </c>
      <c r="H198" s="50">
        <f>Subsurface_Live_Data!Y198</f>
        <v/>
      </c>
      <c r="I198" s="50">
        <f>Subsurface_Inputs!$C$47-Subsurface_Inputs!$C$43+2*SIN(2*PI()*A198/42)</f>
        <v/>
      </c>
      <c r="J198" s="50" t="n">
        <v>0</v>
      </c>
    </row>
    <row r="199">
      <c r="A199" s="50">
        <f>Subsurface_Live_Data!A199</f>
        <v/>
      </c>
      <c r="B199" s="50">
        <f>Subsurface_Live_Data!K199</f>
        <v/>
      </c>
      <c r="C199" s="50">
        <f>MAX(0,B199-Subsurface_Inputs!$C$44)</f>
        <v/>
      </c>
      <c r="D199" s="50">
        <f>B199+Subsurface_Inputs!$C$44</f>
        <v/>
      </c>
      <c r="E199" s="50">
        <f>B199*Subsurface_Inputs!$C$45</f>
        <v/>
      </c>
      <c r="F199" s="50">
        <f>B199</f>
        <v/>
      </c>
      <c r="G199" s="50">
        <f>B199*Subsurface_Inputs!$C$46</f>
        <v/>
      </c>
      <c r="H199" s="50">
        <f>Subsurface_Live_Data!Y199</f>
        <v/>
      </c>
      <c r="I199" s="50">
        <f>Subsurface_Inputs!$C$47-Subsurface_Inputs!$C$43+2*SIN(2*PI()*A199/42)</f>
        <v/>
      </c>
      <c r="J199" s="50" t="n">
        <v>0</v>
      </c>
    </row>
    <row r="200">
      <c r="A200" s="50">
        <f>Subsurface_Live_Data!A200</f>
        <v/>
      </c>
      <c r="B200" s="50">
        <f>Subsurface_Live_Data!K200</f>
        <v/>
      </c>
      <c r="C200" s="50">
        <f>MAX(0,B200-Subsurface_Inputs!$C$44)</f>
        <v/>
      </c>
      <c r="D200" s="50">
        <f>B200+Subsurface_Inputs!$C$44</f>
        <v/>
      </c>
      <c r="E200" s="50">
        <f>B200*Subsurface_Inputs!$C$45</f>
        <v/>
      </c>
      <c r="F200" s="50">
        <f>B200</f>
        <v/>
      </c>
      <c r="G200" s="50">
        <f>B200*Subsurface_Inputs!$C$46</f>
        <v/>
      </c>
      <c r="H200" s="50">
        <f>Subsurface_Live_Data!Y200</f>
        <v/>
      </c>
      <c r="I200" s="50">
        <f>Subsurface_Inputs!$C$47-Subsurface_Inputs!$C$43+2*SIN(2*PI()*A200/42)</f>
        <v/>
      </c>
      <c r="J200" s="50" t="n">
        <v>0</v>
      </c>
    </row>
    <row r="201">
      <c r="A201" s="50">
        <f>Subsurface_Live_Data!A201</f>
        <v/>
      </c>
      <c r="B201" s="50">
        <f>Subsurface_Live_Data!K201</f>
        <v/>
      </c>
      <c r="C201" s="50">
        <f>MAX(0,B201-Subsurface_Inputs!$C$44)</f>
        <v/>
      </c>
      <c r="D201" s="50">
        <f>B201+Subsurface_Inputs!$C$44</f>
        <v/>
      </c>
      <c r="E201" s="50">
        <f>B201*Subsurface_Inputs!$C$45</f>
        <v/>
      </c>
      <c r="F201" s="50">
        <f>B201</f>
        <v/>
      </c>
      <c r="G201" s="50">
        <f>B201*Subsurface_Inputs!$C$46</f>
        <v/>
      </c>
      <c r="H201" s="50">
        <f>Subsurface_Live_Data!Y201</f>
        <v/>
      </c>
      <c r="I201" s="50">
        <f>Subsurface_Inputs!$C$47-Subsurface_Inputs!$C$43+2*SIN(2*PI()*A201/42)</f>
        <v/>
      </c>
      <c r="J201" s="50" t="n">
        <v>0</v>
      </c>
    </row>
    <row r="202">
      <c r="A202" s="50">
        <f>Subsurface_Live_Data!A202</f>
        <v/>
      </c>
      <c r="B202" s="50">
        <f>Subsurface_Live_Data!K202</f>
        <v/>
      </c>
      <c r="C202" s="50">
        <f>MAX(0,B202-Subsurface_Inputs!$C$44)</f>
        <v/>
      </c>
      <c r="D202" s="50">
        <f>B202+Subsurface_Inputs!$C$44</f>
        <v/>
      </c>
      <c r="E202" s="50">
        <f>B202*Subsurface_Inputs!$C$45</f>
        <v/>
      </c>
      <c r="F202" s="50">
        <f>B202</f>
        <v/>
      </c>
      <c r="G202" s="50">
        <f>B202*Subsurface_Inputs!$C$46</f>
        <v/>
      </c>
      <c r="H202" s="50">
        <f>Subsurface_Live_Data!Y202</f>
        <v/>
      </c>
      <c r="I202" s="50">
        <f>Subsurface_Inputs!$C$47-Subsurface_Inputs!$C$43+2*SIN(2*PI()*A202/42)</f>
        <v/>
      </c>
      <c r="J202" s="50" t="n">
        <v>0</v>
      </c>
    </row>
    <row r="203">
      <c r="A203" s="50">
        <f>Subsurface_Live_Data!A203</f>
        <v/>
      </c>
      <c r="B203" s="50">
        <f>Subsurface_Live_Data!K203</f>
        <v/>
      </c>
      <c r="C203" s="50">
        <f>MAX(0,B203-Subsurface_Inputs!$C$44)</f>
        <v/>
      </c>
      <c r="D203" s="50">
        <f>B203+Subsurface_Inputs!$C$44</f>
        <v/>
      </c>
      <c r="E203" s="50">
        <f>B203*Subsurface_Inputs!$C$45</f>
        <v/>
      </c>
      <c r="F203" s="50">
        <f>B203</f>
        <v/>
      </c>
      <c r="G203" s="50">
        <f>B203*Subsurface_Inputs!$C$46</f>
        <v/>
      </c>
      <c r="H203" s="50">
        <f>Subsurface_Live_Data!Y203</f>
        <v/>
      </c>
      <c r="I203" s="50">
        <f>Subsurface_Inputs!$C$47-Subsurface_Inputs!$C$43+2*SIN(2*PI()*A203/42)</f>
        <v/>
      </c>
      <c r="J203" s="50" t="n">
        <v>0</v>
      </c>
    </row>
    <row r="204">
      <c r="A204" s="50">
        <f>Subsurface_Live_Data!A204</f>
        <v/>
      </c>
      <c r="B204" s="50">
        <f>Subsurface_Live_Data!K204</f>
        <v/>
      </c>
      <c r="C204" s="50">
        <f>MAX(0,B204-Subsurface_Inputs!$C$44)</f>
        <v/>
      </c>
      <c r="D204" s="50">
        <f>B204+Subsurface_Inputs!$C$44</f>
        <v/>
      </c>
      <c r="E204" s="50">
        <f>B204*Subsurface_Inputs!$C$45</f>
        <v/>
      </c>
      <c r="F204" s="50">
        <f>B204</f>
        <v/>
      </c>
      <c r="G204" s="50">
        <f>B204*Subsurface_Inputs!$C$46</f>
        <v/>
      </c>
      <c r="H204" s="50">
        <f>Subsurface_Live_Data!Y204</f>
        <v/>
      </c>
      <c r="I204" s="50">
        <f>Subsurface_Inputs!$C$47-Subsurface_Inputs!$C$43+2*SIN(2*PI()*A204/42)</f>
        <v/>
      </c>
      <c r="J204" s="50" t="n">
        <v>0</v>
      </c>
    </row>
    <row r="205">
      <c r="A205" s="50">
        <f>Subsurface_Live_Data!A205</f>
        <v/>
      </c>
      <c r="B205" s="50">
        <f>Subsurface_Live_Data!K205</f>
        <v/>
      </c>
      <c r="C205" s="50">
        <f>MAX(0,B205-Subsurface_Inputs!$C$44)</f>
        <v/>
      </c>
      <c r="D205" s="50">
        <f>B205+Subsurface_Inputs!$C$44</f>
        <v/>
      </c>
      <c r="E205" s="50">
        <f>B205*Subsurface_Inputs!$C$45</f>
        <v/>
      </c>
      <c r="F205" s="50">
        <f>B205</f>
        <v/>
      </c>
      <c r="G205" s="50">
        <f>B205*Subsurface_Inputs!$C$46</f>
        <v/>
      </c>
      <c r="H205" s="50">
        <f>Subsurface_Live_Data!Y205</f>
        <v/>
      </c>
      <c r="I205" s="50">
        <f>Subsurface_Inputs!$C$47-Subsurface_Inputs!$C$43+2*SIN(2*PI()*A205/42)</f>
        <v/>
      </c>
      <c r="J205" s="50" t="n">
        <v>0</v>
      </c>
    </row>
    <row r="206">
      <c r="A206" s="50">
        <f>Subsurface_Live_Data!A206</f>
        <v/>
      </c>
      <c r="B206" s="50">
        <f>Subsurface_Live_Data!K206</f>
        <v/>
      </c>
      <c r="C206" s="50">
        <f>MAX(0,B206-Subsurface_Inputs!$C$44)</f>
        <v/>
      </c>
      <c r="D206" s="50">
        <f>B206+Subsurface_Inputs!$C$44</f>
        <v/>
      </c>
      <c r="E206" s="50">
        <f>B206*Subsurface_Inputs!$C$45</f>
        <v/>
      </c>
      <c r="F206" s="50">
        <f>B206</f>
        <v/>
      </c>
      <c r="G206" s="50">
        <f>B206*Subsurface_Inputs!$C$46</f>
        <v/>
      </c>
      <c r="H206" s="50">
        <f>Subsurface_Live_Data!Y206</f>
        <v/>
      </c>
      <c r="I206" s="50">
        <f>Subsurface_Inputs!$C$47-Subsurface_Inputs!$C$43+2*SIN(2*PI()*A206/42)</f>
        <v/>
      </c>
      <c r="J206" s="50" t="n">
        <v>0</v>
      </c>
    </row>
    <row r="207">
      <c r="A207" s="50">
        <f>Subsurface_Live_Data!A207</f>
        <v/>
      </c>
      <c r="B207" s="50">
        <f>Subsurface_Live_Data!K207</f>
        <v/>
      </c>
      <c r="C207" s="50">
        <f>MAX(0,B207-Subsurface_Inputs!$C$44)</f>
        <v/>
      </c>
      <c r="D207" s="50">
        <f>B207+Subsurface_Inputs!$C$44</f>
        <v/>
      </c>
      <c r="E207" s="50">
        <f>B207*Subsurface_Inputs!$C$45</f>
        <v/>
      </c>
      <c r="F207" s="50">
        <f>B207</f>
        <v/>
      </c>
      <c r="G207" s="50">
        <f>B207*Subsurface_Inputs!$C$46</f>
        <v/>
      </c>
      <c r="H207" s="50">
        <f>Subsurface_Live_Data!Y207</f>
        <v/>
      </c>
      <c r="I207" s="50">
        <f>Subsurface_Inputs!$C$47-Subsurface_Inputs!$C$43+2*SIN(2*PI()*A207/42)</f>
        <v/>
      </c>
      <c r="J207" s="50" t="n">
        <v>0</v>
      </c>
    </row>
    <row r="208">
      <c r="A208" s="50">
        <f>Subsurface_Live_Data!A208</f>
        <v/>
      </c>
      <c r="B208" s="50">
        <f>Subsurface_Live_Data!K208</f>
        <v/>
      </c>
      <c r="C208" s="50">
        <f>MAX(0,B208-Subsurface_Inputs!$C$44)</f>
        <v/>
      </c>
      <c r="D208" s="50">
        <f>B208+Subsurface_Inputs!$C$44</f>
        <v/>
      </c>
      <c r="E208" s="50">
        <f>B208*Subsurface_Inputs!$C$45</f>
        <v/>
      </c>
      <c r="F208" s="50">
        <f>B208</f>
        <v/>
      </c>
      <c r="G208" s="50">
        <f>B208*Subsurface_Inputs!$C$46</f>
        <v/>
      </c>
      <c r="H208" s="50">
        <f>Subsurface_Live_Data!Y208</f>
        <v/>
      </c>
      <c r="I208" s="50">
        <f>Subsurface_Inputs!$C$47-Subsurface_Inputs!$C$43+2*SIN(2*PI()*A208/42)</f>
        <v/>
      </c>
      <c r="J208" s="50" t="n">
        <v>0</v>
      </c>
    </row>
    <row r="209">
      <c r="A209" s="50">
        <f>Subsurface_Live_Data!A209</f>
        <v/>
      </c>
      <c r="B209" s="50">
        <f>Subsurface_Live_Data!K209</f>
        <v/>
      </c>
      <c r="C209" s="50">
        <f>MAX(0,B209-Subsurface_Inputs!$C$44)</f>
        <v/>
      </c>
      <c r="D209" s="50">
        <f>B209+Subsurface_Inputs!$C$44</f>
        <v/>
      </c>
      <c r="E209" s="50">
        <f>B209*Subsurface_Inputs!$C$45</f>
        <v/>
      </c>
      <c r="F209" s="50">
        <f>B209</f>
        <v/>
      </c>
      <c r="G209" s="50">
        <f>B209*Subsurface_Inputs!$C$46</f>
        <v/>
      </c>
      <c r="H209" s="50">
        <f>Subsurface_Live_Data!Y209</f>
        <v/>
      </c>
      <c r="I209" s="50">
        <f>Subsurface_Inputs!$C$47-Subsurface_Inputs!$C$43+2*SIN(2*PI()*A209/42)</f>
        <v/>
      </c>
      <c r="J209" s="50" t="n">
        <v>0</v>
      </c>
    </row>
    <row r="210">
      <c r="A210" s="50">
        <f>Subsurface_Live_Data!A210</f>
        <v/>
      </c>
      <c r="B210" s="50">
        <f>Subsurface_Live_Data!K210</f>
        <v/>
      </c>
      <c r="C210" s="50">
        <f>MAX(0,B210-Subsurface_Inputs!$C$44)</f>
        <v/>
      </c>
      <c r="D210" s="50">
        <f>B210+Subsurface_Inputs!$C$44</f>
        <v/>
      </c>
      <c r="E210" s="50">
        <f>B210*Subsurface_Inputs!$C$45</f>
        <v/>
      </c>
      <c r="F210" s="50">
        <f>B210</f>
        <v/>
      </c>
      <c r="G210" s="50">
        <f>B210*Subsurface_Inputs!$C$46</f>
        <v/>
      </c>
      <c r="H210" s="50">
        <f>Subsurface_Live_Data!Y210</f>
        <v/>
      </c>
      <c r="I210" s="50">
        <f>Subsurface_Inputs!$C$47-Subsurface_Inputs!$C$43+2*SIN(2*PI()*A210/42)</f>
        <v/>
      </c>
      <c r="J210" s="50" t="n">
        <v>0</v>
      </c>
    </row>
    <row r="211">
      <c r="A211" s="50">
        <f>Subsurface_Live_Data!A211</f>
        <v/>
      </c>
      <c r="B211" s="50">
        <f>Subsurface_Live_Data!K211</f>
        <v/>
      </c>
      <c r="C211" s="50">
        <f>MAX(0,B211-Subsurface_Inputs!$C$44)</f>
        <v/>
      </c>
      <c r="D211" s="50">
        <f>B211+Subsurface_Inputs!$C$44</f>
        <v/>
      </c>
      <c r="E211" s="50">
        <f>B211*Subsurface_Inputs!$C$45</f>
        <v/>
      </c>
      <c r="F211" s="50">
        <f>B211</f>
        <v/>
      </c>
      <c r="G211" s="50">
        <f>B211*Subsurface_Inputs!$C$46</f>
        <v/>
      </c>
      <c r="H211" s="50">
        <f>Subsurface_Live_Data!Y211</f>
        <v/>
      </c>
      <c r="I211" s="50">
        <f>Subsurface_Inputs!$C$47-Subsurface_Inputs!$C$43+2*SIN(2*PI()*A211/42)</f>
        <v/>
      </c>
      <c r="J211" s="50" t="n">
        <v>0</v>
      </c>
    </row>
    <row r="212">
      <c r="A212" s="50">
        <f>Subsurface_Live_Data!A212</f>
        <v/>
      </c>
      <c r="B212" s="50">
        <f>Subsurface_Live_Data!K212</f>
        <v/>
      </c>
      <c r="C212" s="50">
        <f>MAX(0,B212-Subsurface_Inputs!$C$44)</f>
        <v/>
      </c>
      <c r="D212" s="50">
        <f>B212+Subsurface_Inputs!$C$44</f>
        <v/>
      </c>
      <c r="E212" s="50">
        <f>B212*Subsurface_Inputs!$C$45</f>
        <v/>
      </c>
      <c r="F212" s="50">
        <f>B212</f>
        <v/>
      </c>
      <c r="G212" s="50">
        <f>B212*Subsurface_Inputs!$C$46</f>
        <v/>
      </c>
      <c r="H212" s="50">
        <f>Subsurface_Live_Data!Y212</f>
        <v/>
      </c>
      <c r="I212" s="50">
        <f>Subsurface_Inputs!$C$47-Subsurface_Inputs!$C$43+2*SIN(2*PI()*A212/42)</f>
        <v/>
      </c>
      <c r="J212" s="50" t="n">
        <v>0</v>
      </c>
    </row>
    <row r="213">
      <c r="A213" s="50">
        <f>Subsurface_Live_Data!A213</f>
        <v/>
      </c>
      <c r="B213" s="50">
        <f>Subsurface_Live_Data!K213</f>
        <v/>
      </c>
      <c r="C213" s="50">
        <f>MAX(0,B213-Subsurface_Inputs!$C$44)</f>
        <v/>
      </c>
      <c r="D213" s="50">
        <f>B213+Subsurface_Inputs!$C$44</f>
        <v/>
      </c>
      <c r="E213" s="50">
        <f>B213*Subsurface_Inputs!$C$45</f>
        <v/>
      </c>
      <c r="F213" s="50">
        <f>B213</f>
        <v/>
      </c>
      <c r="G213" s="50">
        <f>B213*Subsurface_Inputs!$C$46</f>
        <v/>
      </c>
      <c r="H213" s="50">
        <f>Subsurface_Live_Data!Y213</f>
        <v/>
      </c>
      <c r="I213" s="50">
        <f>Subsurface_Inputs!$C$47-Subsurface_Inputs!$C$43+2*SIN(2*PI()*A213/42)</f>
        <v/>
      </c>
      <c r="J213" s="50" t="n">
        <v>0</v>
      </c>
    </row>
    <row r="214">
      <c r="A214" s="50">
        <f>Subsurface_Live_Data!A214</f>
        <v/>
      </c>
      <c r="B214" s="50">
        <f>Subsurface_Live_Data!K214</f>
        <v/>
      </c>
      <c r="C214" s="50">
        <f>MAX(0,B214-Subsurface_Inputs!$C$44)</f>
        <v/>
      </c>
      <c r="D214" s="50">
        <f>B214+Subsurface_Inputs!$C$44</f>
        <v/>
      </c>
      <c r="E214" s="50">
        <f>B214*Subsurface_Inputs!$C$45</f>
        <v/>
      </c>
      <c r="F214" s="50">
        <f>B214</f>
        <v/>
      </c>
      <c r="G214" s="50">
        <f>B214*Subsurface_Inputs!$C$46</f>
        <v/>
      </c>
      <c r="H214" s="50">
        <f>Subsurface_Live_Data!Y214</f>
        <v/>
      </c>
      <c r="I214" s="50">
        <f>Subsurface_Inputs!$C$47-Subsurface_Inputs!$C$43+2*SIN(2*PI()*A214/42)</f>
        <v/>
      </c>
      <c r="J214" s="50" t="n">
        <v>0</v>
      </c>
    </row>
    <row r="215">
      <c r="A215" s="50">
        <f>Subsurface_Live_Data!A215</f>
        <v/>
      </c>
      <c r="B215" s="50">
        <f>Subsurface_Live_Data!K215</f>
        <v/>
      </c>
      <c r="C215" s="50">
        <f>MAX(0,B215-Subsurface_Inputs!$C$44)</f>
        <v/>
      </c>
      <c r="D215" s="50">
        <f>B215+Subsurface_Inputs!$C$44</f>
        <v/>
      </c>
      <c r="E215" s="50">
        <f>B215*Subsurface_Inputs!$C$45</f>
        <v/>
      </c>
      <c r="F215" s="50">
        <f>B215</f>
        <v/>
      </c>
      <c r="G215" s="50">
        <f>B215*Subsurface_Inputs!$C$46</f>
        <v/>
      </c>
      <c r="H215" s="50">
        <f>Subsurface_Live_Data!Y215</f>
        <v/>
      </c>
      <c r="I215" s="50">
        <f>Subsurface_Inputs!$C$47-Subsurface_Inputs!$C$43+2*SIN(2*PI()*A215/42)</f>
        <v/>
      </c>
      <c r="J215" s="50" t="n">
        <v>0</v>
      </c>
    </row>
    <row r="216">
      <c r="A216" s="50">
        <f>Subsurface_Live_Data!A216</f>
        <v/>
      </c>
      <c r="B216" s="50">
        <f>Subsurface_Live_Data!K216</f>
        <v/>
      </c>
      <c r="C216" s="50">
        <f>MAX(0,B216-Subsurface_Inputs!$C$44)</f>
        <v/>
      </c>
      <c r="D216" s="50">
        <f>B216+Subsurface_Inputs!$C$44</f>
        <v/>
      </c>
      <c r="E216" s="50">
        <f>B216*Subsurface_Inputs!$C$45</f>
        <v/>
      </c>
      <c r="F216" s="50">
        <f>B216</f>
        <v/>
      </c>
      <c r="G216" s="50">
        <f>B216*Subsurface_Inputs!$C$46</f>
        <v/>
      </c>
      <c r="H216" s="50">
        <f>Subsurface_Live_Data!Y216</f>
        <v/>
      </c>
      <c r="I216" s="50">
        <f>Subsurface_Inputs!$C$47-Subsurface_Inputs!$C$43+2*SIN(2*PI()*A216/42)</f>
        <v/>
      </c>
      <c r="J216" s="50" t="n">
        <v>0</v>
      </c>
    </row>
    <row r="217">
      <c r="A217" s="50">
        <f>Subsurface_Live_Data!A217</f>
        <v/>
      </c>
      <c r="B217" s="50">
        <f>Subsurface_Live_Data!K217</f>
        <v/>
      </c>
      <c r="C217" s="50">
        <f>MAX(0,B217-Subsurface_Inputs!$C$44)</f>
        <v/>
      </c>
      <c r="D217" s="50">
        <f>B217+Subsurface_Inputs!$C$44</f>
        <v/>
      </c>
      <c r="E217" s="50">
        <f>B217*Subsurface_Inputs!$C$45</f>
        <v/>
      </c>
      <c r="F217" s="50">
        <f>B217</f>
        <v/>
      </c>
      <c r="G217" s="50">
        <f>B217*Subsurface_Inputs!$C$46</f>
        <v/>
      </c>
      <c r="H217" s="50">
        <f>Subsurface_Live_Data!Y217</f>
        <v/>
      </c>
      <c r="I217" s="50">
        <f>Subsurface_Inputs!$C$47-Subsurface_Inputs!$C$43+2*SIN(2*PI()*A217/42)</f>
        <v/>
      </c>
      <c r="J217" s="50" t="n">
        <v>0</v>
      </c>
    </row>
    <row r="218">
      <c r="A218" s="50">
        <f>Subsurface_Live_Data!A218</f>
        <v/>
      </c>
      <c r="B218" s="50">
        <f>Subsurface_Live_Data!K218</f>
        <v/>
      </c>
      <c r="C218" s="50">
        <f>MAX(0,B218-Subsurface_Inputs!$C$44)</f>
        <v/>
      </c>
      <c r="D218" s="50">
        <f>B218+Subsurface_Inputs!$C$44</f>
        <v/>
      </c>
      <c r="E218" s="50">
        <f>B218*Subsurface_Inputs!$C$45</f>
        <v/>
      </c>
      <c r="F218" s="50">
        <f>B218</f>
        <v/>
      </c>
      <c r="G218" s="50">
        <f>B218*Subsurface_Inputs!$C$46</f>
        <v/>
      </c>
      <c r="H218" s="50">
        <f>Subsurface_Live_Data!Y218</f>
        <v/>
      </c>
      <c r="I218" s="50">
        <f>Subsurface_Inputs!$C$47-Subsurface_Inputs!$C$43+2*SIN(2*PI()*A218/42)</f>
        <v/>
      </c>
      <c r="J218" s="50" t="n">
        <v>0</v>
      </c>
    </row>
    <row r="219">
      <c r="A219" s="50">
        <f>Subsurface_Live_Data!A219</f>
        <v/>
      </c>
      <c r="B219" s="50">
        <f>Subsurface_Live_Data!K219</f>
        <v/>
      </c>
      <c r="C219" s="50">
        <f>MAX(0,B219-Subsurface_Inputs!$C$44)</f>
        <v/>
      </c>
      <c r="D219" s="50">
        <f>B219+Subsurface_Inputs!$C$44</f>
        <v/>
      </c>
      <c r="E219" s="50">
        <f>B219*Subsurface_Inputs!$C$45</f>
        <v/>
      </c>
      <c r="F219" s="50">
        <f>B219</f>
        <v/>
      </c>
      <c r="G219" s="50">
        <f>B219*Subsurface_Inputs!$C$46</f>
        <v/>
      </c>
      <c r="H219" s="50">
        <f>Subsurface_Live_Data!Y219</f>
        <v/>
      </c>
      <c r="I219" s="50">
        <f>Subsurface_Inputs!$C$47-Subsurface_Inputs!$C$43+2*SIN(2*PI()*A219/42)</f>
        <v/>
      </c>
      <c r="J219" s="50" t="n">
        <v>0</v>
      </c>
    </row>
    <row r="220">
      <c r="A220" s="50">
        <f>Subsurface_Live_Data!A220</f>
        <v/>
      </c>
      <c r="B220" s="50">
        <f>Subsurface_Live_Data!K220</f>
        <v/>
      </c>
      <c r="C220" s="50">
        <f>MAX(0,B220-Subsurface_Inputs!$C$44)</f>
        <v/>
      </c>
      <c r="D220" s="50">
        <f>B220+Subsurface_Inputs!$C$44</f>
        <v/>
      </c>
      <c r="E220" s="50">
        <f>B220*Subsurface_Inputs!$C$45</f>
        <v/>
      </c>
      <c r="F220" s="50">
        <f>B220</f>
        <v/>
      </c>
      <c r="G220" s="50">
        <f>B220*Subsurface_Inputs!$C$46</f>
        <v/>
      </c>
      <c r="H220" s="50">
        <f>Subsurface_Live_Data!Y220</f>
        <v/>
      </c>
      <c r="I220" s="50">
        <f>Subsurface_Inputs!$C$47-Subsurface_Inputs!$C$43+2*SIN(2*PI()*A220/42)</f>
        <v/>
      </c>
      <c r="J220" s="50" t="n">
        <v>0</v>
      </c>
    </row>
    <row r="221">
      <c r="A221" s="50">
        <f>Subsurface_Live_Data!A221</f>
        <v/>
      </c>
      <c r="B221" s="50">
        <f>Subsurface_Live_Data!K221</f>
        <v/>
      </c>
      <c r="C221" s="50">
        <f>MAX(0,B221-Subsurface_Inputs!$C$44)</f>
        <v/>
      </c>
      <c r="D221" s="50">
        <f>B221+Subsurface_Inputs!$C$44</f>
        <v/>
      </c>
      <c r="E221" s="50">
        <f>B221*Subsurface_Inputs!$C$45</f>
        <v/>
      </c>
      <c r="F221" s="50">
        <f>B221</f>
        <v/>
      </c>
      <c r="G221" s="50">
        <f>B221*Subsurface_Inputs!$C$46</f>
        <v/>
      </c>
      <c r="H221" s="50">
        <f>Subsurface_Live_Data!Y221</f>
        <v/>
      </c>
      <c r="I221" s="50">
        <f>Subsurface_Inputs!$C$47-Subsurface_Inputs!$C$43+2*SIN(2*PI()*A221/42)</f>
        <v/>
      </c>
      <c r="J221" s="50" t="n">
        <v>0</v>
      </c>
    </row>
    <row r="222">
      <c r="A222" s="50">
        <f>Subsurface_Live_Data!A222</f>
        <v/>
      </c>
      <c r="B222" s="50">
        <f>Subsurface_Live_Data!K222</f>
        <v/>
      </c>
      <c r="C222" s="50">
        <f>MAX(0,B222-Subsurface_Inputs!$C$44)</f>
        <v/>
      </c>
      <c r="D222" s="50">
        <f>B222+Subsurface_Inputs!$C$44</f>
        <v/>
      </c>
      <c r="E222" s="50">
        <f>B222*Subsurface_Inputs!$C$45</f>
        <v/>
      </c>
      <c r="F222" s="50">
        <f>B222</f>
        <v/>
      </c>
      <c r="G222" s="50">
        <f>B222*Subsurface_Inputs!$C$46</f>
        <v/>
      </c>
      <c r="H222" s="50">
        <f>Subsurface_Live_Data!Y222</f>
        <v/>
      </c>
      <c r="I222" s="50">
        <f>Subsurface_Inputs!$C$47-Subsurface_Inputs!$C$43+2*SIN(2*PI()*A222/42)</f>
        <v/>
      </c>
      <c r="J222" s="50" t="n">
        <v>0</v>
      </c>
    </row>
    <row r="223">
      <c r="A223" s="50">
        <f>Subsurface_Live_Data!A223</f>
        <v/>
      </c>
      <c r="B223" s="50">
        <f>Subsurface_Live_Data!K223</f>
        <v/>
      </c>
      <c r="C223" s="50">
        <f>MAX(0,B223-Subsurface_Inputs!$C$44)</f>
        <v/>
      </c>
      <c r="D223" s="50">
        <f>B223+Subsurface_Inputs!$C$44</f>
        <v/>
      </c>
      <c r="E223" s="50">
        <f>B223*Subsurface_Inputs!$C$45</f>
        <v/>
      </c>
      <c r="F223" s="50">
        <f>B223</f>
        <v/>
      </c>
      <c r="G223" s="50">
        <f>B223*Subsurface_Inputs!$C$46</f>
        <v/>
      </c>
      <c r="H223" s="50">
        <f>Subsurface_Live_Data!Y223</f>
        <v/>
      </c>
      <c r="I223" s="50">
        <f>Subsurface_Inputs!$C$47-Subsurface_Inputs!$C$43+2*SIN(2*PI()*A223/42)</f>
        <v/>
      </c>
      <c r="J223" s="50" t="n">
        <v>0</v>
      </c>
    </row>
    <row r="224">
      <c r="A224" s="50">
        <f>Subsurface_Live_Data!A224</f>
        <v/>
      </c>
      <c r="B224" s="50">
        <f>Subsurface_Live_Data!K224</f>
        <v/>
      </c>
      <c r="C224" s="50">
        <f>MAX(0,B224-Subsurface_Inputs!$C$44)</f>
        <v/>
      </c>
      <c r="D224" s="50">
        <f>B224+Subsurface_Inputs!$C$44</f>
        <v/>
      </c>
      <c r="E224" s="50">
        <f>B224*Subsurface_Inputs!$C$45</f>
        <v/>
      </c>
      <c r="F224" s="50">
        <f>B224</f>
        <v/>
      </c>
      <c r="G224" s="50">
        <f>B224*Subsurface_Inputs!$C$46</f>
        <v/>
      </c>
      <c r="H224" s="50">
        <f>Subsurface_Live_Data!Y224</f>
        <v/>
      </c>
      <c r="I224" s="50">
        <f>Subsurface_Inputs!$C$47-Subsurface_Inputs!$C$43+2*SIN(2*PI()*A224/42)</f>
        <v/>
      </c>
      <c r="J224" s="50" t="n">
        <v>0</v>
      </c>
    </row>
    <row r="225">
      <c r="A225" s="50">
        <f>Subsurface_Live_Data!A225</f>
        <v/>
      </c>
      <c r="B225" s="50">
        <f>Subsurface_Live_Data!K225</f>
        <v/>
      </c>
      <c r="C225" s="50">
        <f>MAX(0,B225-Subsurface_Inputs!$C$44)</f>
        <v/>
      </c>
      <c r="D225" s="50">
        <f>B225+Subsurface_Inputs!$C$44</f>
        <v/>
      </c>
      <c r="E225" s="50">
        <f>B225*Subsurface_Inputs!$C$45</f>
        <v/>
      </c>
      <c r="F225" s="50">
        <f>B225</f>
        <v/>
      </c>
      <c r="G225" s="50">
        <f>B225*Subsurface_Inputs!$C$46</f>
        <v/>
      </c>
      <c r="H225" s="50">
        <f>Subsurface_Live_Data!Y225</f>
        <v/>
      </c>
      <c r="I225" s="50">
        <f>Subsurface_Inputs!$C$47-Subsurface_Inputs!$C$43+2*SIN(2*PI()*A225/42)</f>
        <v/>
      </c>
      <c r="J225" s="50" t="n">
        <v>0</v>
      </c>
    </row>
    <row r="226">
      <c r="A226" s="50">
        <f>Subsurface_Live_Data!A226</f>
        <v/>
      </c>
      <c r="B226" s="50">
        <f>Subsurface_Live_Data!K226</f>
        <v/>
      </c>
      <c r="C226" s="50">
        <f>MAX(0,B226-Subsurface_Inputs!$C$44)</f>
        <v/>
      </c>
      <c r="D226" s="50">
        <f>B226+Subsurface_Inputs!$C$44</f>
        <v/>
      </c>
      <c r="E226" s="50">
        <f>B226*Subsurface_Inputs!$C$45</f>
        <v/>
      </c>
      <c r="F226" s="50">
        <f>B226</f>
        <v/>
      </c>
      <c r="G226" s="50">
        <f>B226*Subsurface_Inputs!$C$46</f>
        <v/>
      </c>
      <c r="H226" s="50">
        <f>Subsurface_Live_Data!Y226</f>
        <v/>
      </c>
      <c r="I226" s="50">
        <f>Subsurface_Inputs!$C$47-Subsurface_Inputs!$C$43+2*SIN(2*PI()*A226/42)</f>
        <v/>
      </c>
      <c r="J226" s="50" t="n">
        <v>0</v>
      </c>
    </row>
    <row r="227">
      <c r="A227" s="50">
        <f>Subsurface_Live_Data!A227</f>
        <v/>
      </c>
      <c r="B227" s="50">
        <f>Subsurface_Live_Data!K227</f>
        <v/>
      </c>
      <c r="C227" s="50">
        <f>MAX(0,B227-Subsurface_Inputs!$C$44)</f>
        <v/>
      </c>
      <c r="D227" s="50">
        <f>B227+Subsurface_Inputs!$C$44</f>
        <v/>
      </c>
      <c r="E227" s="50">
        <f>B227*Subsurface_Inputs!$C$45</f>
        <v/>
      </c>
      <c r="F227" s="50">
        <f>B227</f>
        <v/>
      </c>
      <c r="G227" s="50">
        <f>B227*Subsurface_Inputs!$C$46</f>
        <v/>
      </c>
      <c r="H227" s="50">
        <f>Subsurface_Live_Data!Y227</f>
        <v/>
      </c>
      <c r="I227" s="50">
        <f>Subsurface_Inputs!$C$47-Subsurface_Inputs!$C$43+2*SIN(2*PI()*A227/42)</f>
        <v/>
      </c>
      <c r="J227" s="50" t="n">
        <v>0</v>
      </c>
    </row>
    <row r="228">
      <c r="A228" s="50">
        <f>Subsurface_Live_Data!A228</f>
        <v/>
      </c>
      <c r="B228" s="50">
        <f>Subsurface_Live_Data!K228</f>
        <v/>
      </c>
      <c r="C228" s="50">
        <f>MAX(0,B228-Subsurface_Inputs!$C$44)</f>
        <v/>
      </c>
      <c r="D228" s="50">
        <f>B228+Subsurface_Inputs!$C$44</f>
        <v/>
      </c>
      <c r="E228" s="50">
        <f>B228*Subsurface_Inputs!$C$45</f>
        <v/>
      </c>
      <c r="F228" s="50">
        <f>B228</f>
        <v/>
      </c>
      <c r="G228" s="50">
        <f>B228*Subsurface_Inputs!$C$46</f>
        <v/>
      </c>
      <c r="H228" s="50">
        <f>Subsurface_Live_Data!Y228</f>
        <v/>
      </c>
      <c r="I228" s="50">
        <f>Subsurface_Inputs!$C$47-Subsurface_Inputs!$C$43+2*SIN(2*PI()*A228/42)</f>
        <v/>
      </c>
      <c r="J228" s="50" t="n">
        <v>0</v>
      </c>
    </row>
    <row r="229">
      <c r="A229" s="50">
        <f>Subsurface_Live_Data!A229</f>
        <v/>
      </c>
      <c r="B229" s="50">
        <f>Subsurface_Live_Data!K229</f>
        <v/>
      </c>
      <c r="C229" s="50">
        <f>MAX(0,B229-Subsurface_Inputs!$C$44)</f>
        <v/>
      </c>
      <c r="D229" s="50">
        <f>B229+Subsurface_Inputs!$C$44</f>
        <v/>
      </c>
      <c r="E229" s="50">
        <f>B229*Subsurface_Inputs!$C$45</f>
        <v/>
      </c>
      <c r="F229" s="50">
        <f>B229</f>
        <v/>
      </c>
      <c r="G229" s="50">
        <f>B229*Subsurface_Inputs!$C$46</f>
        <v/>
      </c>
      <c r="H229" s="50">
        <f>Subsurface_Live_Data!Y229</f>
        <v/>
      </c>
      <c r="I229" s="50">
        <f>Subsurface_Inputs!$C$47-Subsurface_Inputs!$C$43+2*SIN(2*PI()*A229/42)</f>
        <v/>
      </c>
      <c r="J229" s="50" t="n">
        <v>0</v>
      </c>
    </row>
    <row r="230">
      <c r="A230" s="50">
        <f>Subsurface_Live_Data!A230</f>
        <v/>
      </c>
      <c r="B230" s="50">
        <f>Subsurface_Live_Data!K230</f>
        <v/>
      </c>
      <c r="C230" s="50">
        <f>MAX(0,B230-Subsurface_Inputs!$C$44)</f>
        <v/>
      </c>
      <c r="D230" s="50">
        <f>B230+Subsurface_Inputs!$C$44</f>
        <v/>
      </c>
      <c r="E230" s="50">
        <f>B230*Subsurface_Inputs!$C$45</f>
        <v/>
      </c>
      <c r="F230" s="50">
        <f>B230</f>
        <v/>
      </c>
      <c r="G230" s="50">
        <f>B230*Subsurface_Inputs!$C$46</f>
        <v/>
      </c>
      <c r="H230" s="50">
        <f>Subsurface_Live_Data!Y230</f>
        <v/>
      </c>
      <c r="I230" s="50">
        <f>Subsurface_Inputs!$C$47-Subsurface_Inputs!$C$43+2*SIN(2*PI()*A230/42)</f>
        <v/>
      </c>
      <c r="J230" s="50" t="n">
        <v>0</v>
      </c>
    </row>
    <row r="231">
      <c r="A231" s="50">
        <f>Subsurface_Live_Data!A231</f>
        <v/>
      </c>
      <c r="B231" s="50">
        <f>Subsurface_Live_Data!K231</f>
        <v/>
      </c>
      <c r="C231" s="50">
        <f>MAX(0,B231-Subsurface_Inputs!$C$44)</f>
        <v/>
      </c>
      <c r="D231" s="50">
        <f>B231+Subsurface_Inputs!$C$44</f>
        <v/>
      </c>
      <c r="E231" s="50">
        <f>B231*Subsurface_Inputs!$C$45</f>
        <v/>
      </c>
      <c r="F231" s="50">
        <f>B231</f>
        <v/>
      </c>
      <c r="G231" s="50">
        <f>B231*Subsurface_Inputs!$C$46</f>
        <v/>
      </c>
      <c r="H231" s="50">
        <f>Subsurface_Live_Data!Y231</f>
        <v/>
      </c>
      <c r="I231" s="50">
        <f>Subsurface_Inputs!$C$47-Subsurface_Inputs!$C$43+2*SIN(2*PI()*A231/42)</f>
        <v/>
      </c>
      <c r="J231" s="50" t="n">
        <v>0</v>
      </c>
    </row>
    <row r="232">
      <c r="A232" s="50">
        <f>Subsurface_Live_Data!A232</f>
        <v/>
      </c>
      <c r="B232" s="50">
        <f>Subsurface_Live_Data!K232</f>
        <v/>
      </c>
      <c r="C232" s="50">
        <f>MAX(0,B232-Subsurface_Inputs!$C$44)</f>
        <v/>
      </c>
      <c r="D232" s="50">
        <f>B232+Subsurface_Inputs!$C$44</f>
        <v/>
      </c>
      <c r="E232" s="50">
        <f>B232*Subsurface_Inputs!$C$45</f>
        <v/>
      </c>
      <c r="F232" s="50">
        <f>B232</f>
        <v/>
      </c>
      <c r="G232" s="50">
        <f>B232*Subsurface_Inputs!$C$46</f>
        <v/>
      </c>
      <c r="H232" s="50">
        <f>Subsurface_Live_Data!Y232</f>
        <v/>
      </c>
      <c r="I232" s="50">
        <f>Subsurface_Inputs!$C$47-Subsurface_Inputs!$C$43+2*SIN(2*PI()*A232/42)</f>
        <v/>
      </c>
      <c r="J232" s="50" t="n">
        <v>0</v>
      </c>
    </row>
    <row r="233">
      <c r="A233" s="50">
        <f>Subsurface_Live_Data!A233</f>
        <v/>
      </c>
      <c r="B233" s="50">
        <f>Subsurface_Live_Data!K233</f>
        <v/>
      </c>
      <c r="C233" s="50">
        <f>MAX(0,B233-Subsurface_Inputs!$C$44)</f>
        <v/>
      </c>
      <c r="D233" s="50">
        <f>B233+Subsurface_Inputs!$C$44</f>
        <v/>
      </c>
      <c r="E233" s="50">
        <f>B233*Subsurface_Inputs!$C$45</f>
        <v/>
      </c>
      <c r="F233" s="50">
        <f>B233</f>
        <v/>
      </c>
      <c r="G233" s="50">
        <f>B233*Subsurface_Inputs!$C$46</f>
        <v/>
      </c>
      <c r="H233" s="50">
        <f>Subsurface_Live_Data!Y233</f>
        <v/>
      </c>
      <c r="I233" s="50">
        <f>Subsurface_Inputs!$C$47-Subsurface_Inputs!$C$43+2*SIN(2*PI()*A233/42)</f>
        <v/>
      </c>
      <c r="J233" s="50" t="n">
        <v>0</v>
      </c>
    </row>
    <row r="234">
      <c r="A234" s="50">
        <f>Subsurface_Live_Data!A234</f>
        <v/>
      </c>
      <c r="B234" s="50">
        <f>Subsurface_Live_Data!K234</f>
        <v/>
      </c>
      <c r="C234" s="50">
        <f>MAX(0,B234-Subsurface_Inputs!$C$44)</f>
        <v/>
      </c>
      <c r="D234" s="50">
        <f>B234+Subsurface_Inputs!$C$44</f>
        <v/>
      </c>
      <c r="E234" s="50">
        <f>B234*Subsurface_Inputs!$C$45</f>
        <v/>
      </c>
      <c r="F234" s="50">
        <f>B234</f>
        <v/>
      </c>
      <c r="G234" s="50">
        <f>B234*Subsurface_Inputs!$C$46</f>
        <v/>
      </c>
      <c r="H234" s="50">
        <f>Subsurface_Live_Data!Y234</f>
        <v/>
      </c>
      <c r="I234" s="50">
        <f>Subsurface_Inputs!$C$47-Subsurface_Inputs!$C$43+2*SIN(2*PI()*A234/42)</f>
        <v/>
      </c>
      <c r="J234" s="50" t="n">
        <v>0</v>
      </c>
    </row>
    <row r="235">
      <c r="A235" s="50">
        <f>Subsurface_Live_Data!A235</f>
        <v/>
      </c>
      <c r="B235" s="50">
        <f>Subsurface_Live_Data!K235</f>
        <v/>
      </c>
      <c r="C235" s="50">
        <f>MAX(0,B235-Subsurface_Inputs!$C$44)</f>
        <v/>
      </c>
      <c r="D235" s="50">
        <f>B235+Subsurface_Inputs!$C$44</f>
        <v/>
      </c>
      <c r="E235" s="50">
        <f>B235*Subsurface_Inputs!$C$45</f>
        <v/>
      </c>
      <c r="F235" s="50">
        <f>B235</f>
        <v/>
      </c>
      <c r="G235" s="50">
        <f>B235*Subsurface_Inputs!$C$46</f>
        <v/>
      </c>
      <c r="H235" s="50">
        <f>Subsurface_Live_Data!Y235</f>
        <v/>
      </c>
      <c r="I235" s="50">
        <f>Subsurface_Inputs!$C$47-Subsurface_Inputs!$C$43+2*SIN(2*PI()*A235/42)</f>
        <v/>
      </c>
      <c r="J235" s="50" t="n">
        <v>0</v>
      </c>
    </row>
    <row r="236">
      <c r="A236" s="50">
        <f>Subsurface_Live_Data!A236</f>
        <v/>
      </c>
      <c r="B236" s="50">
        <f>Subsurface_Live_Data!K236</f>
        <v/>
      </c>
      <c r="C236" s="50">
        <f>MAX(0,B236-Subsurface_Inputs!$C$44)</f>
        <v/>
      </c>
      <c r="D236" s="50">
        <f>B236+Subsurface_Inputs!$C$44</f>
        <v/>
      </c>
      <c r="E236" s="50">
        <f>B236*Subsurface_Inputs!$C$45</f>
        <v/>
      </c>
      <c r="F236" s="50">
        <f>B236</f>
        <v/>
      </c>
      <c r="G236" s="50">
        <f>B236*Subsurface_Inputs!$C$46</f>
        <v/>
      </c>
      <c r="H236" s="50">
        <f>Subsurface_Live_Data!Y236</f>
        <v/>
      </c>
      <c r="I236" s="50">
        <f>Subsurface_Inputs!$C$47-Subsurface_Inputs!$C$43+2*SIN(2*PI()*A236/42)</f>
        <v/>
      </c>
      <c r="J236" s="50" t="n">
        <v>0</v>
      </c>
    </row>
    <row r="237">
      <c r="A237" s="50">
        <f>Subsurface_Live_Data!A237</f>
        <v/>
      </c>
      <c r="B237" s="50">
        <f>Subsurface_Live_Data!K237</f>
        <v/>
      </c>
      <c r="C237" s="50">
        <f>MAX(0,B237-Subsurface_Inputs!$C$44)</f>
        <v/>
      </c>
      <c r="D237" s="50">
        <f>B237+Subsurface_Inputs!$C$44</f>
        <v/>
      </c>
      <c r="E237" s="50">
        <f>B237*Subsurface_Inputs!$C$45</f>
        <v/>
      </c>
      <c r="F237" s="50">
        <f>B237</f>
        <v/>
      </c>
      <c r="G237" s="50">
        <f>B237*Subsurface_Inputs!$C$46</f>
        <v/>
      </c>
      <c r="H237" s="50">
        <f>Subsurface_Live_Data!Y237</f>
        <v/>
      </c>
      <c r="I237" s="50">
        <f>Subsurface_Inputs!$C$47-Subsurface_Inputs!$C$43+2*SIN(2*PI()*A237/42)</f>
        <v/>
      </c>
      <c r="J237" s="50" t="n">
        <v>0</v>
      </c>
    </row>
    <row r="238">
      <c r="A238" s="50">
        <f>Subsurface_Live_Data!A238</f>
        <v/>
      </c>
      <c r="B238" s="50">
        <f>Subsurface_Live_Data!K238</f>
        <v/>
      </c>
      <c r="C238" s="50">
        <f>MAX(0,B238-Subsurface_Inputs!$C$44)</f>
        <v/>
      </c>
      <c r="D238" s="50">
        <f>B238+Subsurface_Inputs!$C$44</f>
        <v/>
      </c>
      <c r="E238" s="50">
        <f>B238*Subsurface_Inputs!$C$45</f>
        <v/>
      </c>
      <c r="F238" s="50">
        <f>B238</f>
        <v/>
      </c>
      <c r="G238" s="50">
        <f>B238*Subsurface_Inputs!$C$46</f>
        <v/>
      </c>
      <c r="H238" s="50">
        <f>Subsurface_Live_Data!Y238</f>
        <v/>
      </c>
      <c r="I238" s="50">
        <f>Subsurface_Inputs!$C$47-Subsurface_Inputs!$C$43+2*SIN(2*PI()*A238/42)</f>
        <v/>
      </c>
      <c r="J238" s="50" t="n">
        <v>0</v>
      </c>
    </row>
    <row r="239">
      <c r="A239" s="50">
        <f>Subsurface_Live_Data!A239</f>
        <v/>
      </c>
      <c r="B239" s="50">
        <f>Subsurface_Live_Data!K239</f>
        <v/>
      </c>
      <c r="C239" s="50">
        <f>MAX(0,B239-Subsurface_Inputs!$C$44)</f>
        <v/>
      </c>
      <c r="D239" s="50">
        <f>B239+Subsurface_Inputs!$C$44</f>
        <v/>
      </c>
      <c r="E239" s="50">
        <f>B239*Subsurface_Inputs!$C$45</f>
        <v/>
      </c>
      <c r="F239" s="50">
        <f>B239</f>
        <v/>
      </c>
      <c r="G239" s="50">
        <f>B239*Subsurface_Inputs!$C$46</f>
        <v/>
      </c>
      <c r="H239" s="50">
        <f>Subsurface_Live_Data!Y239</f>
        <v/>
      </c>
      <c r="I239" s="50">
        <f>Subsurface_Inputs!$C$47-Subsurface_Inputs!$C$43+2*SIN(2*PI()*A239/42)</f>
        <v/>
      </c>
      <c r="J239" s="50" t="n">
        <v>0</v>
      </c>
    </row>
    <row r="240">
      <c r="A240" s="50">
        <f>Subsurface_Live_Data!A240</f>
        <v/>
      </c>
      <c r="B240" s="50">
        <f>Subsurface_Live_Data!K240</f>
        <v/>
      </c>
      <c r="C240" s="50">
        <f>MAX(0,B240-Subsurface_Inputs!$C$44)</f>
        <v/>
      </c>
      <c r="D240" s="50">
        <f>B240+Subsurface_Inputs!$C$44</f>
        <v/>
      </c>
      <c r="E240" s="50">
        <f>B240*Subsurface_Inputs!$C$45</f>
        <v/>
      </c>
      <c r="F240" s="50">
        <f>B240</f>
        <v/>
      </c>
      <c r="G240" s="50">
        <f>B240*Subsurface_Inputs!$C$46</f>
        <v/>
      </c>
      <c r="H240" s="50">
        <f>Subsurface_Live_Data!Y240</f>
        <v/>
      </c>
      <c r="I240" s="50">
        <f>Subsurface_Inputs!$C$47-Subsurface_Inputs!$C$43+2*SIN(2*PI()*A240/42)</f>
        <v/>
      </c>
      <c r="J240" s="50" t="n">
        <v>0</v>
      </c>
    </row>
    <row r="241">
      <c r="A241" s="50">
        <f>Subsurface_Live_Data!A241</f>
        <v/>
      </c>
      <c r="B241" s="50">
        <f>Subsurface_Live_Data!K241</f>
        <v/>
      </c>
      <c r="C241" s="50">
        <f>MAX(0,B241-Subsurface_Inputs!$C$44)</f>
        <v/>
      </c>
      <c r="D241" s="50">
        <f>B241+Subsurface_Inputs!$C$44</f>
        <v/>
      </c>
      <c r="E241" s="50">
        <f>B241*Subsurface_Inputs!$C$45</f>
        <v/>
      </c>
      <c r="F241" s="50">
        <f>B241</f>
        <v/>
      </c>
      <c r="G241" s="50">
        <f>B241*Subsurface_Inputs!$C$46</f>
        <v/>
      </c>
      <c r="H241" s="50">
        <f>Subsurface_Live_Data!Y241</f>
        <v/>
      </c>
      <c r="I241" s="50">
        <f>Subsurface_Inputs!$C$47-Subsurface_Inputs!$C$43+2*SIN(2*PI()*A241/42)</f>
        <v/>
      </c>
      <c r="J241" s="50" t="n">
        <v>0</v>
      </c>
    </row>
    <row r="242">
      <c r="A242" s="50">
        <f>Subsurface_Live_Data!A242</f>
        <v/>
      </c>
      <c r="B242" s="50">
        <f>Subsurface_Live_Data!K242</f>
        <v/>
      </c>
      <c r="C242" s="50">
        <f>MAX(0,B242-Subsurface_Inputs!$C$44)</f>
        <v/>
      </c>
      <c r="D242" s="50">
        <f>B242+Subsurface_Inputs!$C$44</f>
        <v/>
      </c>
      <c r="E242" s="50">
        <f>B242*Subsurface_Inputs!$C$45</f>
        <v/>
      </c>
      <c r="F242" s="50">
        <f>B242</f>
        <v/>
      </c>
      <c r="G242" s="50">
        <f>B242*Subsurface_Inputs!$C$46</f>
        <v/>
      </c>
      <c r="H242" s="50">
        <f>Subsurface_Live_Data!Y242</f>
        <v/>
      </c>
      <c r="I242" s="50">
        <f>Subsurface_Inputs!$C$47-Subsurface_Inputs!$C$43+2*SIN(2*PI()*A242/42)</f>
        <v/>
      </c>
      <c r="J242" s="50" t="n">
        <v>0</v>
      </c>
    </row>
  </sheetData>
  <autoFilter ref="A1:J2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22" customWidth="1" min="2" max="2"/>
    <col width="16" customWidth="1" min="3" max="3"/>
    <col width="22" customWidth="1" min="4" max="4"/>
    <col width="56" customWidth="1" min="5" max="5"/>
  </cols>
  <sheetData>
    <row r="1">
      <c r="A1" s="46" t="inlineStr">
        <is>
          <t>Material / interface</t>
        </is>
      </c>
      <c r="B1" s="46" t="inlineStr">
        <is>
          <t>Reflection strength before depth loss (dB)</t>
        </is>
      </c>
      <c r="C1" s="46" t="inlineStr">
        <is>
          <t>One-way attenuation (dB/km)</t>
        </is>
      </c>
      <c r="D1" s="46" t="inlineStr">
        <is>
          <t>Why it matters</t>
        </is>
      </c>
    </row>
    <row r="2">
      <c r="A2" s="50" t="inlineStr">
        <is>
          <t>Cold clean ice layer</t>
        </is>
      </c>
      <c r="B2" s="50" t="n">
        <v>-18</v>
      </c>
      <c r="C2" s="50" t="n">
        <v>0.5</v>
      </c>
      <c r="D2" s="50" t="inlineStr">
        <is>
          <t>Weak internal contrast; often harder to see.</t>
        </is>
      </c>
    </row>
    <row r="3">
      <c r="A3" s="50" t="inlineStr">
        <is>
          <t>Warmer ice boundary</t>
        </is>
      </c>
      <c r="B3" s="50" t="n">
        <v>-14</v>
      </c>
      <c r="C3" s="50" t="n">
        <v>0.8</v>
      </c>
      <c r="D3" s="50" t="inlineStr">
        <is>
          <t>Temperature/structure contrast can strengthen a reflector.</t>
        </is>
      </c>
    </row>
    <row r="4">
      <c r="A4" s="50" t="inlineStr">
        <is>
          <t>Dirty/salty ice layer</t>
        </is>
      </c>
      <c r="B4" s="50" t="n">
        <v>-10</v>
      </c>
      <c r="C4" s="50" t="n">
        <v>1.2</v>
      </c>
      <c r="D4" s="50" t="inlineStr">
        <is>
          <t>Impurities can create stronger dielectric contrast and more loss.</t>
        </is>
      </c>
    </row>
    <row r="5">
      <c r="A5" s="50" t="inlineStr">
        <is>
          <t>Briny pocket/lens</t>
        </is>
      </c>
      <c r="B5" s="50" t="n">
        <v>-6</v>
      </c>
      <c r="C5" s="50" t="n">
        <v>2</v>
      </c>
      <c r="D5" s="50" t="inlineStr">
        <is>
          <t>High contrast but can be lossy.</t>
        </is>
      </c>
    </row>
    <row r="6">
      <c r="A6" s="50" t="inlineStr">
        <is>
          <t>Liquid salty ocean boundary</t>
        </is>
      </c>
      <c r="B6" s="50" t="n">
        <v>-2</v>
      </c>
      <c r="C6" s="50" t="n">
        <v>0</v>
      </c>
      <c r="D6" s="50" t="inlineStr">
        <is>
          <t>Strong material contrast at the bottom boundary.</t>
        </is>
      </c>
    </row>
    <row r="9">
      <c r="A9" s="46" t="inlineStr">
        <is>
          <t>Evidence source</t>
        </is>
      </c>
      <c r="B9" s="46" t="inlineStr">
        <is>
          <t>Support score (%)</t>
        </is>
      </c>
      <c r="C9" s="46" t="inlineStr">
        <is>
          <t>Weight (%)</t>
        </is>
      </c>
      <c r="D9" s="46" t="inlineStr">
        <is>
          <t>Weighted contribution</t>
        </is>
      </c>
      <c r="E9" s="46" t="inlineStr">
        <is>
          <t>Notes</t>
        </is>
      </c>
    </row>
    <row r="10">
      <c r="A10" s="50" t="inlineStr">
        <is>
          <t>Radar sounding</t>
        </is>
      </c>
      <c r="B10" s="50">
        <f>Subsurface_Inputs!$C$48</f>
        <v/>
      </c>
      <c r="C10" s="50">
        <f>Subsurface_Inputs!$C$52</f>
        <v/>
      </c>
      <c r="D10" s="50">
        <f>B10*C10/100</f>
        <v/>
      </c>
      <c r="E10" s="50" t="inlineStr">
        <is>
          <t>REASON-like radar structure support.</t>
        </is>
      </c>
    </row>
    <row r="11">
      <c r="A11" s="50" t="inlineStr">
        <is>
          <t>Thermal context</t>
        </is>
      </c>
      <c r="B11" s="50">
        <f>Subsurface_Inputs!$C$49</f>
        <v/>
      </c>
      <c r="C11" s="50">
        <f>Subsurface_Inputs!$C$53</f>
        <v/>
      </c>
      <c r="D11" s="50">
        <f>B11*C11/100</f>
        <v/>
      </c>
      <c r="E11" s="50" t="inlineStr">
        <is>
          <t>E-THEMIS-style warm-region support.</t>
        </is>
      </c>
    </row>
    <row r="12">
      <c r="A12" s="50" t="inlineStr">
        <is>
          <t>Surface composition</t>
        </is>
      </c>
      <c r="B12" s="50">
        <f>Subsurface_Inputs!$C$50</f>
        <v/>
      </c>
      <c r="C12" s="50">
        <f>Subsurface_Inputs!$C$54</f>
        <v/>
      </c>
      <c r="D12" s="50">
        <f>B12*C12/100</f>
        <v/>
      </c>
      <c r="E12" s="50" t="inlineStr">
        <is>
          <t>MISE-style salts/ice/organics support.</t>
        </is>
      </c>
    </row>
    <row r="13">
      <c r="A13" s="50" t="inlineStr">
        <is>
          <t>Magnetic/plasma ocean support</t>
        </is>
      </c>
      <c r="B13" s="50">
        <f>Subsurface_Inputs!$C$51</f>
        <v/>
      </c>
      <c r="C13" s="50">
        <f>Subsurface_Inputs!$C$55</f>
        <v/>
      </c>
      <c r="D13" s="50">
        <f>B13*C13/100</f>
        <v/>
      </c>
      <c r="E13" s="50" t="inlineStr">
        <is>
          <t>ECM/PIMS-style ocean support.</t>
        </is>
      </c>
    </row>
    <row r="14">
      <c r="A14" s="50" t="inlineStr">
        <is>
          <t>Total weighted support</t>
        </is>
      </c>
      <c r="B14" s="50" t="n"/>
      <c r="C14" s="50">
        <f>SUM(C10:C13)</f>
        <v/>
      </c>
      <c r="D14" s="50">
        <f>SUM(D10:D13)/MAX(1,C14)*100</f>
        <v/>
      </c>
      <c r="E14" s="50" t="inlineStr">
        <is>
          <t>Combined evidence score.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6" t="inlineStr">
        <is>
          <t>x_km</t>
        </is>
      </c>
      <c r="B1" s="46" t="inlineStr">
        <is>
          <t>surface_clutter_lower_us</t>
        </is>
      </c>
      <c r="C1" s="46" t="inlineStr">
        <is>
          <t>surface_clutter_upper_us</t>
        </is>
      </c>
      <c r="D1" s="46" t="inlineStr">
        <is>
          <t>shallow_return_delay_with_jitter_us</t>
        </is>
      </c>
      <c r="E1" s="46" t="inlineStr">
        <is>
          <t>lens_return_delay_with_jitter_us</t>
        </is>
      </c>
      <c r="F1" s="46" t="inlineStr">
        <is>
          <t>ocean_return_delay_with_jitter_us</t>
        </is>
      </c>
      <c r="G1" s="46" t="inlineStr">
        <is>
          <t>noise_floor_proxy</t>
        </is>
      </c>
    </row>
    <row r="2">
      <c r="A2" s="50">
        <f>Subsurface_Live_Data!A2</f>
        <v/>
      </c>
      <c r="B2" s="50" t="n">
        <v>0</v>
      </c>
      <c r="C2" s="50">
        <f>Subsurface_Inputs!$C$57+1.5*SIN(2*PI()*A2/35)</f>
        <v/>
      </c>
      <c r="D2" s="50">
        <f>Subsurface_Live_Data!M2+Subsurface_Inputs!$C$56*SIN(2*PI()*A2/31)</f>
        <v/>
      </c>
      <c r="E2" s="50">
        <f>IF(Subsurface_Live_Data!H2&gt;=Subsurface_Inputs!$C$42,Subsurface_Live_Data!N2+Subsurface_Inputs!$C$56*SIN(2*PI()*A2/27),NA())</f>
        <v/>
      </c>
      <c r="F2" s="50">
        <f>Subsurface_Live_Data!O2+Subsurface_Inputs!$C$56*SIN(2*PI()*A2/47)</f>
        <v/>
      </c>
      <c r="G2" s="50">
        <f>-55+3*SIN(2*PI()*A2/19)</f>
        <v/>
      </c>
    </row>
    <row r="3">
      <c r="A3" s="50">
        <f>Subsurface_Live_Data!A3</f>
        <v/>
      </c>
      <c r="B3" s="50" t="n">
        <v>0</v>
      </c>
      <c r="C3" s="50">
        <f>Subsurface_Inputs!$C$57+1.5*SIN(2*PI()*A3/35)</f>
        <v/>
      </c>
      <c r="D3" s="50">
        <f>Subsurface_Live_Data!M3+Subsurface_Inputs!$C$56*SIN(2*PI()*A3/31)</f>
        <v/>
      </c>
      <c r="E3" s="50">
        <f>IF(Subsurface_Live_Data!H3&gt;=Subsurface_Inputs!$C$42,Subsurface_Live_Data!N3+Subsurface_Inputs!$C$56*SIN(2*PI()*A3/27),NA())</f>
        <v/>
      </c>
      <c r="F3" s="50">
        <f>Subsurface_Live_Data!O3+Subsurface_Inputs!$C$56*SIN(2*PI()*A3/47)</f>
        <v/>
      </c>
      <c r="G3" s="50">
        <f>-55+3*SIN(2*PI()*A3/19)</f>
        <v/>
      </c>
    </row>
    <row r="4">
      <c r="A4" s="50">
        <f>Subsurface_Live_Data!A4</f>
        <v/>
      </c>
      <c r="B4" s="50" t="n">
        <v>0</v>
      </c>
      <c r="C4" s="50">
        <f>Subsurface_Inputs!$C$57+1.5*SIN(2*PI()*A4/35)</f>
        <v/>
      </c>
      <c r="D4" s="50">
        <f>Subsurface_Live_Data!M4+Subsurface_Inputs!$C$56*SIN(2*PI()*A4/31)</f>
        <v/>
      </c>
      <c r="E4" s="50">
        <f>IF(Subsurface_Live_Data!H4&gt;=Subsurface_Inputs!$C$42,Subsurface_Live_Data!N4+Subsurface_Inputs!$C$56*SIN(2*PI()*A4/27),NA())</f>
        <v/>
      </c>
      <c r="F4" s="50">
        <f>Subsurface_Live_Data!O4+Subsurface_Inputs!$C$56*SIN(2*PI()*A4/47)</f>
        <v/>
      </c>
      <c r="G4" s="50">
        <f>-55+3*SIN(2*PI()*A4/19)</f>
        <v/>
      </c>
    </row>
    <row r="5">
      <c r="A5" s="50">
        <f>Subsurface_Live_Data!A5</f>
        <v/>
      </c>
      <c r="B5" s="50" t="n">
        <v>0</v>
      </c>
      <c r="C5" s="50">
        <f>Subsurface_Inputs!$C$57+1.5*SIN(2*PI()*A5/35)</f>
        <v/>
      </c>
      <c r="D5" s="50">
        <f>Subsurface_Live_Data!M5+Subsurface_Inputs!$C$56*SIN(2*PI()*A5/31)</f>
        <v/>
      </c>
      <c r="E5" s="50">
        <f>IF(Subsurface_Live_Data!H5&gt;=Subsurface_Inputs!$C$42,Subsurface_Live_Data!N5+Subsurface_Inputs!$C$56*SIN(2*PI()*A5/27),NA())</f>
        <v/>
      </c>
      <c r="F5" s="50">
        <f>Subsurface_Live_Data!O5+Subsurface_Inputs!$C$56*SIN(2*PI()*A5/47)</f>
        <v/>
      </c>
      <c r="G5" s="50">
        <f>-55+3*SIN(2*PI()*A5/19)</f>
        <v/>
      </c>
    </row>
    <row r="6">
      <c r="A6" s="50">
        <f>Subsurface_Live_Data!A6</f>
        <v/>
      </c>
      <c r="B6" s="50" t="n">
        <v>0</v>
      </c>
      <c r="C6" s="50">
        <f>Subsurface_Inputs!$C$57+1.5*SIN(2*PI()*A6/35)</f>
        <v/>
      </c>
      <c r="D6" s="50">
        <f>Subsurface_Live_Data!M6+Subsurface_Inputs!$C$56*SIN(2*PI()*A6/31)</f>
        <v/>
      </c>
      <c r="E6" s="50">
        <f>IF(Subsurface_Live_Data!H6&gt;=Subsurface_Inputs!$C$42,Subsurface_Live_Data!N6+Subsurface_Inputs!$C$56*SIN(2*PI()*A6/27),NA())</f>
        <v/>
      </c>
      <c r="F6" s="50">
        <f>Subsurface_Live_Data!O6+Subsurface_Inputs!$C$56*SIN(2*PI()*A6/47)</f>
        <v/>
      </c>
      <c r="G6" s="50">
        <f>-55+3*SIN(2*PI()*A6/19)</f>
        <v/>
      </c>
    </row>
    <row r="7">
      <c r="A7" s="50">
        <f>Subsurface_Live_Data!A7</f>
        <v/>
      </c>
      <c r="B7" s="50" t="n">
        <v>0</v>
      </c>
      <c r="C7" s="50">
        <f>Subsurface_Inputs!$C$57+1.5*SIN(2*PI()*A7/35)</f>
        <v/>
      </c>
      <c r="D7" s="50">
        <f>Subsurface_Live_Data!M7+Subsurface_Inputs!$C$56*SIN(2*PI()*A7/31)</f>
        <v/>
      </c>
      <c r="E7" s="50">
        <f>IF(Subsurface_Live_Data!H7&gt;=Subsurface_Inputs!$C$42,Subsurface_Live_Data!N7+Subsurface_Inputs!$C$56*SIN(2*PI()*A7/27),NA())</f>
        <v/>
      </c>
      <c r="F7" s="50">
        <f>Subsurface_Live_Data!O7+Subsurface_Inputs!$C$56*SIN(2*PI()*A7/47)</f>
        <v/>
      </c>
      <c r="G7" s="50">
        <f>-55+3*SIN(2*PI()*A7/19)</f>
        <v/>
      </c>
    </row>
    <row r="8">
      <c r="A8" s="50">
        <f>Subsurface_Live_Data!A8</f>
        <v/>
      </c>
      <c r="B8" s="50" t="n">
        <v>0</v>
      </c>
      <c r="C8" s="50">
        <f>Subsurface_Inputs!$C$57+1.5*SIN(2*PI()*A8/35)</f>
        <v/>
      </c>
      <c r="D8" s="50">
        <f>Subsurface_Live_Data!M8+Subsurface_Inputs!$C$56*SIN(2*PI()*A8/31)</f>
        <v/>
      </c>
      <c r="E8" s="50">
        <f>IF(Subsurface_Live_Data!H8&gt;=Subsurface_Inputs!$C$42,Subsurface_Live_Data!N8+Subsurface_Inputs!$C$56*SIN(2*PI()*A8/27),NA())</f>
        <v/>
      </c>
      <c r="F8" s="50">
        <f>Subsurface_Live_Data!O8+Subsurface_Inputs!$C$56*SIN(2*PI()*A8/47)</f>
        <v/>
      </c>
      <c r="G8" s="50">
        <f>-55+3*SIN(2*PI()*A8/19)</f>
        <v/>
      </c>
    </row>
    <row r="9">
      <c r="A9" s="50">
        <f>Subsurface_Live_Data!A9</f>
        <v/>
      </c>
      <c r="B9" s="50" t="n">
        <v>0</v>
      </c>
      <c r="C9" s="50">
        <f>Subsurface_Inputs!$C$57+1.5*SIN(2*PI()*A9/35)</f>
        <v/>
      </c>
      <c r="D9" s="50">
        <f>Subsurface_Live_Data!M9+Subsurface_Inputs!$C$56*SIN(2*PI()*A9/31)</f>
        <v/>
      </c>
      <c r="E9" s="50">
        <f>IF(Subsurface_Live_Data!H9&gt;=Subsurface_Inputs!$C$42,Subsurface_Live_Data!N9+Subsurface_Inputs!$C$56*SIN(2*PI()*A9/27),NA())</f>
        <v/>
      </c>
      <c r="F9" s="50">
        <f>Subsurface_Live_Data!O9+Subsurface_Inputs!$C$56*SIN(2*PI()*A9/47)</f>
        <v/>
      </c>
      <c r="G9" s="50">
        <f>-55+3*SIN(2*PI()*A9/19)</f>
        <v/>
      </c>
    </row>
    <row r="10">
      <c r="A10" s="50">
        <f>Subsurface_Live_Data!A10</f>
        <v/>
      </c>
      <c r="B10" s="50" t="n">
        <v>0</v>
      </c>
      <c r="C10" s="50">
        <f>Subsurface_Inputs!$C$57+1.5*SIN(2*PI()*A10/35)</f>
        <v/>
      </c>
      <c r="D10" s="50">
        <f>Subsurface_Live_Data!M10+Subsurface_Inputs!$C$56*SIN(2*PI()*A10/31)</f>
        <v/>
      </c>
      <c r="E10" s="50">
        <f>IF(Subsurface_Live_Data!H10&gt;=Subsurface_Inputs!$C$42,Subsurface_Live_Data!N10+Subsurface_Inputs!$C$56*SIN(2*PI()*A10/27),NA())</f>
        <v/>
      </c>
      <c r="F10" s="50">
        <f>Subsurface_Live_Data!O10+Subsurface_Inputs!$C$56*SIN(2*PI()*A10/47)</f>
        <v/>
      </c>
      <c r="G10" s="50">
        <f>-55+3*SIN(2*PI()*A10/19)</f>
        <v/>
      </c>
    </row>
    <row r="11">
      <c r="A11" s="50">
        <f>Subsurface_Live_Data!A11</f>
        <v/>
      </c>
      <c r="B11" s="50" t="n">
        <v>0</v>
      </c>
      <c r="C11" s="50">
        <f>Subsurface_Inputs!$C$57+1.5*SIN(2*PI()*A11/35)</f>
        <v/>
      </c>
      <c r="D11" s="50">
        <f>Subsurface_Live_Data!M11+Subsurface_Inputs!$C$56*SIN(2*PI()*A11/31)</f>
        <v/>
      </c>
      <c r="E11" s="50">
        <f>IF(Subsurface_Live_Data!H11&gt;=Subsurface_Inputs!$C$42,Subsurface_Live_Data!N11+Subsurface_Inputs!$C$56*SIN(2*PI()*A11/27),NA())</f>
        <v/>
      </c>
      <c r="F11" s="50">
        <f>Subsurface_Live_Data!O11+Subsurface_Inputs!$C$56*SIN(2*PI()*A11/47)</f>
        <v/>
      </c>
      <c r="G11" s="50">
        <f>-55+3*SIN(2*PI()*A11/19)</f>
        <v/>
      </c>
    </row>
    <row r="12">
      <c r="A12" s="50">
        <f>Subsurface_Live_Data!A12</f>
        <v/>
      </c>
      <c r="B12" s="50" t="n">
        <v>0</v>
      </c>
      <c r="C12" s="50">
        <f>Subsurface_Inputs!$C$57+1.5*SIN(2*PI()*A12/35)</f>
        <v/>
      </c>
      <c r="D12" s="50">
        <f>Subsurface_Live_Data!M12+Subsurface_Inputs!$C$56*SIN(2*PI()*A12/31)</f>
        <v/>
      </c>
      <c r="E12" s="50">
        <f>IF(Subsurface_Live_Data!H12&gt;=Subsurface_Inputs!$C$42,Subsurface_Live_Data!N12+Subsurface_Inputs!$C$56*SIN(2*PI()*A12/27),NA())</f>
        <v/>
      </c>
      <c r="F12" s="50">
        <f>Subsurface_Live_Data!O12+Subsurface_Inputs!$C$56*SIN(2*PI()*A12/47)</f>
        <v/>
      </c>
      <c r="G12" s="50">
        <f>-55+3*SIN(2*PI()*A12/19)</f>
        <v/>
      </c>
    </row>
    <row r="13">
      <c r="A13" s="50">
        <f>Subsurface_Live_Data!A13</f>
        <v/>
      </c>
      <c r="B13" s="50" t="n">
        <v>0</v>
      </c>
      <c r="C13" s="50">
        <f>Subsurface_Inputs!$C$57+1.5*SIN(2*PI()*A13/35)</f>
        <v/>
      </c>
      <c r="D13" s="50">
        <f>Subsurface_Live_Data!M13+Subsurface_Inputs!$C$56*SIN(2*PI()*A13/31)</f>
        <v/>
      </c>
      <c r="E13" s="50">
        <f>IF(Subsurface_Live_Data!H13&gt;=Subsurface_Inputs!$C$42,Subsurface_Live_Data!N13+Subsurface_Inputs!$C$56*SIN(2*PI()*A13/27),NA())</f>
        <v/>
      </c>
      <c r="F13" s="50">
        <f>Subsurface_Live_Data!O13+Subsurface_Inputs!$C$56*SIN(2*PI()*A13/47)</f>
        <v/>
      </c>
      <c r="G13" s="50">
        <f>-55+3*SIN(2*PI()*A13/19)</f>
        <v/>
      </c>
    </row>
    <row r="14">
      <c r="A14" s="50">
        <f>Subsurface_Live_Data!A14</f>
        <v/>
      </c>
      <c r="B14" s="50" t="n">
        <v>0</v>
      </c>
      <c r="C14" s="50">
        <f>Subsurface_Inputs!$C$57+1.5*SIN(2*PI()*A14/35)</f>
        <v/>
      </c>
      <c r="D14" s="50">
        <f>Subsurface_Live_Data!M14+Subsurface_Inputs!$C$56*SIN(2*PI()*A14/31)</f>
        <v/>
      </c>
      <c r="E14" s="50">
        <f>IF(Subsurface_Live_Data!H14&gt;=Subsurface_Inputs!$C$42,Subsurface_Live_Data!N14+Subsurface_Inputs!$C$56*SIN(2*PI()*A14/27),NA())</f>
        <v/>
      </c>
      <c r="F14" s="50">
        <f>Subsurface_Live_Data!O14+Subsurface_Inputs!$C$56*SIN(2*PI()*A14/47)</f>
        <v/>
      </c>
      <c r="G14" s="50">
        <f>-55+3*SIN(2*PI()*A14/19)</f>
        <v/>
      </c>
    </row>
    <row r="15">
      <c r="A15" s="50">
        <f>Subsurface_Live_Data!A15</f>
        <v/>
      </c>
      <c r="B15" s="50" t="n">
        <v>0</v>
      </c>
      <c r="C15" s="50">
        <f>Subsurface_Inputs!$C$57+1.5*SIN(2*PI()*A15/35)</f>
        <v/>
      </c>
      <c r="D15" s="50">
        <f>Subsurface_Live_Data!M15+Subsurface_Inputs!$C$56*SIN(2*PI()*A15/31)</f>
        <v/>
      </c>
      <c r="E15" s="50">
        <f>IF(Subsurface_Live_Data!H15&gt;=Subsurface_Inputs!$C$42,Subsurface_Live_Data!N15+Subsurface_Inputs!$C$56*SIN(2*PI()*A15/27),NA())</f>
        <v/>
      </c>
      <c r="F15" s="50">
        <f>Subsurface_Live_Data!O15+Subsurface_Inputs!$C$56*SIN(2*PI()*A15/47)</f>
        <v/>
      </c>
      <c r="G15" s="50">
        <f>-55+3*SIN(2*PI()*A15/19)</f>
        <v/>
      </c>
    </row>
    <row r="16">
      <c r="A16" s="50">
        <f>Subsurface_Live_Data!A16</f>
        <v/>
      </c>
      <c r="B16" s="50" t="n">
        <v>0</v>
      </c>
      <c r="C16" s="50">
        <f>Subsurface_Inputs!$C$57+1.5*SIN(2*PI()*A16/35)</f>
        <v/>
      </c>
      <c r="D16" s="50">
        <f>Subsurface_Live_Data!M16+Subsurface_Inputs!$C$56*SIN(2*PI()*A16/31)</f>
        <v/>
      </c>
      <c r="E16" s="50">
        <f>IF(Subsurface_Live_Data!H16&gt;=Subsurface_Inputs!$C$42,Subsurface_Live_Data!N16+Subsurface_Inputs!$C$56*SIN(2*PI()*A16/27),NA())</f>
        <v/>
      </c>
      <c r="F16" s="50">
        <f>Subsurface_Live_Data!O16+Subsurface_Inputs!$C$56*SIN(2*PI()*A16/47)</f>
        <v/>
      </c>
      <c r="G16" s="50">
        <f>-55+3*SIN(2*PI()*A16/19)</f>
        <v/>
      </c>
    </row>
    <row r="17">
      <c r="A17" s="50">
        <f>Subsurface_Live_Data!A17</f>
        <v/>
      </c>
      <c r="B17" s="50" t="n">
        <v>0</v>
      </c>
      <c r="C17" s="50">
        <f>Subsurface_Inputs!$C$57+1.5*SIN(2*PI()*A17/35)</f>
        <v/>
      </c>
      <c r="D17" s="50">
        <f>Subsurface_Live_Data!M17+Subsurface_Inputs!$C$56*SIN(2*PI()*A17/31)</f>
        <v/>
      </c>
      <c r="E17" s="50">
        <f>IF(Subsurface_Live_Data!H17&gt;=Subsurface_Inputs!$C$42,Subsurface_Live_Data!N17+Subsurface_Inputs!$C$56*SIN(2*PI()*A17/27),NA())</f>
        <v/>
      </c>
      <c r="F17" s="50">
        <f>Subsurface_Live_Data!O17+Subsurface_Inputs!$C$56*SIN(2*PI()*A17/47)</f>
        <v/>
      </c>
      <c r="G17" s="50">
        <f>-55+3*SIN(2*PI()*A17/19)</f>
        <v/>
      </c>
    </row>
    <row r="18">
      <c r="A18" s="50">
        <f>Subsurface_Live_Data!A18</f>
        <v/>
      </c>
      <c r="B18" s="50" t="n">
        <v>0</v>
      </c>
      <c r="C18" s="50">
        <f>Subsurface_Inputs!$C$57+1.5*SIN(2*PI()*A18/35)</f>
        <v/>
      </c>
      <c r="D18" s="50">
        <f>Subsurface_Live_Data!M18+Subsurface_Inputs!$C$56*SIN(2*PI()*A18/31)</f>
        <v/>
      </c>
      <c r="E18" s="50">
        <f>IF(Subsurface_Live_Data!H18&gt;=Subsurface_Inputs!$C$42,Subsurface_Live_Data!N18+Subsurface_Inputs!$C$56*SIN(2*PI()*A18/27),NA())</f>
        <v/>
      </c>
      <c r="F18" s="50">
        <f>Subsurface_Live_Data!O18+Subsurface_Inputs!$C$56*SIN(2*PI()*A18/47)</f>
        <v/>
      </c>
      <c r="G18" s="50">
        <f>-55+3*SIN(2*PI()*A18/19)</f>
        <v/>
      </c>
    </row>
    <row r="19">
      <c r="A19" s="50">
        <f>Subsurface_Live_Data!A19</f>
        <v/>
      </c>
      <c r="B19" s="50" t="n">
        <v>0</v>
      </c>
      <c r="C19" s="50">
        <f>Subsurface_Inputs!$C$57+1.5*SIN(2*PI()*A19/35)</f>
        <v/>
      </c>
      <c r="D19" s="50">
        <f>Subsurface_Live_Data!M19+Subsurface_Inputs!$C$56*SIN(2*PI()*A19/31)</f>
        <v/>
      </c>
      <c r="E19" s="50">
        <f>IF(Subsurface_Live_Data!H19&gt;=Subsurface_Inputs!$C$42,Subsurface_Live_Data!N19+Subsurface_Inputs!$C$56*SIN(2*PI()*A19/27),NA())</f>
        <v/>
      </c>
      <c r="F19" s="50">
        <f>Subsurface_Live_Data!O19+Subsurface_Inputs!$C$56*SIN(2*PI()*A19/47)</f>
        <v/>
      </c>
      <c r="G19" s="50">
        <f>-55+3*SIN(2*PI()*A19/19)</f>
        <v/>
      </c>
    </row>
    <row r="20">
      <c r="A20" s="50">
        <f>Subsurface_Live_Data!A20</f>
        <v/>
      </c>
      <c r="B20" s="50" t="n">
        <v>0</v>
      </c>
      <c r="C20" s="50">
        <f>Subsurface_Inputs!$C$57+1.5*SIN(2*PI()*A20/35)</f>
        <v/>
      </c>
      <c r="D20" s="50">
        <f>Subsurface_Live_Data!M20+Subsurface_Inputs!$C$56*SIN(2*PI()*A20/31)</f>
        <v/>
      </c>
      <c r="E20" s="50">
        <f>IF(Subsurface_Live_Data!H20&gt;=Subsurface_Inputs!$C$42,Subsurface_Live_Data!N20+Subsurface_Inputs!$C$56*SIN(2*PI()*A20/27),NA())</f>
        <v/>
      </c>
      <c r="F20" s="50">
        <f>Subsurface_Live_Data!O20+Subsurface_Inputs!$C$56*SIN(2*PI()*A20/47)</f>
        <v/>
      </c>
      <c r="G20" s="50">
        <f>-55+3*SIN(2*PI()*A20/19)</f>
        <v/>
      </c>
    </row>
    <row r="21">
      <c r="A21" s="50">
        <f>Subsurface_Live_Data!A21</f>
        <v/>
      </c>
      <c r="B21" s="50" t="n">
        <v>0</v>
      </c>
      <c r="C21" s="50">
        <f>Subsurface_Inputs!$C$57+1.5*SIN(2*PI()*A21/35)</f>
        <v/>
      </c>
      <c r="D21" s="50">
        <f>Subsurface_Live_Data!M21+Subsurface_Inputs!$C$56*SIN(2*PI()*A21/31)</f>
        <v/>
      </c>
      <c r="E21" s="50">
        <f>IF(Subsurface_Live_Data!H21&gt;=Subsurface_Inputs!$C$42,Subsurface_Live_Data!N21+Subsurface_Inputs!$C$56*SIN(2*PI()*A21/27),NA())</f>
        <v/>
      </c>
      <c r="F21" s="50">
        <f>Subsurface_Live_Data!O21+Subsurface_Inputs!$C$56*SIN(2*PI()*A21/47)</f>
        <v/>
      </c>
      <c r="G21" s="50">
        <f>-55+3*SIN(2*PI()*A21/19)</f>
        <v/>
      </c>
    </row>
    <row r="22">
      <c r="A22" s="50">
        <f>Subsurface_Live_Data!A22</f>
        <v/>
      </c>
      <c r="B22" s="50" t="n">
        <v>0</v>
      </c>
      <c r="C22" s="50">
        <f>Subsurface_Inputs!$C$57+1.5*SIN(2*PI()*A22/35)</f>
        <v/>
      </c>
      <c r="D22" s="50">
        <f>Subsurface_Live_Data!M22+Subsurface_Inputs!$C$56*SIN(2*PI()*A22/31)</f>
        <v/>
      </c>
      <c r="E22" s="50">
        <f>IF(Subsurface_Live_Data!H22&gt;=Subsurface_Inputs!$C$42,Subsurface_Live_Data!N22+Subsurface_Inputs!$C$56*SIN(2*PI()*A22/27),NA())</f>
        <v/>
      </c>
      <c r="F22" s="50">
        <f>Subsurface_Live_Data!O22+Subsurface_Inputs!$C$56*SIN(2*PI()*A22/47)</f>
        <v/>
      </c>
      <c r="G22" s="50">
        <f>-55+3*SIN(2*PI()*A22/19)</f>
        <v/>
      </c>
    </row>
    <row r="23">
      <c r="A23" s="50">
        <f>Subsurface_Live_Data!A23</f>
        <v/>
      </c>
      <c r="B23" s="50" t="n">
        <v>0</v>
      </c>
      <c r="C23" s="50">
        <f>Subsurface_Inputs!$C$57+1.5*SIN(2*PI()*A23/35)</f>
        <v/>
      </c>
      <c r="D23" s="50">
        <f>Subsurface_Live_Data!M23+Subsurface_Inputs!$C$56*SIN(2*PI()*A23/31)</f>
        <v/>
      </c>
      <c r="E23" s="50">
        <f>IF(Subsurface_Live_Data!H23&gt;=Subsurface_Inputs!$C$42,Subsurface_Live_Data!N23+Subsurface_Inputs!$C$56*SIN(2*PI()*A23/27),NA())</f>
        <v/>
      </c>
      <c r="F23" s="50">
        <f>Subsurface_Live_Data!O23+Subsurface_Inputs!$C$56*SIN(2*PI()*A23/47)</f>
        <v/>
      </c>
      <c r="G23" s="50">
        <f>-55+3*SIN(2*PI()*A23/19)</f>
        <v/>
      </c>
    </row>
    <row r="24">
      <c r="A24" s="50">
        <f>Subsurface_Live_Data!A24</f>
        <v/>
      </c>
      <c r="B24" s="50" t="n">
        <v>0</v>
      </c>
      <c r="C24" s="50">
        <f>Subsurface_Inputs!$C$57+1.5*SIN(2*PI()*A24/35)</f>
        <v/>
      </c>
      <c r="D24" s="50">
        <f>Subsurface_Live_Data!M24+Subsurface_Inputs!$C$56*SIN(2*PI()*A24/31)</f>
        <v/>
      </c>
      <c r="E24" s="50">
        <f>IF(Subsurface_Live_Data!H24&gt;=Subsurface_Inputs!$C$42,Subsurface_Live_Data!N24+Subsurface_Inputs!$C$56*SIN(2*PI()*A24/27),NA())</f>
        <v/>
      </c>
      <c r="F24" s="50">
        <f>Subsurface_Live_Data!O24+Subsurface_Inputs!$C$56*SIN(2*PI()*A24/47)</f>
        <v/>
      </c>
      <c r="G24" s="50">
        <f>-55+3*SIN(2*PI()*A24/19)</f>
        <v/>
      </c>
    </row>
    <row r="25">
      <c r="A25" s="50">
        <f>Subsurface_Live_Data!A25</f>
        <v/>
      </c>
      <c r="B25" s="50" t="n">
        <v>0</v>
      </c>
      <c r="C25" s="50">
        <f>Subsurface_Inputs!$C$57+1.5*SIN(2*PI()*A25/35)</f>
        <v/>
      </c>
      <c r="D25" s="50">
        <f>Subsurface_Live_Data!M25+Subsurface_Inputs!$C$56*SIN(2*PI()*A25/31)</f>
        <v/>
      </c>
      <c r="E25" s="50">
        <f>IF(Subsurface_Live_Data!H25&gt;=Subsurface_Inputs!$C$42,Subsurface_Live_Data!N25+Subsurface_Inputs!$C$56*SIN(2*PI()*A25/27),NA())</f>
        <v/>
      </c>
      <c r="F25" s="50">
        <f>Subsurface_Live_Data!O25+Subsurface_Inputs!$C$56*SIN(2*PI()*A25/47)</f>
        <v/>
      </c>
      <c r="G25" s="50">
        <f>-55+3*SIN(2*PI()*A25/19)</f>
        <v/>
      </c>
    </row>
    <row r="26">
      <c r="A26" s="50">
        <f>Subsurface_Live_Data!A26</f>
        <v/>
      </c>
      <c r="B26" s="50" t="n">
        <v>0</v>
      </c>
      <c r="C26" s="50">
        <f>Subsurface_Inputs!$C$57+1.5*SIN(2*PI()*A26/35)</f>
        <v/>
      </c>
      <c r="D26" s="50">
        <f>Subsurface_Live_Data!M26+Subsurface_Inputs!$C$56*SIN(2*PI()*A26/31)</f>
        <v/>
      </c>
      <c r="E26" s="50">
        <f>IF(Subsurface_Live_Data!H26&gt;=Subsurface_Inputs!$C$42,Subsurface_Live_Data!N26+Subsurface_Inputs!$C$56*SIN(2*PI()*A26/27),NA())</f>
        <v/>
      </c>
      <c r="F26" s="50">
        <f>Subsurface_Live_Data!O26+Subsurface_Inputs!$C$56*SIN(2*PI()*A26/47)</f>
        <v/>
      </c>
      <c r="G26" s="50">
        <f>-55+3*SIN(2*PI()*A26/19)</f>
        <v/>
      </c>
    </row>
    <row r="27">
      <c r="A27" s="50">
        <f>Subsurface_Live_Data!A27</f>
        <v/>
      </c>
      <c r="B27" s="50" t="n">
        <v>0</v>
      </c>
      <c r="C27" s="50">
        <f>Subsurface_Inputs!$C$57+1.5*SIN(2*PI()*A27/35)</f>
        <v/>
      </c>
      <c r="D27" s="50">
        <f>Subsurface_Live_Data!M27+Subsurface_Inputs!$C$56*SIN(2*PI()*A27/31)</f>
        <v/>
      </c>
      <c r="E27" s="50">
        <f>IF(Subsurface_Live_Data!H27&gt;=Subsurface_Inputs!$C$42,Subsurface_Live_Data!N27+Subsurface_Inputs!$C$56*SIN(2*PI()*A27/27),NA())</f>
        <v/>
      </c>
      <c r="F27" s="50">
        <f>Subsurface_Live_Data!O27+Subsurface_Inputs!$C$56*SIN(2*PI()*A27/47)</f>
        <v/>
      </c>
      <c r="G27" s="50">
        <f>-55+3*SIN(2*PI()*A27/19)</f>
        <v/>
      </c>
    </row>
    <row r="28">
      <c r="A28" s="50">
        <f>Subsurface_Live_Data!A28</f>
        <v/>
      </c>
      <c r="B28" s="50" t="n">
        <v>0</v>
      </c>
      <c r="C28" s="50">
        <f>Subsurface_Inputs!$C$57+1.5*SIN(2*PI()*A28/35)</f>
        <v/>
      </c>
      <c r="D28" s="50">
        <f>Subsurface_Live_Data!M28+Subsurface_Inputs!$C$56*SIN(2*PI()*A28/31)</f>
        <v/>
      </c>
      <c r="E28" s="50">
        <f>IF(Subsurface_Live_Data!H28&gt;=Subsurface_Inputs!$C$42,Subsurface_Live_Data!N28+Subsurface_Inputs!$C$56*SIN(2*PI()*A28/27),NA())</f>
        <v/>
      </c>
      <c r="F28" s="50">
        <f>Subsurface_Live_Data!O28+Subsurface_Inputs!$C$56*SIN(2*PI()*A28/47)</f>
        <v/>
      </c>
      <c r="G28" s="50">
        <f>-55+3*SIN(2*PI()*A28/19)</f>
        <v/>
      </c>
    </row>
    <row r="29">
      <c r="A29" s="50">
        <f>Subsurface_Live_Data!A29</f>
        <v/>
      </c>
      <c r="B29" s="50" t="n">
        <v>0</v>
      </c>
      <c r="C29" s="50">
        <f>Subsurface_Inputs!$C$57+1.5*SIN(2*PI()*A29/35)</f>
        <v/>
      </c>
      <c r="D29" s="50">
        <f>Subsurface_Live_Data!M29+Subsurface_Inputs!$C$56*SIN(2*PI()*A29/31)</f>
        <v/>
      </c>
      <c r="E29" s="50">
        <f>IF(Subsurface_Live_Data!H29&gt;=Subsurface_Inputs!$C$42,Subsurface_Live_Data!N29+Subsurface_Inputs!$C$56*SIN(2*PI()*A29/27),NA())</f>
        <v/>
      </c>
      <c r="F29" s="50">
        <f>Subsurface_Live_Data!O29+Subsurface_Inputs!$C$56*SIN(2*PI()*A29/47)</f>
        <v/>
      </c>
      <c r="G29" s="50">
        <f>-55+3*SIN(2*PI()*A29/19)</f>
        <v/>
      </c>
    </row>
    <row r="30">
      <c r="A30" s="50">
        <f>Subsurface_Live_Data!A30</f>
        <v/>
      </c>
      <c r="B30" s="50" t="n">
        <v>0</v>
      </c>
      <c r="C30" s="50">
        <f>Subsurface_Inputs!$C$57+1.5*SIN(2*PI()*A30/35)</f>
        <v/>
      </c>
      <c r="D30" s="50">
        <f>Subsurface_Live_Data!M30+Subsurface_Inputs!$C$56*SIN(2*PI()*A30/31)</f>
        <v/>
      </c>
      <c r="E30" s="50">
        <f>IF(Subsurface_Live_Data!H30&gt;=Subsurface_Inputs!$C$42,Subsurface_Live_Data!N30+Subsurface_Inputs!$C$56*SIN(2*PI()*A30/27),NA())</f>
        <v/>
      </c>
      <c r="F30" s="50">
        <f>Subsurface_Live_Data!O30+Subsurface_Inputs!$C$56*SIN(2*PI()*A30/47)</f>
        <v/>
      </c>
      <c r="G30" s="50">
        <f>-55+3*SIN(2*PI()*A30/19)</f>
        <v/>
      </c>
    </row>
    <row r="31">
      <c r="A31" s="50">
        <f>Subsurface_Live_Data!A31</f>
        <v/>
      </c>
      <c r="B31" s="50" t="n">
        <v>0</v>
      </c>
      <c r="C31" s="50">
        <f>Subsurface_Inputs!$C$57+1.5*SIN(2*PI()*A31/35)</f>
        <v/>
      </c>
      <c r="D31" s="50">
        <f>Subsurface_Live_Data!M31+Subsurface_Inputs!$C$56*SIN(2*PI()*A31/31)</f>
        <v/>
      </c>
      <c r="E31" s="50">
        <f>IF(Subsurface_Live_Data!H31&gt;=Subsurface_Inputs!$C$42,Subsurface_Live_Data!N31+Subsurface_Inputs!$C$56*SIN(2*PI()*A31/27),NA())</f>
        <v/>
      </c>
      <c r="F31" s="50">
        <f>Subsurface_Live_Data!O31+Subsurface_Inputs!$C$56*SIN(2*PI()*A31/47)</f>
        <v/>
      </c>
      <c r="G31" s="50">
        <f>-55+3*SIN(2*PI()*A31/19)</f>
        <v/>
      </c>
    </row>
    <row r="32">
      <c r="A32" s="50">
        <f>Subsurface_Live_Data!A32</f>
        <v/>
      </c>
      <c r="B32" s="50" t="n">
        <v>0</v>
      </c>
      <c r="C32" s="50">
        <f>Subsurface_Inputs!$C$57+1.5*SIN(2*PI()*A32/35)</f>
        <v/>
      </c>
      <c r="D32" s="50">
        <f>Subsurface_Live_Data!M32+Subsurface_Inputs!$C$56*SIN(2*PI()*A32/31)</f>
        <v/>
      </c>
      <c r="E32" s="50">
        <f>IF(Subsurface_Live_Data!H32&gt;=Subsurface_Inputs!$C$42,Subsurface_Live_Data!N32+Subsurface_Inputs!$C$56*SIN(2*PI()*A32/27),NA())</f>
        <v/>
      </c>
      <c r="F32" s="50">
        <f>Subsurface_Live_Data!O32+Subsurface_Inputs!$C$56*SIN(2*PI()*A32/47)</f>
        <v/>
      </c>
      <c r="G32" s="50">
        <f>-55+3*SIN(2*PI()*A32/19)</f>
        <v/>
      </c>
    </row>
    <row r="33">
      <c r="A33" s="50">
        <f>Subsurface_Live_Data!A33</f>
        <v/>
      </c>
      <c r="B33" s="50" t="n">
        <v>0</v>
      </c>
      <c r="C33" s="50">
        <f>Subsurface_Inputs!$C$57+1.5*SIN(2*PI()*A33/35)</f>
        <v/>
      </c>
      <c r="D33" s="50">
        <f>Subsurface_Live_Data!M33+Subsurface_Inputs!$C$56*SIN(2*PI()*A33/31)</f>
        <v/>
      </c>
      <c r="E33" s="50">
        <f>IF(Subsurface_Live_Data!H33&gt;=Subsurface_Inputs!$C$42,Subsurface_Live_Data!N33+Subsurface_Inputs!$C$56*SIN(2*PI()*A33/27),NA())</f>
        <v/>
      </c>
      <c r="F33" s="50">
        <f>Subsurface_Live_Data!O33+Subsurface_Inputs!$C$56*SIN(2*PI()*A33/47)</f>
        <v/>
      </c>
      <c r="G33" s="50">
        <f>-55+3*SIN(2*PI()*A33/19)</f>
        <v/>
      </c>
    </row>
    <row r="34">
      <c r="A34" s="50">
        <f>Subsurface_Live_Data!A34</f>
        <v/>
      </c>
      <c r="B34" s="50" t="n">
        <v>0</v>
      </c>
      <c r="C34" s="50">
        <f>Subsurface_Inputs!$C$57+1.5*SIN(2*PI()*A34/35)</f>
        <v/>
      </c>
      <c r="D34" s="50">
        <f>Subsurface_Live_Data!M34+Subsurface_Inputs!$C$56*SIN(2*PI()*A34/31)</f>
        <v/>
      </c>
      <c r="E34" s="50">
        <f>IF(Subsurface_Live_Data!H34&gt;=Subsurface_Inputs!$C$42,Subsurface_Live_Data!N34+Subsurface_Inputs!$C$56*SIN(2*PI()*A34/27),NA())</f>
        <v/>
      </c>
      <c r="F34" s="50">
        <f>Subsurface_Live_Data!O34+Subsurface_Inputs!$C$56*SIN(2*PI()*A34/47)</f>
        <v/>
      </c>
      <c r="G34" s="50">
        <f>-55+3*SIN(2*PI()*A34/19)</f>
        <v/>
      </c>
    </row>
    <row r="35">
      <c r="A35" s="50">
        <f>Subsurface_Live_Data!A35</f>
        <v/>
      </c>
      <c r="B35" s="50" t="n">
        <v>0</v>
      </c>
      <c r="C35" s="50">
        <f>Subsurface_Inputs!$C$57+1.5*SIN(2*PI()*A35/35)</f>
        <v/>
      </c>
      <c r="D35" s="50">
        <f>Subsurface_Live_Data!M35+Subsurface_Inputs!$C$56*SIN(2*PI()*A35/31)</f>
        <v/>
      </c>
      <c r="E35" s="50">
        <f>IF(Subsurface_Live_Data!H35&gt;=Subsurface_Inputs!$C$42,Subsurface_Live_Data!N35+Subsurface_Inputs!$C$56*SIN(2*PI()*A35/27),NA())</f>
        <v/>
      </c>
      <c r="F35" s="50">
        <f>Subsurface_Live_Data!O35+Subsurface_Inputs!$C$56*SIN(2*PI()*A35/47)</f>
        <v/>
      </c>
      <c r="G35" s="50">
        <f>-55+3*SIN(2*PI()*A35/19)</f>
        <v/>
      </c>
    </row>
    <row r="36">
      <c r="A36" s="50">
        <f>Subsurface_Live_Data!A36</f>
        <v/>
      </c>
      <c r="B36" s="50" t="n">
        <v>0</v>
      </c>
      <c r="C36" s="50">
        <f>Subsurface_Inputs!$C$57+1.5*SIN(2*PI()*A36/35)</f>
        <v/>
      </c>
      <c r="D36" s="50">
        <f>Subsurface_Live_Data!M36+Subsurface_Inputs!$C$56*SIN(2*PI()*A36/31)</f>
        <v/>
      </c>
      <c r="E36" s="50">
        <f>IF(Subsurface_Live_Data!H36&gt;=Subsurface_Inputs!$C$42,Subsurface_Live_Data!N36+Subsurface_Inputs!$C$56*SIN(2*PI()*A36/27),NA())</f>
        <v/>
      </c>
      <c r="F36" s="50">
        <f>Subsurface_Live_Data!O36+Subsurface_Inputs!$C$56*SIN(2*PI()*A36/47)</f>
        <v/>
      </c>
      <c r="G36" s="50">
        <f>-55+3*SIN(2*PI()*A36/19)</f>
        <v/>
      </c>
    </row>
    <row r="37">
      <c r="A37" s="50">
        <f>Subsurface_Live_Data!A37</f>
        <v/>
      </c>
      <c r="B37" s="50" t="n">
        <v>0</v>
      </c>
      <c r="C37" s="50">
        <f>Subsurface_Inputs!$C$57+1.5*SIN(2*PI()*A37/35)</f>
        <v/>
      </c>
      <c r="D37" s="50">
        <f>Subsurface_Live_Data!M37+Subsurface_Inputs!$C$56*SIN(2*PI()*A37/31)</f>
        <v/>
      </c>
      <c r="E37" s="50">
        <f>IF(Subsurface_Live_Data!H37&gt;=Subsurface_Inputs!$C$42,Subsurface_Live_Data!N37+Subsurface_Inputs!$C$56*SIN(2*PI()*A37/27),NA())</f>
        <v/>
      </c>
      <c r="F37" s="50">
        <f>Subsurface_Live_Data!O37+Subsurface_Inputs!$C$56*SIN(2*PI()*A37/47)</f>
        <v/>
      </c>
      <c r="G37" s="50">
        <f>-55+3*SIN(2*PI()*A37/19)</f>
        <v/>
      </c>
    </row>
    <row r="38">
      <c r="A38" s="50">
        <f>Subsurface_Live_Data!A38</f>
        <v/>
      </c>
      <c r="B38" s="50" t="n">
        <v>0</v>
      </c>
      <c r="C38" s="50">
        <f>Subsurface_Inputs!$C$57+1.5*SIN(2*PI()*A38/35)</f>
        <v/>
      </c>
      <c r="D38" s="50">
        <f>Subsurface_Live_Data!M38+Subsurface_Inputs!$C$56*SIN(2*PI()*A38/31)</f>
        <v/>
      </c>
      <c r="E38" s="50">
        <f>IF(Subsurface_Live_Data!H38&gt;=Subsurface_Inputs!$C$42,Subsurface_Live_Data!N38+Subsurface_Inputs!$C$56*SIN(2*PI()*A38/27),NA())</f>
        <v/>
      </c>
      <c r="F38" s="50">
        <f>Subsurface_Live_Data!O38+Subsurface_Inputs!$C$56*SIN(2*PI()*A38/47)</f>
        <v/>
      </c>
      <c r="G38" s="50">
        <f>-55+3*SIN(2*PI()*A38/19)</f>
        <v/>
      </c>
    </row>
    <row r="39">
      <c r="A39" s="50">
        <f>Subsurface_Live_Data!A39</f>
        <v/>
      </c>
      <c r="B39" s="50" t="n">
        <v>0</v>
      </c>
      <c r="C39" s="50">
        <f>Subsurface_Inputs!$C$57+1.5*SIN(2*PI()*A39/35)</f>
        <v/>
      </c>
      <c r="D39" s="50">
        <f>Subsurface_Live_Data!M39+Subsurface_Inputs!$C$56*SIN(2*PI()*A39/31)</f>
        <v/>
      </c>
      <c r="E39" s="50">
        <f>IF(Subsurface_Live_Data!H39&gt;=Subsurface_Inputs!$C$42,Subsurface_Live_Data!N39+Subsurface_Inputs!$C$56*SIN(2*PI()*A39/27),NA())</f>
        <v/>
      </c>
      <c r="F39" s="50">
        <f>Subsurface_Live_Data!O39+Subsurface_Inputs!$C$56*SIN(2*PI()*A39/47)</f>
        <v/>
      </c>
      <c r="G39" s="50">
        <f>-55+3*SIN(2*PI()*A39/19)</f>
        <v/>
      </c>
    </row>
    <row r="40">
      <c r="A40" s="50">
        <f>Subsurface_Live_Data!A40</f>
        <v/>
      </c>
      <c r="B40" s="50" t="n">
        <v>0</v>
      </c>
      <c r="C40" s="50">
        <f>Subsurface_Inputs!$C$57+1.5*SIN(2*PI()*A40/35)</f>
        <v/>
      </c>
      <c r="D40" s="50">
        <f>Subsurface_Live_Data!M40+Subsurface_Inputs!$C$56*SIN(2*PI()*A40/31)</f>
        <v/>
      </c>
      <c r="E40" s="50">
        <f>IF(Subsurface_Live_Data!H40&gt;=Subsurface_Inputs!$C$42,Subsurface_Live_Data!N40+Subsurface_Inputs!$C$56*SIN(2*PI()*A40/27),NA())</f>
        <v/>
      </c>
      <c r="F40" s="50">
        <f>Subsurface_Live_Data!O40+Subsurface_Inputs!$C$56*SIN(2*PI()*A40/47)</f>
        <v/>
      </c>
      <c r="G40" s="50">
        <f>-55+3*SIN(2*PI()*A40/19)</f>
        <v/>
      </c>
    </row>
    <row r="41">
      <c r="A41" s="50">
        <f>Subsurface_Live_Data!A41</f>
        <v/>
      </c>
      <c r="B41" s="50" t="n">
        <v>0</v>
      </c>
      <c r="C41" s="50">
        <f>Subsurface_Inputs!$C$57+1.5*SIN(2*PI()*A41/35)</f>
        <v/>
      </c>
      <c r="D41" s="50">
        <f>Subsurface_Live_Data!M41+Subsurface_Inputs!$C$56*SIN(2*PI()*A41/31)</f>
        <v/>
      </c>
      <c r="E41" s="50">
        <f>IF(Subsurface_Live_Data!H41&gt;=Subsurface_Inputs!$C$42,Subsurface_Live_Data!N41+Subsurface_Inputs!$C$56*SIN(2*PI()*A41/27),NA())</f>
        <v/>
      </c>
      <c r="F41" s="50">
        <f>Subsurface_Live_Data!O41+Subsurface_Inputs!$C$56*SIN(2*PI()*A41/47)</f>
        <v/>
      </c>
      <c r="G41" s="50">
        <f>-55+3*SIN(2*PI()*A41/19)</f>
        <v/>
      </c>
    </row>
    <row r="42">
      <c r="A42" s="50">
        <f>Subsurface_Live_Data!A42</f>
        <v/>
      </c>
      <c r="B42" s="50" t="n">
        <v>0</v>
      </c>
      <c r="C42" s="50">
        <f>Subsurface_Inputs!$C$57+1.5*SIN(2*PI()*A42/35)</f>
        <v/>
      </c>
      <c r="D42" s="50">
        <f>Subsurface_Live_Data!M42+Subsurface_Inputs!$C$56*SIN(2*PI()*A42/31)</f>
        <v/>
      </c>
      <c r="E42" s="50">
        <f>IF(Subsurface_Live_Data!H42&gt;=Subsurface_Inputs!$C$42,Subsurface_Live_Data!N42+Subsurface_Inputs!$C$56*SIN(2*PI()*A42/27),NA())</f>
        <v/>
      </c>
      <c r="F42" s="50">
        <f>Subsurface_Live_Data!O42+Subsurface_Inputs!$C$56*SIN(2*PI()*A42/47)</f>
        <v/>
      </c>
      <c r="G42" s="50">
        <f>-55+3*SIN(2*PI()*A42/19)</f>
        <v/>
      </c>
    </row>
    <row r="43">
      <c r="A43" s="50">
        <f>Subsurface_Live_Data!A43</f>
        <v/>
      </c>
      <c r="B43" s="50" t="n">
        <v>0</v>
      </c>
      <c r="C43" s="50">
        <f>Subsurface_Inputs!$C$57+1.5*SIN(2*PI()*A43/35)</f>
        <v/>
      </c>
      <c r="D43" s="50">
        <f>Subsurface_Live_Data!M43+Subsurface_Inputs!$C$56*SIN(2*PI()*A43/31)</f>
        <v/>
      </c>
      <c r="E43" s="50">
        <f>IF(Subsurface_Live_Data!H43&gt;=Subsurface_Inputs!$C$42,Subsurface_Live_Data!N43+Subsurface_Inputs!$C$56*SIN(2*PI()*A43/27),NA())</f>
        <v/>
      </c>
      <c r="F43" s="50">
        <f>Subsurface_Live_Data!O43+Subsurface_Inputs!$C$56*SIN(2*PI()*A43/47)</f>
        <v/>
      </c>
      <c r="G43" s="50">
        <f>-55+3*SIN(2*PI()*A43/19)</f>
        <v/>
      </c>
    </row>
    <row r="44">
      <c r="A44" s="50">
        <f>Subsurface_Live_Data!A44</f>
        <v/>
      </c>
      <c r="B44" s="50" t="n">
        <v>0</v>
      </c>
      <c r="C44" s="50">
        <f>Subsurface_Inputs!$C$57+1.5*SIN(2*PI()*A44/35)</f>
        <v/>
      </c>
      <c r="D44" s="50">
        <f>Subsurface_Live_Data!M44+Subsurface_Inputs!$C$56*SIN(2*PI()*A44/31)</f>
        <v/>
      </c>
      <c r="E44" s="50">
        <f>IF(Subsurface_Live_Data!H44&gt;=Subsurface_Inputs!$C$42,Subsurface_Live_Data!N44+Subsurface_Inputs!$C$56*SIN(2*PI()*A44/27),NA())</f>
        <v/>
      </c>
      <c r="F44" s="50">
        <f>Subsurface_Live_Data!O44+Subsurface_Inputs!$C$56*SIN(2*PI()*A44/47)</f>
        <v/>
      </c>
      <c r="G44" s="50">
        <f>-55+3*SIN(2*PI()*A44/19)</f>
        <v/>
      </c>
    </row>
    <row r="45">
      <c r="A45" s="50">
        <f>Subsurface_Live_Data!A45</f>
        <v/>
      </c>
      <c r="B45" s="50" t="n">
        <v>0</v>
      </c>
      <c r="C45" s="50">
        <f>Subsurface_Inputs!$C$57+1.5*SIN(2*PI()*A45/35)</f>
        <v/>
      </c>
      <c r="D45" s="50">
        <f>Subsurface_Live_Data!M45+Subsurface_Inputs!$C$56*SIN(2*PI()*A45/31)</f>
        <v/>
      </c>
      <c r="E45" s="50">
        <f>IF(Subsurface_Live_Data!H45&gt;=Subsurface_Inputs!$C$42,Subsurface_Live_Data!N45+Subsurface_Inputs!$C$56*SIN(2*PI()*A45/27),NA())</f>
        <v/>
      </c>
      <c r="F45" s="50">
        <f>Subsurface_Live_Data!O45+Subsurface_Inputs!$C$56*SIN(2*PI()*A45/47)</f>
        <v/>
      </c>
      <c r="G45" s="50">
        <f>-55+3*SIN(2*PI()*A45/19)</f>
        <v/>
      </c>
    </row>
    <row r="46">
      <c r="A46" s="50">
        <f>Subsurface_Live_Data!A46</f>
        <v/>
      </c>
      <c r="B46" s="50" t="n">
        <v>0</v>
      </c>
      <c r="C46" s="50">
        <f>Subsurface_Inputs!$C$57+1.5*SIN(2*PI()*A46/35)</f>
        <v/>
      </c>
      <c r="D46" s="50">
        <f>Subsurface_Live_Data!M46+Subsurface_Inputs!$C$56*SIN(2*PI()*A46/31)</f>
        <v/>
      </c>
      <c r="E46" s="50">
        <f>IF(Subsurface_Live_Data!H46&gt;=Subsurface_Inputs!$C$42,Subsurface_Live_Data!N46+Subsurface_Inputs!$C$56*SIN(2*PI()*A46/27),NA())</f>
        <v/>
      </c>
      <c r="F46" s="50">
        <f>Subsurface_Live_Data!O46+Subsurface_Inputs!$C$56*SIN(2*PI()*A46/47)</f>
        <v/>
      </c>
      <c r="G46" s="50">
        <f>-55+3*SIN(2*PI()*A46/19)</f>
        <v/>
      </c>
    </row>
    <row r="47">
      <c r="A47" s="50">
        <f>Subsurface_Live_Data!A47</f>
        <v/>
      </c>
      <c r="B47" s="50" t="n">
        <v>0</v>
      </c>
      <c r="C47" s="50">
        <f>Subsurface_Inputs!$C$57+1.5*SIN(2*PI()*A47/35)</f>
        <v/>
      </c>
      <c r="D47" s="50">
        <f>Subsurface_Live_Data!M47+Subsurface_Inputs!$C$56*SIN(2*PI()*A47/31)</f>
        <v/>
      </c>
      <c r="E47" s="50">
        <f>IF(Subsurface_Live_Data!H47&gt;=Subsurface_Inputs!$C$42,Subsurface_Live_Data!N47+Subsurface_Inputs!$C$56*SIN(2*PI()*A47/27),NA())</f>
        <v/>
      </c>
      <c r="F47" s="50">
        <f>Subsurface_Live_Data!O47+Subsurface_Inputs!$C$56*SIN(2*PI()*A47/47)</f>
        <v/>
      </c>
      <c r="G47" s="50">
        <f>-55+3*SIN(2*PI()*A47/19)</f>
        <v/>
      </c>
    </row>
    <row r="48">
      <c r="A48" s="50">
        <f>Subsurface_Live_Data!A48</f>
        <v/>
      </c>
      <c r="B48" s="50" t="n">
        <v>0</v>
      </c>
      <c r="C48" s="50">
        <f>Subsurface_Inputs!$C$57+1.5*SIN(2*PI()*A48/35)</f>
        <v/>
      </c>
      <c r="D48" s="50">
        <f>Subsurface_Live_Data!M48+Subsurface_Inputs!$C$56*SIN(2*PI()*A48/31)</f>
        <v/>
      </c>
      <c r="E48" s="50">
        <f>IF(Subsurface_Live_Data!H48&gt;=Subsurface_Inputs!$C$42,Subsurface_Live_Data!N48+Subsurface_Inputs!$C$56*SIN(2*PI()*A48/27),NA())</f>
        <v/>
      </c>
      <c r="F48" s="50">
        <f>Subsurface_Live_Data!O48+Subsurface_Inputs!$C$56*SIN(2*PI()*A48/47)</f>
        <v/>
      </c>
      <c r="G48" s="50">
        <f>-55+3*SIN(2*PI()*A48/19)</f>
        <v/>
      </c>
    </row>
    <row r="49">
      <c r="A49" s="50">
        <f>Subsurface_Live_Data!A49</f>
        <v/>
      </c>
      <c r="B49" s="50" t="n">
        <v>0</v>
      </c>
      <c r="C49" s="50">
        <f>Subsurface_Inputs!$C$57+1.5*SIN(2*PI()*A49/35)</f>
        <v/>
      </c>
      <c r="D49" s="50">
        <f>Subsurface_Live_Data!M49+Subsurface_Inputs!$C$56*SIN(2*PI()*A49/31)</f>
        <v/>
      </c>
      <c r="E49" s="50">
        <f>IF(Subsurface_Live_Data!H49&gt;=Subsurface_Inputs!$C$42,Subsurface_Live_Data!N49+Subsurface_Inputs!$C$56*SIN(2*PI()*A49/27),NA())</f>
        <v/>
      </c>
      <c r="F49" s="50">
        <f>Subsurface_Live_Data!O49+Subsurface_Inputs!$C$56*SIN(2*PI()*A49/47)</f>
        <v/>
      </c>
      <c r="G49" s="50">
        <f>-55+3*SIN(2*PI()*A49/19)</f>
        <v/>
      </c>
    </row>
    <row r="50">
      <c r="A50" s="50">
        <f>Subsurface_Live_Data!A50</f>
        <v/>
      </c>
      <c r="B50" s="50" t="n">
        <v>0</v>
      </c>
      <c r="C50" s="50">
        <f>Subsurface_Inputs!$C$57+1.5*SIN(2*PI()*A50/35)</f>
        <v/>
      </c>
      <c r="D50" s="50">
        <f>Subsurface_Live_Data!M50+Subsurface_Inputs!$C$56*SIN(2*PI()*A50/31)</f>
        <v/>
      </c>
      <c r="E50" s="50">
        <f>IF(Subsurface_Live_Data!H50&gt;=Subsurface_Inputs!$C$42,Subsurface_Live_Data!N50+Subsurface_Inputs!$C$56*SIN(2*PI()*A50/27),NA())</f>
        <v/>
      </c>
      <c r="F50" s="50">
        <f>Subsurface_Live_Data!O50+Subsurface_Inputs!$C$56*SIN(2*PI()*A50/47)</f>
        <v/>
      </c>
      <c r="G50" s="50">
        <f>-55+3*SIN(2*PI()*A50/19)</f>
        <v/>
      </c>
    </row>
    <row r="51">
      <c r="A51" s="50">
        <f>Subsurface_Live_Data!A51</f>
        <v/>
      </c>
      <c r="B51" s="50" t="n">
        <v>0</v>
      </c>
      <c r="C51" s="50">
        <f>Subsurface_Inputs!$C$57+1.5*SIN(2*PI()*A51/35)</f>
        <v/>
      </c>
      <c r="D51" s="50">
        <f>Subsurface_Live_Data!M51+Subsurface_Inputs!$C$56*SIN(2*PI()*A51/31)</f>
        <v/>
      </c>
      <c r="E51" s="50">
        <f>IF(Subsurface_Live_Data!H51&gt;=Subsurface_Inputs!$C$42,Subsurface_Live_Data!N51+Subsurface_Inputs!$C$56*SIN(2*PI()*A51/27),NA())</f>
        <v/>
      </c>
      <c r="F51" s="50">
        <f>Subsurface_Live_Data!O51+Subsurface_Inputs!$C$56*SIN(2*PI()*A51/47)</f>
        <v/>
      </c>
      <c r="G51" s="50">
        <f>-55+3*SIN(2*PI()*A51/19)</f>
        <v/>
      </c>
    </row>
    <row r="52">
      <c r="A52" s="50">
        <f>Subsurface_Live_Data!A52</f>
        <v/>
      </c>
      <c r="B52" s="50" t="n">
        <v>0</v>
      </c>
      <c r="C52" s="50">
        <f>Subsurface_Inputs!$C$57+1.5*SIN(2*PI()*A52/35)</f>
        <v/>
      </c>
      <c r="D52" s="50">
        <f>Subsurface_Live_Data!M52+Subsurface_Inputs!$C$56*SIN(2*PI()*A52/31)</f>
        <v/>
      </c>
      <c r="E52" s="50">
        <f>IF(Subsurface_Live_Data!H52&gt;=Subsurface_Inputs!$C$42,Subsurface_Live_Data!N52+Subsurface_Inputs!$C$56*SIN(2*PI()*A52/27),NA())</f>
        <v/>
      </c>
      <c r="F52" s="50">
        <f>Subsurface_Live_Data!O52+Subsurface_Inputs!$C$56*SIN(2*PI()*A52/47)</f>
        <v/>
      </c>
      <c r="G52" s="50">
        <f>-55+3*SIN(2*PI()*A52/19)</f>
        <v/>
      </c>
    </row>
    <row r="53">
      <c r="A53" s="50">
        <f>Subsurface_Live_Data!A53</f>
        <v/>
      </c>
      <c r="B53" s="50" t="n">
        <v>0</v>
      </c>
      <c r="C53" s="50">
        <f>Subsurface_Inputs!$C$57+1.5*SIN(2*PI()*A53/35)</f>
        <v/>
      </c>
      <c r="D53" s="50">
        <f>Subsurface_Live_Data!M53+Subsurface_Inputs!$C$56*SIN(2*PI()*A53/31)</f>
        <v/>
      </c>
      <c r="E53" s="50">
        <f>IF(Subsurface_Live_Data!H53&gt;=Subsurface_Inputs!$C$42,Subsurface_Live_Data!N53+Subsurface_Inputs!$C$56*SIN(2*PI()*A53/27),NA())</f>
        <v/>
      </c>
      <c r="F53" s="50">
        <f>Subsurface_Live_Data!O53+Subsurface_Inputs!$C$56*SIN(2*PI()*A53/47)</f>
        <v/>
      </c>
      <c r="G53" s="50">
        <f>-55+3*SIN(2*PI()*A53/19)</f>
        <v/>
      </c>
    </row>
    <row r="54">
      <c r="A54" s="50">
        <f>Subsurface_Live_Data!A54</f>
        <v/>
      </c>
      <c r="B54" s="50" t="n">
        <v>0</v>
      </c>
      <c r="C54" s="50">
        <f>Subsurface_Inputs!$C$57+1.5*SIN(2*PI()*A54/35)</f>
        <v/>
      </c>
      <c r="D54" s="50">
        <f>Subsurface_Live_Data!M54+Subsurface_Inputs!$C$56*SIN(2*PI()*A54/31)</f>
        <v/>
      </c>
      <c r="E54" s="50">
        <f>IF(Subsurface_Live_Data!H54&gt;=Subsurface_Inputs!$C$42,Subsurface_Live_Data!N54+Subsurface_Inputs!$C$56*SIN(2*PI()*A54/27),NA())</f>
        <v/>
      </c>
      <c r="F54" s="50">
        <f>Subsurface_Live_Data!O54+Subsurface_Inputs!$C$56*SIN(2*PI()*A54/47)</f>
        <v/>
      </c>
      <c r="G54" s="50">
        <f>-55+3*SIN(2*PI()*A54/19)</f>
        <v/>
      </c>
    </row>
    <row r="55">
      <c r="A55" s="50">
        <f>Subsurface_Live_Data!A55</f>
        <v/>
      </c>
      <c r="B55" s="50" t="n">
        <v>0</v>
      </c>
      <c r="C55" s="50">
        <f>Subsurface_Inputs!$C$57+1.5*SIN(2*PI()*A55/35)</f>
        <v/>
      </c>
      <c r="D55" s="50">
        <f>Subsurface_Live_Data!M55+Subsurface_Inputs!$C$56*SIN(2*PI()*A55/31)</f>
        <v/>
      </c>
      <c r="E55" s="50">
        <f>IF(Subsurface_Live_Data!H55&gt;=Subsurface_Inputs!$C$42,Subsurface_Live_Data!N55+Subsurface_Inputs!$C$56*SIN(2*PI()*A55/27),NA())</f>
        <v/>
      </c>
      <c r="F55" s="50">
        <f>Subsurface_Live_Data!O55+Subsurface_Inputs!$C$56*SIN(2*PI()*A55/47)</f>
        <v/>
      </c>
      <c r="G55" s="50">
        <f>-55+3*SIN(2*PI()*A55/19)</f>
        <v/>
      </c>
    </row>
    <row r="56">
      <c r="A56" s="50">
        <f>Subsurface_Live_Data!A56</f>
        <v/>
      </c>
      <c r="B56" s="50" t="n">
        <v>0</v>
      </c>
      <c r="C56" s="50">
        <f>Subsurface_Inputs!$C$57+1.5*SIN(2*PI()*A56/35)</f>
        <v/>
      </c>
      <c r="D56" s="50">
        <f>Subsurface_Live_Data!M56+Subsurface_Inputs!$C$56*SIN(2*PI()*A56/31)</f>
        <v/>
      </c>
      <c r="E56" s="50">
        <f>IF(Subsurface_Live_Data!H56&gt;=Subsurface_Inputs!$C$42,Subsurface_Live_Data!N56+Subsurface_Inputs!$C$56*SIN(2*PI()*A56/27),NA())</f>
        <v/>
      </c>
      <c r="F56" s="50">
        <f>Subsurface_Live_Data!O56+Subsurface_Inputs!$C$56*SIN(2*PI()*A56/47)</f>
        <v/>
      </c>
      <c r="G56" s="50">
        <f>-55+3*SIN(2*PI()*A56/19)</f>
        <v/>
      </c>
    </row>
    <row r="57">
      <c r="A57" s="50">
        <f>Subsurface_Live_Data!A57</f>
        <v/>
      </c>
      <c r="B57" s="50" t="n">
        <v>0</v>
      </c>
      <c r="C57" s="50">
        <f>Subsurface_Inputs!$C$57+1.5*SIN(2*PI()*A57/35)</f>
        <v/>
      </c>
      <c r="D57" s="50">
        <f>Subsurface_Live_Data!M57+Subsurface_Inputs!$C$56*SIN(2*PI()*A57/31)</f>
        <v/>
      </c>
      <c r="E57" s="50">
        <f>IF(Subsurface_Live_Data!H57&gt;=Subsurface_Inputs!$C$42,Subsurface_Live_Data!N57+Subsurface_Inputs!$C$56*SIN(2*PI()*A57/27),NA())</f>
        <v/>
      </c>
      <c r="F57" s="50">
        <f>Subsurface_Live_Data!O57+Subsurface_Inputs!$C$56*SIN(2*PI()*A57/47)</f>
        <v/>
      </c>
      <c r="G57" s="50">
        <f>-55+3*SIN(2*PI()*A57/19)</f>
        <v/>
      </c>
    </row>
    <row r="58">
      <c r="A58" s="50">
        <f>Subsurface_Live_Data!A58</f>
        <v/>
      </c>
      <c r="B58" s="50" t="n">
        <v>0</v>
      </c>
      <c r="C58" s="50">
        <f>Subsurface_Inputs!$C$57+1.5*SIN(2*PI()*A58/35)</f>
        <v/>
      </c>
      <c r="D58" s="50">
        <f>Subsurface_Live_Data!M58+Subsurface_Inputs!$C$56*SIN(2*PI()*A58/31)</f>
        <v/>
      </c>
      <c r="E58" s="50">
        <f>IF(Subsurface_Live_Data!H58&gt;=Subsurface_Inputs!$C$42,Subsurface_Live_Data!N58+Subsurface_Inputs!$C$56*SIN(2*PI()*A58/27),NA())</f>
        <v/>
      </c>
      <c r="F58" s="50">
        <f>Subsurface_Live_Data!O58+Subsurface_Inputs!$C$56*SIN(2*PI()*A58/47)</f>
        <v/>
      </c>
      <c r="G58" s="50">
        <f>-55+3*SIN(2*PI()*A58/19)</f>
        <v/>
      </c>
    </row>
    <row r="59">
      <c r="A59" s="50">
        <f>Subsurface_Live_Data!A59</f>
        <v/>
      </c>
      <c r="B59" s="50" t="n">
        <v>0</v>
      </c>
      <c r="C59" s="50">
        <f>Subsurface_Inputs!$C$57+1.5*SIN(2*PI()*A59/35)</f>
        <v/>
      </c>
      <c r="D59" s="50">
        <f>Subsurface_Live_Data!M59+Subsurface_Inputs!$C$56*SIN(2*PI()*A59/31)</f>
        <v/>
      </c>
      <c r="E59" s="50">
        <f>IF(Subsurface_Live_Data!H59&gt;=Subsurface_Inputs!$C$42,Subsurface_Live_Data!N59+Subsurface_Inputs!$C$56*SIN(2*PI()*A59/27),NA())</f>
        <v/>
      </c>
      <c r="F59" s="50">
        <f>Subsurface_Live_Data!O59+Subsurface_Inputs!$C$56*SIN(2*PI()*A59/47)</f>
        <v/>
      </c>
      <c r="G59" s="50">
        <f>-55+3*SIN(2*PI()*A59/19)</f>
        <v/>
      </c>
    </row>
    <row r="60">
      <c r="A60" s="50">
        <f>Subsurface_Live_Data!A60</f>
        <v/>
      </c>
      <c r="B60" s="50" t="n">
        <v>0</v>
      </c>
      <c r="C60" s="50">
        <f>Subsurface_Inputs!$C$57+1.5*SIN(2*PI()*A60/35)</f>
        <v/>
      </c>
      <c r="D60" s="50">
        <f>Subsurface_Live_Data!M60+Subsurface_Inputs!$C$56*SIN(2*PI()*A60/31)</f>
        <v/>
      </c>
      <c r="E60" s="50">
        <f>IF(Subsurface_Live_Data!H60&gt;=Subsurface_Inputs!$C$42,Subsurface_Live_Data!N60+Subsurface_Inputs!$C$56*SIN(2*PI()*A60/27),NA())</f>
        <v/>
      </c>
      <c r="F60" s="50">
        <f>Subsurface_Live_Data!O60+Subsurface_Inputs!$C$56*SIN(2*PI()*A60/47)</f>
        <v/>
      </c>
      <c r="G60" s="50">
        <f>-55+3*SIN(2*PI()*A60/19)</f>
        <v/>
      </c>
    </row>
    <row r="61">
      <c r="A61" s="50">
        <f>Subsurface_Live_Data!A61</f>
        <v/>
      </c>
      <c r="B61" s="50" t="n">
        <v>0</v>
      </c>
      <c r="C61" s="50">
        <f>Subsurface_Inputs!$C$57+1.5*SIN(2*PI()*A61/35)</f>
        <v/>
      </c>
      <c r="D61" s="50">
        <f>Subsurface_Live_Data!M61+Subsurface_Inputs!$C$56*SIN(2*PI()*A61/31)</f>
        <v/>
      </c>
      <c r="E61" s="50">
        <f>IF(Subsurface_Live_Data!H61&gt;=Subsurface_Inputs!$C$42,Subsurface_Live_Data!N61+Subsurface_Inputs!$C$56*SIN(2*PI()*A61/27),NA())</f>
        <v/>
      </c>
      <c r="F61" s="50">
        <f>Subsurface_Live_Data!O61+Subsurface_Inputs!$C$56*SIN(2*PI()*A61/47)</f>
        <v/>
      </c>
      <c r="G61" s="50">
        <f>-55+3*SIN(2*PI()*A61/19)</f>
        <v/>
      </c>
    </row>
    <row r="62">
      <c r="A62" s="50">
        <f>Subsurface_Live_Data!A62</f>
        <v/>
      </c>
      <c r="B62" s="50" t="n">
        <v>0</v>
      </c>
      <c r="C62" s="50">
        <f>Subsurface_Inputs!$C$57+1.5*SIN(2*PI()*A62/35)</f>
        <v/>
      </c>
      <c r="D62" s="50">
        <f>Subsurface_Live_Data!M62+Subsurface_Inputs!$C$56*SIN(2*PI()*A62/31)</f>
        <v/>
      </c>
      <c r="E62" s="50">
        <f>IF(Subsurface_Live_Data!H62&gt;=Subsurface_Inputs!$C$42,Subsurface_Live_Data!N62+Subsurface_Inputs!$C$56*SIN(2*PI()*A62/27),NA())</f>
        <v/>
      </c>
      <c r="F62" s="50">
        <f>Subsurface_Live_Data!O62+Subsurface_Inputs!$C$56*SIN(2*PI()*A62/47)</f>
        <v/>
      </c>
      <c r="G62" s="50">
        <f>-55+3*SIN(2*PI()*A62/19)</f>
        <v/>
      </c>
    </row>
    <row r="63">
      <c r="A63" s="50">
        <f>Subsurface_Live_Data!A63</f>
        <v/>
      </c>
      <c r="B63" s="50" t="n">
        <v>0</v>
      </c>
      <c r="C63" s="50">
        <f>Subsurface_Inputs!$C$57+1.5*SIN(2*PI()*A63/35)</f>
        <v/>
      </c>
      <c r="D63" s="50">
        <f>Subsurface_Live_Data!M63+Subsurface_Inputs!$C$56*SIN(2*PI()*A63/31)</f>
        <v/>
      </c>
      <c r="E63" s="50">
        <f>IF(Subsurface_Live_Data!H63&gt;=Subsurface_Inputs!$C$42,Subsurface_Live_Data!N63+Subsurface_Inputs!$C$56*SIN(2*PI()*A63/27),NA())</f>
        <v/>
      </c>
      <c r="F63" s="50">
        <f>Subsurface_Live_Data!O63+Subsurface_Inputs!$C$56*SIN(2*PI()*A63/47)</f>
        <v/>
      </c>
      <c r="G63" s="50">
        <f>-55+3*SIN(2*PI()*A63/19)</f>
        <v/>
      </c>
    </row>
    <row r="64">
      <c r="A64" s="50">
        <f>Subsurface_Live_Data!A64</f>
        <v/>
      </c>
      <c r="B64" s="50" t="n">
        <v>0</v>
      </c>
      <c r="C64" s="50">
        <f>Subsurface_Inputs!$C$57+1.5*SIN(2*PI()*A64/35)</f>
        <v/>
      </c>
      <c r="D64" s="50">
        <f>Subsurface_Live_Data!M64+Subsurface_Inputs!$C$56*SIN(2*PI()*A64/31)</f>
        <v/>
      </c>
      <c r="E64" s="50">
        <f>IF(Subsurface_Live_Data!H64&gt;=Subsurface_Inputs!$C$42,Subsurface_Live_Data!N64+Subsurface_Inputs!$C$56*SIN(2*PI()*A64/27),NA())</f>
        <v/>
      </c>
      <c r="F64" s="50">
        <f>Subsurface_Live_Data!O64+Subsurface_Inputs!$C$56*SIN(2*PI()*A64/47)</f>
        <v/>
      </c>
      <c r="G64" s="50">
        <f>-55+3*SIN(2*PI()*A64/19)</f>
        <v/>
      </c>
    </row>
    <row r="65">
      <c r="A65" s="50">
        <f>Subsurface_Live_Data!A65</f>
        <v/>
      </c>
      <c r="B65" s="50" t="n">
        <v>0</v>
      </c>
      <c r="C65" s="50">
        <f>Subsurface_Inputs!$C$57+1.5*SIN(2*PI()*A65/35)</f>
        <v/>
      </c>
      <c r="D65" s="50">
        <f>Subsurface_Live_Data!M65+Subsurface_Inputs!$C$56*SIN(2*PI()*A65/31)</f>
        <v/>
      </c>
      <c r="E65" s="50">
        <f>IF(Subsurface_Live_Data!H65&gt;=Subsurface_Inputs!$C$42,Subsurface_Live_Data!N65+Subsurface_Inputs!$C$56*SIN(2*PI()*A65/27),NA())</f>
        <v/>
      </c>
      <c r="F65" s="50">
        <f>Subsurface_Live_Data!O65+Subsurface_Inputs!$C$56*SIN(2*PI()*A65/47)</f>
        <v/>
      </c>
      <c r="G65" s="50">
        <f>-55+3*SIN(2*PI()*A65/19)</f>
        <v/>
      </c>
    </row>
    <row r="66">
      <c r="A66" s="50">
        <f>Subsurface_Live_Data!A66</f>
        <v/>
      </c>
      <c r="B66" s="50" t="n">
        <v>0</v>
      </c>
      <c r="C66" s="50">
        <f>Subsurface_Inputs!$C$57+1.5*SIN(2*PI()*A66/35)</f>
        <v/>
      </c>
      <c r="D66" s="50">
        <f>Subsurface_Live_Data!M66+Subsurface_Inputs!$C$56*SIN(2*PI()*A66/31)</f>
        <v/>
      </c>
      <c r="E66" s="50">
        <f>IF(Subsurface_Live_Data!H66&gt;=Subsurface_Inputs!$C$42,Subsurface_Live_Data!N66+Subsurface_Inputs!$C$56*SIN(2*PI()*A66/27),NA())</f>
        <v/>
      </c>
      <c r="F66" s="50">
        <f>Subsurface_Live_Data!O66+Subsurface_Inputs!$C$56*SIN(2*PI()*A66/47)</f>
        <v/>
      </c>
      <c r="G66" s="50">
        <f>-55+3*SIN(2*PI()*A66/19)</f>
        <v/>
      </c>
    </row>
    <row r="67">
      <c r="A67" s="50">
        <f>Subsurface_Live_Data!A67</f>
        <v/>
      </c>
      <c r="B67" s="50" t="n">
        <v>0</v>
      </c>
      <c r="C67" s="50">
        <f>Subsurface_Inputs!$C$57+1.5*SIN(2*PI()*A67/35)</f>
        <v/>
      </c>
      <c r="D67" s="50">
        <f>Subsurface_Live_Data!M67+Subsurface_Inputs!$C$56*SIN(2*PI()*A67/31)</f>
        <v/>
      </c>
      <c r="E67" s="50">
        <f>IF(Subsurface_Live_Data!H67&gt;=Subsurface_Inputs!$C$42,Subsurface_Live_Data!N67+Subsurface_Inputs!$C$56*SIN(2*PI()*A67/27),NA())</f>
        <v/>
      </c>
      <c r="F67" s="50">
        <f>Subsurface_Live_Data!O67+Subsurface_Inputs!$C$56*SIN(2*PI()*A67/47)</f>
        <v/>
      </c>
      <c r="G67" s="50">
        <f>-55+3*SIN(2*PI()*A67/19)</f>
        <v/>
      </c>
    </row>
    <row r="68">
      <c r="A68" s="50">
        <f>Subsurface_Live_Data!A68</f>
        <v/>
      </c>
      <c r="B68" s="50" t="n">
        <v>0</v>
      </c>
      <c r="C68" s="50">
        <f>Subsurface_Inputs!$C$57+1.5*SIN(2*PI()*A68/35)</f>
        <v/>
      </c>
      <c r="D68" s="50">
        <f>Subsurface_Live_Data!M68+Subsurface_Inputs!$C$56*SIN(2*PI()*A68/31)</f>
        <v/>
      </c>
      <c r="E68" s="50">
        <f>IF(Subsurface_Live_Data!H68&gt;=Subsurface_Inputs!$C$42,Subsurface_Live_Data!N68+Subsurface_Inputs!$C$56*SIN(2*PI()*A68/27),NA())</f>
        <v/>
      </c>
      <c r="F68" s="50">
        <f>Subsurface_Live_Data!O68+Subsurface_Inputs!$C$56*SIN(2*PI()*A68/47)</f>
        <v/>
      </c>
      <c r="G68" s="50">
        <f>-55+3*SIN(2*PI()*A68/19)</f>
        <v/>
      </c>
    </row>
    <row r="69">
      <c r="A69" s="50">
        <f>Subsurface_Live_Data!A69</f>
        <v/>
      </c>
      <c r="B69" s="50" t="n">
        <v>0</v>
      </c>
      <c r="C69" s="50">
        <f>Subsurface_Inputs!$C$57+1.5*SIN(2*PI()*A69/35)</f>
        <v/>
      </c>
      <c r="D69" s="50">
        <f>Subsurface_Live_Data!M69+Subsurface_Inputs!$C$56*SIN(2*PI()*A69/31)</f>
        <v/>
      </c>
      <c r="E69" s="50">
        <f>IF(Subsurface_Live_Data!H69&gt;=Subsurface_Inputs!$C$42,Subsurface_Live_Data!N69+Subsurface_Inputs!$C$56*SIN(2*PI()*A69/27),NA())</f>
        <v/>
      </c>
      <c r="F69" s="50">
        <f>Subsurface_Live_Data!O69+Subsurface_Inputs!$C$56*SIN(2*PI()*A69/47)</f>
        <v/>
      </c>
      <c r="G69" s="50">
        <f>-55+3*SIN(2*PI()*A69/19)</f>
        <v/>
      </c>
    </row>
    <row r="70">
      <c r="A70" s="50">
        <f>Subsurface_Live_Data!A70</f>
        <v/>
      </c>
      <c r="B70" s="50" t="n">
        <v>0</v>
      </c>
      <c r="C70" s="50">
        <f>Subsurface_Inputs!$C$57+1.5*SIN(2*PI()*A70/35)</f>
        <v/>
      </c>
      <c r="D70" s="50">
        <f>Subsurface_Live_Data!M70+Subsurface_Inputs!$C$56*SIN(2*PI()*A70/31)</f>
        <v/>
      </c>
      <c r="E70" s="50">
        <f>IF(Subsurface_Live_Data!H70&gt;=Subsurface_Inputs!$C$42,Subsurface_Live_Data!N70+Subsurface_Inputs!$C$56*SIN(2*PI()*A70/27),NA())</f>
        <v/>
      </c>
      <c r="F70" s="50">
        <f>Subsurface_Live_Data!O70+Subsurface_Inputs!$C$56*SIN(2*PI()*A70/47)</f>
        <v/>
      </c>
      <c r="G70" s="50">
        <f>-55+3*SIN(2*PI()*A70/19)</f>
        <v/>
      </c>
    </row>
    <row r="71">
      <c r="A71" s="50">
        <f>Subsurface_Live_Data!A71</f>
        <v/>
      </c>
      <c r="B71" s="50" t="n">
        <v>0</v>
      </c>
      <c r="C71" s="50">
        <f>Subsurface_Inputs!$C$57+1.5*SIN(2*PI()*A71/35)</f>
        <v/>
      </c>
      <c r="D71" s="50">
        <f>Subsurface_Live_Data!M71+Subsurface_Inputs!$C$56*SIN(2*PI()*A71/31)</f>
        <v/>
      </c>
      <c r="E71" s="50">
        <f>IF(Subsurface_Live_Data!H71&gt;=Subsurface_Inputs!$C$42,Subsurface_Live_Data!N71+Subsurface_Inputs!$C$56*SIN(2*PI()*A71/27),NA())</f>
        <v/>
      </c>
      <c r="F71" s="50">
        <f>Subsurface_Live_Data!O71+Subsurface_Inputs!$C$56*SIN(2*PI()*A71/47)</f>
        <v/>
      </c>
      <c r="G71" s="50">
        <f>-55+3*SIN(2*PI()*A71/19)</f>
        <v/>
      </c>
    </row>
    <row r="72">
      <c r="A72" s="50">
        <f>Subsurface_Live_Data!A72</f>
        <v/>
      </c>
      <c r="B72" s="50" t="n">
        <v>0</v>
      </c>
      <c r="C72" s="50">
        <f>Subsurface_Inputs!$C$57+1.5*SIN(2*PI()*A72/35)</f>
        <v/>
      </c>
      <c r="D72" s="50">
        <f>Subsurface_Live_Data!M72+Subsurface_Inputs!$C$56*SIN(2*PI()*A72/31)</f>
        <v/>
      </c>
      <c r="E72" s="50">
        <f>IF(Subsurface_Live_Data!H72&gt;=Subsurface_Inputs!$C$42,Subsurface_Live_Data!N72+Subsurface_Inputs!$C$56*SIN(2*PI()*A72/27),NA())</f>
        <v/>
      </c>
      <c r="F72" s="50">
        <f>Subsurface_Live_Data!O72+Subsurface_Inputs!$C$56*SIN(2*PI()*A72/47)</f>
        <v/>
      </c>
      <c r="G72" s="50">
        <f>-55+3*SIN(2*PI()*A72/19)</f>
        <v/>
      </c>
    </row>
    <row r="73">
      <c r="A73" s="50">
        <f>Subsurface_Live_Data!A73</f>
        <v/>
      </c>
      <c r="B73" s="50" t="n">
        <v>0</v>
      </c>
      <c r="C73" s="50">
        <f>Subsurface_Inputs!$C$57+1.5*SIN(2*PI()*A73/35)</f>
        <v/>
      </c>
      <c r="D73" s="50">
        <f>Subsurface_Live_Data!M73+Subsurface_Inputs!$C$56*SIN(2*PI()*A73/31)</f>
        <v/>
      </c>
      <c r="E73" s="50">
        <f>IF(Subsurface_Live_Data!H73&gt;=Subsurface_Inputs!$C$42,Subsurface_Live_Data!N73+Subsurface_Inputs!$C$56*SIN(2*PI()*A73/27),NA())</f>
        <v/>
      </c>
      <c r="F73" s="50">
        <f>Subsurface_Live_Data!O73+Subsurface_Inputs!$C$56*SIN(2*PI()*A73/47)</f>
        <v/>
      </c>
      <c r="G73" s="50">
        <f>-55+3*SIN(2*PI()*A73/19)</f>
        <v/>
      </c>
    </row>
    <row r="74">
      <c r="A74" s="50">
        <f>Subsurface_Live_Data!A74</f>
        <v/>
      </c>
      <c r="B74" s="50" t="n">
        <v>0</v>
      </c>
      <c r="C74" s="50">
        <f>Subsurface_Inputs!$C$57+1.5*SIN(2*PI()*A74/35)</f>
        <v/>
      </c>
      <c r="D74" s="50">
        <f>Subsurface_Live_Data!M74+Subsurface_Inputs!$C$56*SIN(2*PI()*A74/31)</f>
        <v/>
      </c>
      <c r="E74" s="50">
        <f>IF(Subsurface_Live_Data!H74&gt;=Subsurface_Inputs!$C$42,Subsurface_Live_Data!N74+Subsurface_Inputs!$C$56*SIN(2*PI()*A74/27),NA())</f>
        <v/>
      </c>
      <c r="F74" s="50">
        <f>Subsurface_Live_Data!O74+Subsurface_Inputs!$C$56*SIN(2*PI()*A74/47)</f>
        <v/>
      </c>
      <c r="G74" s="50">
        <f>-55+3*SIN(2*PI()*A74/19)</f>
        <v/>
      </c>
    </row>
    <row r="75">
      <c r="A75" s="50">
        <f>Subsurface_Live_Data!A75</f>
        <v/>
      </c>
      <c r="B75" s="50" t="n">
        <v>0</v>
      </c>
      <c r="C75" s="50">
        <f>Subsurface_Inputs!$C$57+1.5*SIN(2*PI()*A75/35)</f>
        <v/>
      </c>
      <c r="D75" s="50">
        <f>Subsurface_Live_Data!M75+Subsurface_Inputs!$C$56*SIN(2*PI()*A75/31)</f>
        <v/>
      </c>
      <c r="E75" s="50">
        <f>IF(Subsurface_Live_Data!H75&gt;=Subsurface_Inputs!$C$42,Subsurface_Live_Data!N75+Subsurface_Inputs!$C$56*SIN(2*PI()*A75/27),NA())</f>
        <v/>
      </c>
      <c r="F75" s="50">
        <f>Subsurface_Live_Data!O75+Subsurface_Inputs!$C$56*SIN(2*PI()*A75/47)</f>
        <v/>
      </c>
      <c r="G75" s="50">
        <f>-55+3*SIN(2*PI()*A75/19)</f>
        <v/>
      </c>
    </row>
    <row r="76">
      <c r="A76" s="50">
        <f>Subsurface_Live_Data!A76</f>
        <v/>
      </c>
      <c r="B76" s="50" t="n">
        <v>0</v>
      </c>
      <c r="C76" s="50">
        <f>Subsurface_Inputs!$C$57+1.5*SIN(2*PI()*A76/35)</f>
        <v/>
      </c>
      <c r="D76" s="50">
        <f>Subsurface_Live_Data!M76+Subsurface_Inputs!$C$56*SIN(2*PI()*A76/31)</f>
        <v/>
      </c>
      <c r="E76" s="50">
        <f>IF(Subsurface_Live_Data!H76&gt;=Subsurface_Inputs!$C$42,Subsurface_Live_Data!N76+Subsurface_Inputs!$C$56*SIN(2*PI()*A76/27),NA())</f>
        <v/>
      </c>
      <c r="F76" s="50">
        <f>Subsurface_Live_Data!O76+Subsurface_Inputs!$C$56*SIN(2*PI()*A76/47)</f>
        <v/>
      </c>
      <c r="G76" s="50">
        <f>-55+3*SIN(2*PI()*A76/19)</f>
        <v/>
      </c>
    </row>
    <row r="77">
      <c r="A77" s="50">
        <f>Subsurface_Live_Data!A77</f>
        <v/>
      </c>
      <c r="B77" s="50" t="n">
        <v>0</v>
      </c>
      <c r="C77" s="50">
        <f>Subsurface_Inputs!$C$57+1.5*SIN(2*PI()*A77/35)</f>
        <v/>
      </c>
      <c r="D77" s="50">
        <f>Subsurface_Live_Data!M77+Subsurface_Inputs!$C$56*SIN(2*PI()*A77/31)</f>
        <v/>
      </c>
      <c r="E77" s="50">
        <f>IF(Subsurface_Live_Data!H77&gt;=Subsurface_Inputs!$C$42,Subsurface_Live_Data!N77+Subsurface_Inputs!$C$56*SIN(2*PI()*A77/27),NA())</f>
        <v/>
      </c>
      <c r="F77" s="50">
        <f>Subsurface_Live_Data!O77+Subsurface_Inputs!$C$56*SIN(2*PI()*A77/47)</f>
        <v/>
      </c>
      <c r="G77" s="50">
        <f>-55+3*SIN(2*PI()*A77/19)</f>
        <v/>
      </c>
    </row>
    <row r="78">
      <c r="A78" s="50">
        <f>Subsurface_Live_Data!A78</f>
        <v/>
      </c>
      <c r="B78" s="50" t="n">
        <v>0</v>
      </c>
      <c r="C78" s="50">
        <f>Subsurface_Inputs!$C$57+1.5*SIN(2*PI()*A78/35)</f>
        <v/>
      </c>
      <c r="D78" s="50">
        <f>Subsurface_Live_Data!M78+Subsurface_Inputs!$C$56*SIN(2*PI()*A78/31)</f>
        <v/>
      </c>
      <c r="E78" s="50">
        <f>IF(Subsurface_Live_Data!H78&gt;=Subsurface_Inputs!$C$42,Subsurface_Live_Data!N78+Subsurface_Inputs!$C$56*SIN(2*PI()*A78/27),NA())</f>
        <v/>
      </c>
      <c r="F78" s="50">
        <f>Subsurface_Live_Data!O78+Subsurface_Inputs!$C$56*SIN(2*PI()*A78/47)</f>
        <v/>
      </c>
      <c r="G78" s="50">
        <f>-55+3*SIN(2*PI()*A78/19)</f>
        <v/>
      </c>
    </row>
    <row r="79">
      <c r="A79" s="50">
        <f>Subsurface_Live_Data!A79</f>
        <v/>
      </c>
      <c r="B79" s="50" t="n">
        <v>0</v>
      </c>
      <c r="C79" s="50">
        <f>Subsurface_Inputs!$C$57+1.5*SIN(2*PI()*A79/35)</f>
        <v/>
      </c>
      <c r="D79" s="50">
        <f>Subsurface_Live_Data!M79+Subsurface_Inputs!$C$56*SIN(2*PI()*A79/31)</f>
        <v/>
      </c>
      <c r="E79" s="50">
        <f>IF(Subsurface_Live_Data!H79&gt;=Subsurface_Inputs!$C$42,Subsurface_Live_Data!N79+Subsurface_Inputs!$C$56*SIN(2*PI()*A79/27),NA())</f>
        <v/>
      </c>
      <c r="F79" s="50">
        <f>Subsurface_Live_Data!O79+Subsurface_Inputs!$C$56*SIN(2*PI()*A79/47)</f>
        <v/>
      </c>
      <c r="G79" s="50">
        <f>-55+3*SIN(2*PI()*A79/19)</f>
        <v/>
      </c>
    </row>
    <row r="80">
      <c r="A80" s="50">
        <f>Subsurface_Live_Data!A80</f>
        <v/>
      </c>
      <c r="B80" s="50" t="n">
        <v>0</v>
      </c>
      <c r="C80" s="50">
        <f>Subsurface_Inputs!$C$57+1.5*SIN(2*PI()*A80/35)</f>
        <v/>
      </c>
      <c r="D80" s="50">
        <f>Subsurface_Live_Data!M80+Subsurface_Inputs!$C$56*SIN(2*PI()*A80/31)</f>
        <v/>
      </c>
      <c r="E80" s="50">
        <f>IF(Subsurface_Live_Data!H80&gt;=Subsurface_Inputs!$C$42,Subsurface_Live_Data!N80+Subsurface_Inputs!$C$56*SIN(2*PI()*A80/27),NA())</f>
        <v/>
      </c>
      <c r="F80" s="50">
        <f>Subsurface_Live_Data!O80+Subsurface_Inputs!$C$56*SIN(2*PI()*A80/47)</f>
        <v/>
      </c>
      <c r="G80" s="50">
        <f>-55+3*SIN(2*PI()*A80/19)</f>
        <v/>
      </c>
    </row>
    <row r="81">
      <c r="A81" s="50">
        <f>Subsurface_Live_Data!A81</f>
        <v/>
      </c>
      <c r="B81" s="50" t="n">
        <v>0</v>
      </c>
      <c r="C81" s="50">
        <f>Subsurface_Inputs!$C$57+1.5*SIN(2*PI()*A81/35)</f>
        <v/>
      </c>
      <c r="D81" s="50">
        <f>Subsurface_Live_Data!M81+Subsurface_Inputs!$C$56*SIN(2*PI()*A81/31)</f>
        <v/>
      </c>
      <c r="E81" s="50">
        <f>IF(Subsurface_Live_Data!H81&gt;=Subsurface_Inputs!$C$42,Subsurface_Live_Data!N81+Subsurface_Inputs!$C$56*SIN(2*PI()*A81/27),NA())</f>
        <v/>
      </c>
      <c r="F81" s="50">
        <f>Subsurface_Live_Data!O81+Subsurface_Inputs!$C$56*SIN(2*PI()*A81/47)</f>
        <v/>
      </c>
      <c r="G81" s="50">
        <f>-55+3*SIN(2*PI()*A81/19)</f>
        <v/>
      </c>
    </row>
    <row r="82">
      <c r="A82" s="50">
        <f>Subsurface_Live_Data!A82</f>
        <v/>
      </c>
      <c r="B82" s="50" t="n">
        <v>0</v>
      </c>
      <c r="C82" s="50">
        <f>Subsurface_Inputs!$C$57+1.5*SIN(2*PI()*A82/35)</f>
        <v/>
      </c>
      <c r="D82" s="50">
        <f>Subsurface_Live_Data!M82+Subsurface_Inputs!$C$56*SIN(2*PI()*A82/31)</f>
        <v/>
      </c>
      <c r="E82" s="50">
        <f>IF(Subsurface_Live_Data!H82&gt;=Subsurface_Inputs!$C$42,Subsurface_Live_Data!N82+Subsurface_Inputs!$C$56*SIN(2*PI()*A82/27),NA())</f>
        <v/>
      </c>
      <c r="F82" s="50">
        <f>Subsurface_Live_Data!O82+Subsurface_Inputs!$C$56*SIN(2*PI()*A82/47)</f>
        <v/>
      </c>
      <c r="G82" s="50">
        <f>-55+3*SIN(2*PI()*A82/19)</f>
        <v/>
      </c>
    </row>
    <row r="83">
      <c r="A83" s="50">
        <f>Subsurface_Live_Data!A83</f>
        <v/>
      </c>
      <c r="B83" s="50" t="n">
        <v>0</v>
      </c>
      <c r="C83" s="50">
        <f>Subsurface_Inputs!$C$57+1.5*SIN(2*PI()*A83/35)</f>
        <v/>
      </c>
      <c r="D83" s="50">
        <f>Subsurface_Live_Data!M83+Subsurface_Inputs!$C$56*SIN(2*PI()*A83/31)</f>
        <v/>
      </c>
      <c r="E83" s="50">
        <f>IF(Subsurface_Live_Data!H83&gt;=Subsurface_Inputs!$C$42,Subsurface_Live_Data!N83+Subsurface_Inputs!$C$56*SIN(2*PI()*A83/27),NA())</f>
        <v/>
      </c>
      <c r="F83" s="50">
        <f>Subsurface_Live_Data!O83+Subsurface_Inputs!$C$56*SIN(2*PI()*A83/47)</f>
        <v/>
      </c>
      <c r="G83" s="50">
        <f>-55+3*SIN(2*PI()*A83/19)</f>
        <v/>
      </c>
    </row>
    <row r="84">
      <c r="A84" s="50">
        <f>Subsurface_Live_Data!A84</f>
        <v/>
      </c>
      <c r="B84" s="50" t="n">
        <v>0</v>
      </c>
      <c r="C84" s="50">
        <f>Subsurface_Inputs!$C$57+1.5*SIN(2*PI()*A84/35)</f>
        <v/>
      </c>
      <c r="D84" s="50">
        <f>Subsurface_Live_Data!M84+Subsurface_Inputs!$C$56*SIN(2*PI()*A84/31)</f>
        <v/>
      </c>
      <c r="E84" s="50">
        <f>IF(Subsurface_Live_Data!H84&gt;=Subsurface_Inputs!$C$42,Subsurface_Live_Data!N84+Subsurface_Inputs!$C$56*SIN(2*PI()*A84/27),NA())</f>
        <v/>
      </c>
      <c r="F84" s="50">
        <f>Subsurface_Live_Data!O84+Subsurface_Inputs!$C$56*SIN(2*PI()*A84/47)</f>
        <v/>
      </c>
      <c r="G84" s="50">
        <f>-55+3*SIN(2*PI()*A84/19)</f>
        <v/>
      </c>
    </row>
    <row r="85">
      <c r="A85" s="50">
        <f>Subsurface_Live_Data!A85</f>
        <v/>
      </c>
      <c r="B85" s="50" t="n">
        <v>0</v>
      </c>
      <c r="C85" s="50">
        <f>Subsurface_Inputs!$C$57+1.5*SIN(2*PI()*A85/35)</f>
        <v/>
      </c>
      <c r="D85" s="50">
        <f>Subsurface_Live_Data!M85+Subsurface_Inputs!$C$56*SIN(2*PI()*A85/31)</f>
        <v/>
      </c>
      <c r="E85" s="50">
        <f>IF(Subsurface_Live_Data!H85&gt;=Subsurface_Inputs!$C$42,Subsurface_Live_Data!N85+Subsurface_Inputs!$C$56*SIN(2*PI()*A85/27),NA())</f>
        <v/>
      </c>
      <c r="F85" s="50">
        <f>Subsurface_Live_Data!O85+Subsurface_Inputs!$C$56*SIN(2*PI()*A85/47)</f>
        <v/>
      </c>
      <c r="G85" s="50">
        <f>-55+3*SIN(2*PI()*A85/19)</f>
        <v/>
      </c>
    </row>
    <row r="86">
      <c r="A86" s="50">
        <f>Subsurface_Live_Data!A86</f>
        <v/>
      </c>
      <c r="B86" s="50" t="n">
        <v>0</v>
      </c>
      <c r="C86" s="50">
        <f>Subsurface_Inputs!$C$57+1.5*SIN(2*PI()*A86/35)</f>
        <v/>
      </c>
      <c r="D86" s="50">
        <f>Subsurface_Live_Data!M86+Subsurface_Inputs!$C$56*SIN(2*PI()*A86/31)</f>
        <v/>
      </c>
      <c r="E86" s="50">
        <f>IF(Subsurface_Live_Data!H86&gt;=Subsurface_Inputs!$C$42,Subsurface_Live_Data!N86+Subsurface_Inputs!$C$56*SIN(2*PI()*A86/27),NA())</f>
        <v/>
      </c>
      <c r="F86" s="50">
        <f>Subsurface_Live_Data!O86+Subsurface_Inputs!$C$56*SIN(2*PI()*A86/47)</f>
        <v/>
      </c>
      <c r="G86" s="50">
        <f>-55+3*SIN(2*PI()*A86/19)</f>
        <v/>
      </c>
    </row>
    <row r="87">
      <c r="A87" s="50">
        <f>Subsurface_Live_Data!A87</f>
        <v/>
      </c>
      <c r="B87" s="50" t="n">
        <v>0</v>
      </c>
      <c r="C87" s="50">
        <f>Subsurface_Inputs!$C$57+1.5*SIN(2*PI()*A87/35)</f>
        <v/>
      </c>
      <c r="D87" s="50">
        <f>Subsurface_Live_Data!M87+Subsurface_Inputs!$C$56*SIN(2*PI()*A87/31)</f>
        <v/>
      </c>
      <c r="E87" s="50">
        <f>IF(Subsurface_Live_Data!H87&gt;=Subsurface_Inputs!$C$42,Subsurface_Live_Data!N87+Subsurface_Inputs!$C$56*SIN(2*PI()*A87/27),NA())</f>
        <v/>
      </c>
      <c r="F87" s="50">
        <f>Subsurface_Live_Data!O87+Subsurface_Inputs!$C$56*SIN(2*PI()*A87/47)</f>
        <v/>
      </c>
      <c r="G87" s="50">
        <f>-55+3*SIN(2*PI()*A87/19)</f>
        <v/>
      </c>
    </row>
    <row r="88">
      <c r="A88" s="50">
        <f>Subsurface_Live_Data!A88</f>
        <v/>
      </c>
      <c r="B88" s="50" t="n">
        <v>0</v>
      </c>
      <c r="C88" s="50">
        <f>Subsurface_Inputs!$C$57+1.5*SIN(2*PI()*A88/35)</f>
        <v/>
      </c>
      <c r="D88" s="50">
        <f>Subsurface_Live_Data!M88+Subsurface_Inputs!$C$56*SIN(2*PI()*A88/31)</f>
        <v/>
      </c>
      <c r="E88" s="50">
        <f>IF(Subsurface_Live_Data!H88&gt;=Subsurface_Inputs!$C$42,Subsurface_Live_Data!N88+Subsurface_Inputs!$C$56*SIN(2*PI()*A88/27),NA())</f>
        <v/>
      </c>
      <c r="F88" s="50">
        <f>Subsurface_Live_Data!O88+Subsurface_Inputs!$C$56*SIN(2*PI()*A88/47)</f>
        <v/>
      </c>
      <c r="G88" s="50">
        <f>-55+3*SIN(2*PI()*A88/19)</f>
        <v/>
      </c>
    </row>
    <row r="89">
      <c r="A89" s="50">
        <f>Subsurface_Live_Data!A89</f>
        <v/>
      </c>
      <c r="B89" s="50" t="n">
        <v>0</v>
      </c>
      <c r="C89" s="50">
        <f>Subsurface_Inputs!$C$57+1.5*SIN(2*PI()*A89/35)</f>
        <v/>
      </c>
      <c r="D89" s="50">
        <f>Subsurface_Live_Data!M89+Subsurface_Inputs!$C$56*SIN(2*PI()*A89/31)</f>
        <v/>
      </c>
      <c r="E89" s="50">
        <f>IF(Subsurface_Live_Data!H89&gt;=Subsurface_Inputs!$C$42,Subsurface_Live_Data!N89+Subsurface_Inputs!$C$56*SIN(2*PI()*A89/27),NA())</f>
        <v/>
      </c>
      <c r="F89" s="50">
        <f>Subsurface_Live_Data!O89+Subsurface_Inputs!$C$56*SIN(2*PI()*A89/47)</f>
        <v/>
      </c>
      <c r="G89" s="50">
        <f>-55+3*SIN(2*PI()*A89/19)</f>
        <v/>
      </c>
    </row>
    <row r="90">
      <c r="A90" s="50">
        <f>Subsurface_Live_Data!A90</f>
        <v/>
      </c>
      <c r="B90" s="50" t="n">
        <v>0</v>
      </c>
      <c r="C90" s="50">
        <f>Subsurface_Inputs!$C$57+1.5*SIN(2*PI()*A90/35)</f>
        <v/>
      </c>
      <c r="D90" s="50">
        <f>Subsurface_Live_Data!M90+Subsurface_Inputs!$C$56*SIN(2*PI()*A90/31)</f>
        <v/>
      </c>
      <c r="E90" s="50">
        <f>IF(Subsurface_Live_Data!H90&gt;=Subsurface_Inputs!$C$42,Subsurface_Live_Data!N90+Subsurface_Inputs!$C$56*SIN(2*PI()*A90/27),NA())</f>
        <v/>
      </c>
      <c r="F90" s="50">
        <f>Subsurface_Live_Data!O90+Subsurface_Inputs!$C$56*SIN(2*PI()*A90/47)</f>
        <v/>
      </c>
      <c r="G90" s="50">
        <f>-55+3*SIN(2*PI()*A90/19)</f>
        <v/>
      </c>
    </row>
    <row r="91">
      <c r="A91" s="50">
        <f>Subsurface_Live_Data!A91</f>
        <v/>
      </c>
      <c r="B91" s="50" t="n">
        <v>0</v>
      </c>
      <c r="C91" s="50">
        <f>Subsurface_Inputs!$C$57+1.5*SIN(2*PI()*A91/35)</f>
        <v/>
      </c>
      <c r="D91" s="50">
        <f>Subsurface_Live_Data!M91+Subsurface_Inputs!$C$56*SIN(2*PI()*A91/31)</f>
        <v/>
      </c>
      <c r="E91" s="50">
        <f>IF(Subsurface_Live_Data!H91&gt;=Subsurface_Inputs!$C$42,Subsurface_Live_Data!N91+Subsurface_Inputs!$C$56*SIN(2*PI()*A91/27),NA())</f>
        <v/>
      </c>
      <c r="F91" s="50">
        <f>Subsurface_Live_Data!O91+Subsurface_Inputs!$C$56*SIN(2*PI()*A91/47)</f>
        <v/>
      </c>
      <c r="G91" s="50">
        <f>-55+3*SIN(2*PI()*A91/19)</f>
        <v/>
      </c>
    </row>
    <row r="92">
      <c r="A92" s="50">
        <f>Subsurface_Live_Data!A92</f>
        <v/>
      </c>
      <c r="B92" s="50" t="n">
        <v>0</v>
      </c>
      <c r="C92" s="50">
        <f>Subsurface_Inputs!$C$57+1.5*SIN(2*PI()*A92/35)</f>
        <v/>
      </c>
      <c r="D92" s="50">
        <f>Subsurface_Live_Data!M92+Subsurface_Inputs!$C$56*SIN(2*PI()*A92/31)</f>
        <v/>
      </c>
      <c r="E92" s="50">
        <f>IF(Subsurface_Live_Data!H92&gt;=Subsurface_Inputs!$C$42,Subsurface_Live_Data!N92+Subsurface_Inputs!$C$56*SIN(2*PI()*A92/27),NA())</f>
        <v/>
      </c>
      <c r="F92" s="50">
        <f>Subsurface_Live_Data!O92+Subsurface_Inputs!$C$56*SIN(2*PI()*A92/47)</f>
        <v/>
      </c>
      <c r="G92" s="50">
        <f>-55+3*SIN(2*PI()*A92/19)</f>
        <v/>
      </c>
    </row>
    <row r="93">
      <c r="A93" s="50">
        <f>Subsurface_Live_Data!A93</f>
        <v/>
      </c>
      <c r="B93" s="50" t="n">
        <v>0</v>
      </c>
      <c r="C93" s="50">
        <f>Subsurface_Inputs!$C$57+1.5*SIN(2*PI()*A93/35)</f>
        <v/>
      </c>
      <c r="D93" s="50">
        <f>Subsurface_Live_Data!M93+Subsurface_Inputs!$C$56*SIN(2*PI()*A93/31)</f>
        <v/>
      </c>
      <c r="E93" s="50">
        <f>IF(Subsurface_Live_Data!H93&gt;=Subsurface_Inputs!$C$42,Subsurface_Live_Data!N93+Subsurface_Inputs!$C$56*SIN(2*PI()*A93/27),NA())</f>
        <v/>
      </c>
      <c r="F93" s="50">
        <f>Subsurface_Live_Data!O93+Subsurface_Inputs!$C$56*SIN(2*PI()*A93/47)</f>
        <v/>
      </c>
      <c r="G93" s="50">
        <f>-55+3*SIN(2*PI()*A93/19)</f>
        <v/>
      </c>
    </row>
    <row r="94">
      <c r="A94" s="50">
        <f>Subsurface_Live_Data!A94</f>
        <v/>
      </c>
      <c r="B94" s="50" t="n">
        <v>0</v>
      </c>
      <c r="C94" s="50">
        <f>Subsurface_Inputs!$C$57+1.5*SIN(2*PI()*A94/35)</f>
        <v/>
      </c>
      <c r="D94" s="50">
        <f>Subsurface_Live_Data!M94+Subsurface_Inputs!$C$56*SIN(2*PI()*A94/31)</f>
        <v/>
      </c>
      <c r="E94" s="50">
        <f>IF(Subsurface_Live_Data!H94&gt;=Subsurface_Inputs!$C$42,Subsurface_Live_Data!N94+Subsurface_Inputs!$C$56*SIN(2*PI()*A94/27),NA())</f>
        <v/>
      </c>
      <c r="F94" s="50">
        <f>Subsurface_Live_Data!O94+Subsurface_Inputs!$C$56*SIN(2*PI()*A94/47)</f>
        <v/>
      </c>
      <c r="G94" s="50">
        <f>-55+3*SIN(2*PI()*A94/19)</f>
        <v/>
      </c>
    </row>
    <row r="95">
      <c r="A95" s="50">
        <f>Subsurface_Live_Data!A95</f>
        <v/>
      </c>
      <c r="B95" s="50" t="n">
        <v>0</v>
      </c>
      <c r="C95" s="50">
        <f>Subsurface_Inputs!$C$57+1.5*SIN(2*PI()*A95/35)</f>
        <v/>
      </c>
      <c r="D95" s="50">
        <f>Subsurface_Live_Data!M95+Subsurface_Inputs!$C$56*SIN(2*PI()*A95/31)</f>
        <v/>
      </c>
      <c r="E95" s="50">
        <f>IF(Subsurface_Live_Data!H95&gt;=Subsurface_Inputs!$C$42,Subsurface_Live_Data!N95+Subsurface_Inputs!$C$56*SIN(2*PI()*A95/27),NA())</f>
        <v/>
      </c>
      <c r="F95" s="50">
        <f>Subsurface_Live_Data!O95+Subsurface_Inputs!$C$56*SIN(2*PI()*A95/47)</f>
        <v/>
      </c>
      <c r="G95" s="50">
        <f>-55+3*SIN(2*PI()*A95/19)</f>
        <v/>
      </c>
    </row>
    <row r="96">
      <c r="A96" s="50">
        <f>Subsurface_Live_Data!A96</f>
        <v/>
      </c>
      <c r="B96" s="50" t="n">
        <v>0</v>
      </c>
      <c r="C96" s="50">
        <f>Subsurface_Inputs!$C$57+1.5*SIN(2*PI()*A96/35)</f>
        <v/>
      </c>
      <c r="D96" s="50">
        <f>Subsurface_Live_Data!M96+Subsurface_Inputs!$C$56*SIN(2*PI()*A96/31)</f>
        <v/>
      </c>
      <c r="E96" s="50">
        <f>IF(Subsurface_Live_Data!H96&gt;=Subsurface_Inputs!$C$42,Subsurface_Live_Data!N96+Subsurface_Inputs!$C$56*SIN(2*PI()*A96/27),NA())</f>
        <v/>
      </c>
      <c r="F96" s="50">
        <f>Subsurface_Live_Data!O96+Subsurface_Inputs!$C$56*SIN(2*PI()*A96/47)</f>
        <v/>
      </c>
      <c r="G96" s="50">
        <f>-55+3*SIN(2*PI()*A96/19)</f>
        <v/>
      </c>
    </row>
    <row r="97">
      <c r="A97" s="50">
        <f>Subsurface_Live_Data!A97</f>
        <v/>
      </c>
      <c r="B97" s="50" t="n">
        <v>0</v>
      </c>
      <c r="C97" s="50">
        <f>Subsurface_Inputs!$C$57+1.5*SIN(2*PI()*A97/35)</f>
        <v/>
      </c>
      <c r="D97" s="50">
        <f>Subsurface_Live_Data!M97+Subsurface_Inputs!$C$56*SIN(2*PI()*A97/31)</f>
        <v/>
      </c>
      <c r="E97" s="50">
        <f>IF(Subsurface_Live_Data!H97&gt;=Subsurface_Inputs!$C$42,Subsurface_Live_Data!N97+Subsurface_Inputs!$C$56*SIN(2*PI()*A97/27),NA())</f>
        <v/>
      </c>
      <c r="F97" s="50">
        <f>Subsurface_Live_Data!O97+Subsurface_Inputs!$C$56*SIN(2*PI()*A97/47)</f>
        <v/>
      </c>
      <c r="G97" s="50">
        <f>-55+3*SIN(2*PI()*A97/19)</f>
        <v/>
      </c>
    </row>
    <row r="98">
      <c r="A98" s="50">
        <f>Subsurface_Live_Data!A98</f>
        <v/>
      </c>
      <c r="B98" s="50" t="n">
        <v>0</v>
      </c>
      <c r="C98" s="50">
        <f>Subsurface_Inputs!$C$57+1.5*SIN(2*PI()*A98/35)</f>
        <v/>
      </c>
      <c r="D98" s="50">
        <f>Subsurface_Live_Data!M98+Subsurface_Inputs!$C$56*SIN(2*PI()*A98/31)</f>
        <v/>
      </c>
      <c r="E98" s="50">
        <f>IF(Subsurface_Live_Data!H98&gt;=Subsurface_Inputs!$C$42,Subsurface_Live_Data!N98+Subsurface_Inputs!$C$56*SIN(2*PI()*A98/27),NA())</f>
        <v/>
      </c>
      <c r="F98" s="50">
        <f>Subsurface_Live_Data!O98+Subsurface_Inputs!$C$56*SIN(2*PI()*A98/47)</f>
        <v/>
      </c>
      <c r="G98" s="50">
        <f>-55+3*SIN(2*PI()*A98/19)</f>
        <v/>
      </c>
    </row>
    <row r="99">
      <c r="A99" s="50">
        <f>Subsurface_Live_Data!A99</f>
        <v/>
      </c>
      <c r="B99" s="50" t="n">
        <v>0</v>
      </c>
      <c r="C99" s="50">
        <f>Subsurface_Inputs!$C$57+1.5*SIN(2*PI()*A99/35)</f>
        <v/>
      </c>
      <c r="D99" s="50">
        <f>Subsurface_Live_Data!M99+Subsurface_Inputs!$C$56*SIN(2*PI()*A99/31)</f>
        <v/>
      </c>
      <c r="E99" s="50">
        <f>IF(Subsurface_Live_Data!H99&gt;=Subsurface_Inputs!$C$42,Subsurface_Live_Data!N99+Subsurface_Inputs!$C$56*SIN(2*PI()*A99/27),NA())</f>
        <v/>
      </c>
      <c r="F99" s="50">
        <f>Subsurface_Live_Data!O99+Subsurface_Inputs!$C$56*SIN(2*PI()*A99/47)</f>
        <v/>
      </c>
      <c r="G99" s="50">
        <f>-55+3*SIN(2*PI()*A99/19)</f>
        <v/>
      </c>
    </row>
    <row r="100">
      <c r="A100" s="50">
        <f>Subsurface_Live_Data!A100</f>
        <v/>
      </c>
      <c r="B100" s="50" t="n">
        <v>0</v>
      </c>
      <c r="C100" s="50">
        <f>Subsurface_Inputs!$C$57+1.5*SIN(2*PI()*A100/35)</f>
        <v/>
      </c>
      <c r="D100" s="50">
        <f>Subsurface_Live_Data!M100+Subsurface_Inputs!$C$56*SIN(2*PI()*A100/31)</f>
        <v/>
      </c>
      <c r="E100" s="50">
        <f>IF(Subsurface_Live_Data!H100&gt;=Subsurface_Inputs!$C$42,Subsurface_Live_Data!N100+Subsurface_Inputs!$C$56*SIN(2*PI()*A100/27),NA())</f>
        <v/>
      </c>
      <c r="F100" s="50">
        <f>Subsurface_Live_Data!O100+Subsurface_Inputs!$C$56*SIN(2*PI()*A100/47)</f>
        <v/>
      </c>
      <c r="G100" s="50">
        <f>-55+3*SIN(2*PI()*A100/19)</f>
        <v/>
      </c>
    </row>
    <row r="101">
      <c r="A101" s="50">
        <f>Subsurface_Live_Data!A101</f>
        <v/>
      </c>
      <c r="B101" s="50" t="n">
        <v>0</v>
      </c>
      <c r="C101" s="50">
        <f>Subsurface_Inputs!$C$57+1.5*SIN(2*PI()*A101/35)</f>
        <v/>
      </c>
      <c r="D101" s="50">
        <f>Subsurface_Live_Data!M101+Subsurface_Inputs!$C$56*SIN(2*PI()*A101/31)</f>
        <v/>
      </c>
      <c r="E101" s="50">
        <f>IF(Subsurface_Live_Data!H101&gt;=Subsurface_Inputs!$C$42,Subsurface_Live_Data!N101+Subsurface_Inputs!$C$56*SIN(2*PI()*A101/27),NA())</f>
        <v/>
      </c>
      <c r="F101" s="50">
        <f>Subsurface_Live_Data!O101+Subsurface_Inputs!$C$56*SIN(2*PI()*A101/47)</f>
        <v/>
      </c>
      <c r="G101" s="50">
        <f>-55+3*SIN(2*PI()*A101/19)</f>
        <v/>
      </c>
    </row>
    <row r="102">
      <c r="A102" s="50">
        <f>Subsurface_Live_Data!A102</f>
        <v/>
      </c>
      <c r="B102" s="50" t="n">
        <v>0</v>
      </c>
      <c r="C102" s="50">
        <f>Subsurface_Inputs!$C$57+1.5*SIN(2*PI()*A102/35)</f>
        <v/>
      </c>
      <c r="D102" s="50">
        <f>Subsurface_Live_Data!M102+Subsurface_Inputs!$C$56*SIN(2*PI()*A102/31)</f>
        <v/>
      </c>
      <c r="E102" s="50">
        <f>IF(Subsurface_Live_Data!H102&gt;=Subsurface_Inputs!$C$42,Subsurface_Live_Data!N102+Subsurface_Inputs!$C$56*SIN(2*PI()*A102/27),NA())</f>
        <v/>
      </c>
      <c r="F102" s="50">
        <f>Subsurface_Live_Data!O102+Subsurface_Inputs!$C$56*SIN(2*PI()*A102/47)</f>
        <v/>
      </c>
      <c r="G102" s="50">
        <f>-55+3*SIN(2*PI()*A102/19)</f>
        <v/>
      </c>
    </row>
    <row r="103">
      <c r="A103" s="50">
        <f>Subsurface_Live_Data!A103</f>
        <v/>
      </c>
      <c r="B103" s="50" t="n">
        <v>0</v>
      </c>
      <c r="C103" s="50">
        <f>Subsurface_Inputs!$C$57+1.5*SIN(2*PI()*A103/35)</f>
        <v/>
      </c>
      <c r="D103" s="50">
        <f>Subsurface_Live_Data!M103+Subsurface_Inputs!$C$56*SIN(2*PI()*A103/31)</f>
        <v/>
      </c>
      <c r="E103" s="50">
        <f>IF(Subsurface_Live_Data!H103&gt;=Subsurface_Inputs!$C$42,Subsurface_Live_Data!N103+Subsurface_Inputs!$C$56*SIN(2*PI()*A103/27),NA())</f>
        <v/>
      </c>
      <c r="F103" s="50">
        <f>Subsurface_Live_Data!O103+Subsurface_Inputs!$C$56*SIN(2*PI()*A103/47)</f>
        <v/>
      </c>
      <c r="G103" s="50">
        <f>-55+3*SIN(2*PI()*A103/19)</f>
        <v/>
      </c>
    </row>
    <row r="104">
      <c r="A104" s="50">
        <f>Subsurface_Live_Data!A104</f>
        <v/>
      </c>
      <c r="B104" s="50" t="n">
        <v>0</v>
      </c>
      <c r="C104" s="50">
        <f>Subsurface_Inputs!$C$57+1.5*SIN(2*PI()*A104/35)</f>
        <v/>
      </c>
      <c r="D104" s="50">
        <f>Subsurface_Live_Data!M104+Subsurface_Inputs!$C$56*SIN(2*PI()*A104/31)</f>
        <v/>
      </c>
      <c r="E104" s="50">
        <f>IF(Subsurface_Live_Data!H104&gt;=Subsurface_Inputs!$C$42,Subsurface_Live_Data!N104+Subsurface_Inputs!$C$56*SIN(2*PI()*A104/27),NA())</f>
        <v/>
      </c>
      <c r="F104" s="50">
        <f>Subsurface_Live_Data!O104+Subsurface_Inputs!$C$56*SIN(2*PI()*A104/47)</f>
        <v/>
      </c>
      <c r="G104" s="50">
        <f>-55+3*SIN(2*PI()*A104/19)</f>
        <v/>
      </c>
    </row>
    <row r="105">
      <c r="A105" s="50">
        <f>Subsurface_Live_Data!A105</f>
        <v/>
      </c>
      <c r="B105" s="50" t="n">
        <v>0</v>
      </c>
      <c r="C105" s="50">
        <f>Subsurface_Inputs!$C$57+1.5*SIN(2*PI()*A105/35)</f>
        <v/>
      </c>
      <c r="D105" s="50">
        <f>Subsurface_Live_Data!M105+Subsurface_Inputs!$C$56*SIN(2*PI()*A105/31)</f>
        <v/>
      </c>
      <c r="E105" s="50">
        <f>IF(Subsurface_Live_Data!H105&gt;=Subsurface_Inputs!$C$42,Subsurface_Live_Data!N105+Subsurface_Inputs!$C$56*SIN(2*PI()*A105/27),NA())</f>
        <v/>
      </c>
      <c r="F105" s="50">
        <f>Subsurface_Live_Data!O105+Subsurface_Inputs!$C$56*SIN(2*PI()*A105/47)</f>
        <v/>
      </c>
      <c r="G105" s="50">
        <f>-55+3*SIN(2*PI()*A105/19)</f>
        <v/>
      </c>
    </row>
    <row r="106">
      <c r="A106" s="50">
        <f>Subsurface_Live_Data!A106</f>
        <v/>
      </c>
      <c r="B106" s="50" t="n">
        <v>0</v>
      </c>
      <c r="C106" s="50">
        <f>Subsurface_Inputs!$C$57+1.5*SIN(2*PI()*A106/35)</f>
        <v/>
      </c>
      <c r="D106" s="50">
        <f>Subsurface_Live_Data!M106+Subsurface_Inputs!$C$56*SIN(2*PI()*A106/31)</f>
        <v/>
      </c>
      <c r="E106" s="50">
        <f>IF(Subsurface_Live_Data!H106&gt;=Subsurface_Inputs!$C$42,Subsurface_Live_Data!N106+Subsurface_Inputs!$C$56*SIN(2*PI()*A106/27),NA())</f>
        <v/>
      </c>
      <c r="F106" s="50">
        <f>Subsurface_Live_Data!O106+Subsurface_Inputs!$C$56*SIN(2*PI()*A106/47)</f>
        <v/>
      </c>
      <c r="G106" s="50">
        <f>-55+3*SIN(2*PI()*A106/19)</f>
        <v/>
      </c>
    </row>
    <row r="107">
      <c r="A107" s="50">
        <f>Subsurface_Live_Data!A107</f>
        <v/>
      </c>
      <c r="B107" s="50" t="n">
        <v>0</v>
      </c>
      <c r="C107" s="50">
        <f>Subsurface_Inputs!$C$57+1.5*SIN(2*PI()*A107/35)</f>
        <v/>
      </c>
      <c r="D107" s="50">
        <f>Subsurface_Live_Data!M107+Subsurface_Inputs!$C$56*SIN(2*PI()*A107/31)</f>
        <v/>
      </c>
      <c r="E107" s="50">
        <f>IF(Subsurface_Live_Data!H107&gt;=Subsurface_Inputs!$C$42,Subsurface_Live_Data!N107+Subsurface_Inputs!$C$56*SIN(2*PI()*A107/27),NA())</f>
        <v/>
      </c>
      <c r="F107" s="50">
        <f>Subsurface_Live_Data!O107+Subsurface_Inputs!$C$56*SIN(2*PI()*A107/47)</f>
        <v/>
      </c>
      <c r="G107" s="50">
        <f>-55+3*SIN(2*PI()*A107/19)</f>
        <v/>
      </c>
    </row>
    <row r="108">
      <c r="A108" s="50">
        <f>Subsurface_Live_Data!A108</f>
        <v/>
      </c>
      <c r="B108" s="50" t="n">
        <v>0</v>
      </c>
      <c r="C108" s="50">
        <f>Subsurface_Inputs!$C$57+1.5*SIN(2*PI()*A108/35)</f>
        <v/>
      </c>
      <c r="D108" s="50">
        <f>Subsurface_Live_Data!M108+Subsurface_Inputs!$C$56*SIN(2*PI()*A108/31)</f>
        <v/>
      </c>
      <c r="E108" s="50">
        <f>IF(Subsurface_Live_Data!H108&gt;=Subsurface_Inputs!$C$42,Subsurface_Live_Data!N108+Subsurface_Inputs!$C$56*SIN(2*PI()*A108/27),NA())</f>
        <v/>
      </c>
      <c r="F108" s="50">
        <f>Subsurface_Live_Data!O108+Subsurface_Inputs!$C$56*SIN(2*PI()*A108/47)</f>
        <v/>
      </c>
      <c r="G108" s="50">
        <f>-55+3*SIN(2*PI()*A108/19)</f>
        <v/>
      </c>
    </row>
    <row r="109">
      <c r="A109" s="50">
        <f>Subsurface_Live_Data!A109</f>
        <v/>
      </c>
      <c r="B109" s="50" t="n">
        <v>0</v>
      </c>
      <c r="C109" s="50">
        <f>Subsurface_Inputs!$C$57+1.5*SIN(2*PI()*A109/35)</f>
        <v/>
      </c>
      <c r="D109" s="50">
        <f>Subsurface_Live_Data!M109+Subsurface_Inputs!$C$56*SIN(2*PI()*A109/31)</f>
        <v/>
      </c>
      <c r="E109" s="50">
        <f>IF(Subsurface_Live_Data!H109&gt;=Subsurface_Inputs!$C$42,Subsurface_Live_Data!N109+Subsurface_Inputs!$C$56*SIN(2*PI()*A109/27),NA())</f>
        <v/>
      </c>
      <c r="F109" s="50">
        <f>Subsurface_Live_Data!O109+Subsurface_Inputs!$C$56*SIN(2*PI()*A109/47)</f>
        <v/>
      </c>
      <c r="G109" s="50">
        <f>-55+3*SIN(2*PI()*A109/19)</f>
        <v/>
      </c>
    </row>
    <row r="110">
      <c r="A110" s="50">
        <f>Subsurface_Live_Data!A110</f>
        <v/>
      </c>
      <c r="B110" s="50" t="n">
        <v>0</v>
      </c>
      <c r="C110" s="50">
        <f>Subsurface_Inputs!$C$57+1.5*SIN(2*PI()*A110/35)</f>
        <v/>
      </c>
      <c r="D110" s="50">
        <f>Subsurface_Live_Data!M110+Subsurface_Inputs!$C$56*SIN(2*PI()*A110/31)</f>
        <v/>
      </c>
      <c r="E110" s="50">
        <f>IF(Subsurface_Live_Data!H110&gt;=Subsurface_Inputs!$C$42,Subsurface_Live_Data!N110+Subsurface_Inputs!$C$56*SIN(2*PI()*A110/27),NA())</f>
        <v/>
      </c>
      <c r="F110" s="50">
        <f>Subsurface_Live_Data!O110+Subsurface_Inputs!$C$56*SIN(2*PI()*A110/47)</f>
        <v/>
      </c>
      <c r="G110" s="50">
        <f>-55+3*SIN(2*PI()*A110/19)</f>
        <v/>
      </c>
    </row>
    <row r="111">
      <c r="A111" s="50">
        <f>Subsurface_Live_Data!A111</f>
        <v/>
      </c>
      <c r="B111" s="50" t="n">
        <v>0</v>
      </c>
      <c r="C111" s="50">
        <f>Subsurface_Inputs!$C$57+1.5*SIN(2*PI()*A111/35)</f>
        <v/>
      </c>
      <c r="D111" s="50">
        <f>Subsurface_Live_Data!M111+Subsurface_Inputs!$C$56*SIN(2*PI()*A111/31)</f>
        <v/>
      </c>
      <c r="E111" s="50">
        <f>IF(Subsurface_Live_Data!H111&gt;=Subsurface_Inputs!$C$42,Subsurface_Live_Data!N111+Subsurface_Inputs!$C$56*SIN(2*PI()*A111/27),NA())</f>
        <v/>
      </c>
      <c r="F111" s="50">
        <f>Subsurface_Live_Data!O111+Subsurface_Inputs!$C$56*SIN(2*PI()*A111/47)</f>
        <v/>
      </c>
      <c r="G111" s="50">
        <f>-55+3*SIN(2*PI()*A111/19)</f>
        <v/>
      </c>
    </row>
    <row r="112">
      <c r="A112" s="50">
        <f>Subsurface_Live_Data!A112</f>
        <v/>
      </c>
      <c r="B112" s="50" t="n">
        <v>0</v>
      </c>
      <c r="C112" s="50">
        <f>Subsurface_Inputs!$C$57+1.5*SIN(2*PI()*A112/35)</f>
        <v/>
      </c>
      <c r="D112" s="50">
        <f>Subsurface_Live_Data!M112+Subsurface_Inputs!$C$56*SIN(2*PI()*A112/31)</f>
        <v/>
      </c>
      <c r="E112" s="50">
        <f>IF(Subsurface_Live_Data!H112&gt;=Subsurface_Inputs!$C$42,Subsurface_Live_Data!N112+Subsurface_Inputs!$C$56*SIN(2*PI()*A112/27),NA())</f>
        <v/>
      </c>
      <c r="F112" s="50">
        <f>Subsurface_Live_Data!O112+Subsurface_Inputs!$C$56*SIN(2*PI()*A112/47)</f>
        <v/>
      </c>
      <c r="G112" s="50">
        <f>-55+3*SIN(2*PI()*A112/19)</f>
        <v/>
      </c>
    </row>
    <row r="113">
      <c r="A113" s="50">
        <f>Subsurface_Live_Data!A113</f>
        <v/>
      </c>
      <c r="B113" s="50" t="n">
        <v>0</v>
      </c>
      <c r="C113" s="50">
        <f>Subsurface_Inputs!$C$57+1.5*SIN(2*PI()*A113/35)</f>
        <v/>
      </c>
      <c r="D113" s="50">
        <f>Subsurface_Live_Data!M113+Subsurface_Inputs!$C$56*SIN(2*PI()*A113/31)</f>
        <v/>
      </c>
      <c r="E113" s="50">
        <f>IF(Subsurface_Live_Data!H113&gt;=Subsurface_Inputs!$C$42,Subsurface_Live_Data!N113+Subsurface_Inputs!$C$56*SIN(2*PI()*A113/27),NA())</f>
        <v/>
      </c>
      <c r="F113" s="50">
        <f>Subsurface_Live_Data!O113+Subsurface_Inputs!$C$56*SIN(2*PI()*A113/47)</f>
        <v/>
      </c>
      <c r="G113" s="50">
        <f>-55+3*SIN(2*PI()*A113/19)</f>
        <v/>
      </c>
    </row>
    <row r="114">
      <c r="A114" s="50">
        <f>Subsurface_Live_Data!A114</f>
        <v/>
      </c>
      <c r="B114" s="50" t="n">
        <v>0</v>
      </c>
      <c r="C114" s="50">
        <f>Subsurface_Inputs!$C$57+1.5*SIN(2*PI()*A114/35)</f>
        <v/>
      </c>
      <c r="D114" s="50">
        <f>Subsurface_Live_Data!M114+Subsurface_Inputs!$C$56*SIN(2*PI()*A114/31)</f>
        <v/>
      </c>
      <c r="E114" s="50">
        <f>IF(Subsurface_Live_Data!H114&gt;=Subsurface_Inputs!$C$42,Subsurface_Live_Data!N114+Subsurface_Inputs!$C$56*SIN(2*PI()*A114/27),NA())</f>
        <v/>
      </c>
      <c r="F114" s="50">
        <f>Subsurface_Live_Data!O114+Subsurface_Inputs!$C$56*SIN(2*PI()*A114/47)</f>
        <v/>
      </c>
      <c r="G114" s="50">
        <f>-55+3*SIN(2*PI()*A114/19)</f>
        <v/>
      </c>
    </row>
    <row r="115">
      <c r="A115" s="50">
        <f>Subsurface_Live_Data!A115</f>
        <v/>
      </c>
      <c r="B115" s="50" t="n">
        <v>0</v>
      </c>
      <c r="C115" s="50">
        <f>Subsurface_Inputs!$C$57+1.5*SIN(2*PI()*A115/35)</f>
        <v/>
      </c>
      <c r="D115" s="50">
        <f>Subsurface_Live_Data!M115+Subsurface_Inputs!$C$56*SIN(2*PI()*A115/31)</f>
        <v/>
      </c>
      <c r="E115" s="50">
        <f>IF(Subsurface_Live_Data!H115&gt;=Subsurface_Inputs!$C$42,Subsurface_Live_Data!N115+Subsurface_Inputs!$C$56*SIN(2*PI()*A115/27),NA())</f>
        <v/>
      </c>
      <c r="F115" s="50">
        <f>Subsurface_Live_Data!O115+Subsurface_Inputs!$C$56*SIN(2*PI()*A115/47)</f>
        <v/>
      </c>
      <c r="G115" s="50">
        <f>-55+3*SIN(2*PI()*A115/19)</f>
        <v/>
      </c>
    </row>
    <row r="116">
      <c r="A116" s="50">
        <f>Subsurface_Live_Data!A116</f>
        <v/>
      </c>
      <c r="B116" s="50" t="n">
        <v>0</v>
      </c>
      <c r="C116" s="50">
        <f>Subsurface_Inputs!$C$57+1.5*SIN(2*PI()*A116/35)</f>
        <v/>
      </c>
      <c r="D116" s="50">
        <f>Subsurface_Live_Data!M116+Subsurface_Inputs!$C$56*SIN(2*PI()*A116/31)</f>
        <v/>
      </c>
      <c r="E116" s="50">
        <f>IF(Subsurface_Live_Data!H116&gt;=Subsurface_Inputs!$C$42,Subsurface_Live_Data!N116+Subsurface_Inputs!$C$56*SIN(2*PI()*A116/27),NA())</f>
        <v/>
      </c>
      <c r="F116" s="50">
        <f>Subsurface_Live_Data!O116+Subsurface_Inputs!$C$56*SIN(2*PI()*A116/47)</f>
        <v/>
      </c>
      <c r="G116" s="50">
        <f>-55+3*SIN(2*PI()*A116/19)</f>
        <v/>
      </c>
    </row>
    <row r="117">
      <c r="A117" s="50">
        <f>Subsurface_Live_Data!A117</f>
        <v/>
      </c>
      <c r="B117" s="50" t="n">
        <v>0</v>
      </c>
      <c r="C117" s="50">
        <f>Subsurface_Inputs!$C$57+1.5*SIN(2*PI()*A117/35)</f>
        <v/>
      </c>
      <c r="D117" s="50">
        <f>Subsurface_Live_Data!M117+Subsurface_Inputs!$C$56*SIN(2*PI()*A117/31)</f>
        <v/>
      </c>
      <c r="E117" s="50">
        <f>IF(Subsurface_Live_Data!H117&gt;=Subsurface_Inputs!$C$42,Subsurface_Live_Data!N117+Subsurface_Inputs!$C$56*SIN(2*PI()*A117/27),NA())</f>
        <v/>
      </c>
      <c r="F117" s="50">
        <f>Subsurface_Live_Data!O117+Subsurface_Inputs!$C$56*SIN(2*PI()*A117/47)</f>
        <v/>
      </c>
      <c r="G117" s="50">
        <f>-55+3*SIN(2*PI()*A117/19)</f>
        <v/>
      </c>
    </row>
    <row r="118">
      <c r="A118" s="50">
        <f>Subsurface_Live_Data!A118</f>
        <v/>
      </c>
      <c r="B118" s="50" t="n">
        <v>0</v>
      </c>
      <c r="C118" s="50">
        <f>Subsurface_Inputs!$C$57+1.5*SIN(2*PI()*A118/35)</f>
        <v/>
      </c>
      <c r="D118" s="50">
        <f>Subsurface_Live_Data!M118+Subsurface_Inputs!$C$56*SIN(2*PI()*A118/31)</f>
        <v/>
      </c>
      <c r="E118" s="50">
        <f>IF(Subsurface_Live_Data!H118&gt;=Subsurface_Inputs!$C$42,Subsurface_Live_Data!N118+Subsurface_Inputs!$C$56*SIN(2*PI()*A118/27),NA())</f>
        <v/>
      </c>
      <c r="F118" s="50">
        <f>Subsurface_Live_Data!O118+Subsurface_Inputs!$C$56*SIN(2*PI()*A118/47)</f>
        <v/>
      </c>
      <c r="G118" s="50">
        <f>-55+3*SIN(2*PI()*A118/19)</f>
        <v/>
      </c>
    </row>
    <row r="119">
      <c r="A119" s="50">
        <f>Subsurface_Live_Data!A119</f>
        <v/>
      </c>
      <c r="B119" s="50" t="n">
        <v>0</v>
      </c>
      <c r="C119" s="50">
        <f>Subsurface_Inputs!$C$57+1.5*SIN(2*PI()*A119/35)</f>
        <v/>
      </c>
      <c r="D119" s="50">
        <f>Subsurface_Live_Data!M119+Subsurface_Inputs!$C$56*SIN(2*PI()*A119/31)</f>
        <v/>
      </c>
      <c r="E119" s="50">
        <f>IF(Subsurface_Live_Data!H119&gt;=Subsurface_Inputs!$C$42,Subsurface_Live_Data!N119+Subsurface_Inputs!$C$56*SIN(2*PI()*A119/27),NA())</f>
        <v/>
      </c>
      <c r="F119" s="50">
        <f>Subsurface_Live_Data!O119+Subsurface_Inputs!$C$56*SIN(2*PI()*A119/47)</f>
        <v/>
      </c>
      <c r="G119" s="50">
        <f>-55+3*SIN(2*PI()*A119/19)</f>
        <v/>
      </c>
    </row>
    <row r="120">
      <c r="A120" s="50">
        <f>Subsurface_Live_Data!A120</f>
        <v/>
      </c>
      <c r="B120" s="50" t="n">
        <v>0</v>
      </c>
      <c r="C120" s="50">
        <f>Subsurface_Inputs!$C$57+1.5*SIN(2*PI()*A120/35)</f>
        <v/>
      </c>
      <c r="D120" s="50">
        <f>Subsurface_Live_Data!M120+Subsurface_Inputs!$C$56*SIN(2*PI()*A120/31)</f>
        <v/>
      </c>
      <c r="E120" s="50">
        <f>IF(Subsurface_Live_Data!H120&gt;=Subsurface_Inputs!$C$42,Subsurface_Live_Data!N120+Subsurface_Inputs!$C$56*SIN(2*PI()*A120/27),NA())</f>
        <v/>
      </c>
      <c r="F120" s="50">
        <f>Subsurface_Live_Data!O120+Subsurface_Inputs!$C$56*SIN(2*PI()*A120/47)</f>
        <v/>
      </c>
      <c r="G120" s="50">
        <f>-55+3*SIN(2*PI()*A120/19)</f>
        <v/>
      </c>
    </row>
    <row r="121">
      <c r="A121" s="50">
        <f>Subsurface_Live_Data!A121</f>
        <v/>
      </c>
      <c r="B121" s="50" t="n">
        <v>0</v>
      </c>
      <c r="C121" s="50">
        <f>Subsurface_Inputs!$C$57+1.5*SIN(2*PI()*A121/35)</f>
        <v/>
      </c>
      <c r="D121" s="50">
        <f>Subsurface_Live_Data!M121+Subsurface_Inputs!$C$56*SIN(2*PI()*A121/31)</f>
        <v/>
      </c>
      <c r="E121" s="50">
        <f>IF(Subsurface_Live_Data!H121&gt;=Subsurface_Inputs!$C$42,Subsurface_Live_Data!N121+Subsurface_Inputs!$C$56*SIN(2*PI()*A121/27),NA())</f>
        <v/>
      </c>
      <c r="F121" s="50">
        <f>Subsurface_Live_Data!O121+Subsurface_Inputs!$C$56*SIN(2*PI()*A121/47)</f>
        <v/>
      </c>
      <c r="G121" s="50">
        <f>-55+3*SIN(2*PI()*A121/19)</f>
        <v/>
      </c>
    </row>
    <row r="122">
      <c r="A122" s="50">
        <f>Subsurface_Live_Data!A122</f>
        <v/>
      </c>
      <c r="B122" s="50" t="n">
        <v>0</v>
      </c>
      <c r="C122" s="50">
        <f>Subsurface_Inputs!$C$57+1.5*SIN(2*PI()*A122/35)</f>
        <v/>
      </c>
      <c r="D122" s="50">
        <f>Subsurface_Live_Data!M122+Subsurface_Inputs!$C$56*SIN(2*PI()*A122/31)</f>
        <v/>
      </c>
      <c r="E122" s="50">
        <f>IF(Subsurface_Live_Data!H122&gt;=Subsurface_Inputs!$C$42,Subsurface_Live_Data!N122+Subsurface_Inputs!$C$56*SIN(2*PI()*A122/27),NA())</f>
        <v/>
      </c>
      <c r="F122" s="50">
        <f>Subsurface_Live_Data!O122+Subsurface_Inputs!$C$56*SIN(2*PI()*A122/47)</f>
        <v/>
      </c>
      <c r="G122" s="50">
        <f>-55+3*SIN(2*PI()*A122/19)</f>
        <v/>
      </c>
    </row>
    <row r="123">
      <c r="A123" s="50">
        <f>Subsurface_Live_Data!A123</f>
        <v/>
      </c>
      <c r="B123" s="50" t="n">
        <v>0</v>
      </c>
      <c r="C123" s="50">
        <f>Subsurface_Inputs!$C$57+1.5*SIN(2*PI()*A123/35)</f>
        <v/>
      </c>
      <c r="D123" s="50">
        <f>Subsurface_Live_Data!M123+Subsurface_Inputs!$C$56*SIN(2*PI()*A123/31)</f>
        <v/>
      </c>
      <c r="E123" s="50">
        <f>IF(Subsurface_Live_Data!H123&gt;=Subsurface_Inputs!$C$42,Subsurface_Live_Data!N123+Subsurface_Inputs!$C$56*SIN(2*PI()*A123/27),NA())</f>
        <v/>
      </c>
      <c r="F123" s="50">
        <f>Subsurface_Live_Data!O123+Subsurface_Inputs!$C$56*SIN(2*PI()*A123/47)</f>
        <v/>
      </c>
      <c r="G123" s="50">
        <f>-55+3*SIN(2*PI()*A123/19)</f>
        <v/>
      </c>
    </row>
    <row r="124">
      <c r="A124" s="50">
        <f>Subsurface_Live_Data!A124</f>
        <v/>
      </c>
      <c r="B124" s="50" t="n">
        <v>0</v>
      </c>
      <c r="C124" s="50">
        <f>Subsurface_Inputs!$C$57+1.5*SIN(2*PI()*A124/35)</f>
        <v/>
      </c>
      <c r="D124" s="50">
        <f>Subsurface_Live_Data!M124+Subsurface_Inputs!$C$56*SIN(2*PI()*A124/31)</f>
        <v/>
      </c>
      <c r="E124" s="50">
        <f>IF(Subsurface_Live_Data!H124&gt;=Subsurface_Inputs!$C$42,Subsurface_Live_Data!N124+Subsurface_Inputs!$C$56*SIN(2*PI()*A124/27),NA())</f>
        <v/>
      </c>
      <c r="F124" s="50">
        <f>Subsurface_Live_Data!O124+Subsurface_Inputs!$C$56*SIN(2*PI()*A124/47)</f>
        <v/>
      </c>
      <c r="G124" s="50">
        <f>-55+3*SIN(2*PI()*A124/19)</f>
        <v/>
      </c>
    </row>
    <row r="125">
      <c r="A125" s="50">
        <f>Subsurface_Live_Data!A125</f>
        <v/>
      </c>
      <c r="B125" s="50" t="n">
        <v>0</v>
      </c>
      <c r="C125" s="50">
        <f>Subsurface_Inputs!$C$57+1.5*SIN(2*PI()*A125/35)</f>
        <v/>
      </c>
      <c r="D125" s="50">
        <f>Subsurface_Live_Data!M125+Subsurface_Inputs!$C$56*SIN(2*PI()*A125/31)</f>
        <v/>
      </c>
      <c r="E125" s="50">
        <f>IF(Subsurface_Live_Data!H125&gt;=Subsurface_Inputs!$C$42,Subsurface_Live_Data!N125+Subsurface_Inputs!$C$56*SIN(2*PI()*A125/27),NA())</f>
        <v/>
      </c>
      <c r="F125" s="50">
        <f>Subsurface_Live_Data!O125+Subsurface_Inputs!$C$56*SIN(2*PI()*A125/47)</f>
        <v/>
      </c>
      <c r="G125" s="50">
        <f>-55+3*SIN(2*PI()*A125/19)</f>
        <v/>
      </c>
    </row>
    <row r="126">
      <c r="A126" s="50">
        <f>Subsurface_Live_Data!A126</f>
        <v/>
      </c>
      <c r="B126" s="50" t="n">
        <v>0</v>
      </c>
      <c r="C126" s="50">
        <f>Subsurface_Inputs!$C$57+1.5*SIN(2*PI()*A126/35)</f>
        <v/>
      </c>
      <c r="D126" s="50">
        <f>Subsurface_Live_Data!M126+Subsurface_Inputs!$C$56*SIN(2*PI()*A126/31)</f>
        <v/>
      </c>
      <c r="E126" s="50">
        <f>IF(Subsurface_Live_Data!H126&gt;=Subsurface_Inputs!$C$42,Subsurface_Live_Data!N126+Subsurface_Inputs!$C$56*SIN(2*PI()*A126/27),NA())</f>
        <v/>
      </c>
      <c r="F126" s="50">
        <f>Subsurface_Live_Data!O126+Subsurface_Inputs!$C$56*SIN(2*PI()*A126/47)</f>
        <v/>
      </c>
      <c r="G126" s="50">
        <f>-55+3*SIN(2*PI()*A126/19)</f>
        <v/>
      </c>
    </row>
    <row r="127">
      <c r="A127" s="50">
        <f>Subsurface_Live_Data!A127</f>
        <v/>
      </c>
      <c r="B127" s="50" t="n">
        <v>0</v>
      </c>
      <c r="C127" s="50">
        <f>Subsurface_Inputs!$C$57+1.5*SIN(2*PI()*A127/35)</f>
        <v/>
      </c>
      <c r="D127" s="50">
        <f>Subsurface_Live_Data!M127+Subsurface_Inputs!$C$56*SIN(2*PI()*A127/31)</f>
        <v/>
      </c>
      <c r="E127" s="50">
        <f>IF(Subsurface_Live_Data!H127&gt;=Subsurface_Inputs!$C$42,Subsurface_Live_Data!N127+Subsurface_Inputs!$C$56*SIN(2*PI()*A127/27),NA())</f>
        <v/>
      </c>
      <c r="F127" s="50">
        <f>Subsurface_Live_Data!O127+Subsurface_Inputs!$C$56*SIN(2*PI()*A127/47)</f>
        <v/>
      </c>
      <c r="G127" s="50">
        <f>-55+3*SIN(2*PI()*A127/19)</f>
        <v/>
      </c>
    </row>
    <row r="128">
      <c r="A128" s="50">
        <f>Subsurface_Live_Data!A128</f>
        <v/>
      </c>
      <c r="B128" s="50" t="n">
        <v>0</v>
      </c>
      <c r="C128" s="50">
        <f>Subsurface_Inputs!$C$57+1.5*SIN(2*PI()*A128/35)</f>
        <v/>
      </c>
      <c r="D128" s="50">
        <f>Subsurface_Live_Data!M128+Subsurface_Inputs!$C$56*SIN(2*PI()*A128/31)</f>
        <v/>
      </c>
      <c r="E128" s="50">
        <f>IF(Subsurface_Live_Data!H128&gt;=Subsurface_Inputs!$C$42,Subsurface_Live_Data!N128+Subsurface_Inputs!$C$56*SIN(2*PI()*A128/27),NA())</f>
        <v/>
      </c>
      <c r="F128" s="50">
        <f>Subsurface_Live_Data!O128+Subsurface_Inputs!$C$56*SIN(2*PI()*A128/47)</f>
        <v/>
      </c>
      <c r="G128" s="50">
        <f>-55+3*SIN(2*PI()*A128/19)</f>
        <v/>
      </c>
    </row>
    <row r="129">
      <c r="A129" s="50">
        <f>Subsurface_Live_Data!A129</f>
        <v/>
      </c>
      <c r="B129" s="50" t="n">
        <v>0</v>
      </c>
      <c r="C129" s="50">
        <f>Subsurface_Inputs!$C$57+1.5*SIN(2*PI()*A129/35)</f>
        <v/>
      </c>
      <c r="D129" s="50">
        <f>Subsurface_Live_Data!M129+Subsurface_Inputs!$C$56*SIN(2*PI()*A129/31)</f>
        <v/>
      </c>
      <c r="E129" s="50">
        <f>IF(Subsurface_Live_Data!H129&gt;=Subsurface_Inputs!$C$42,Subsurface_Live_Data!N129+Subsurface_Inputs!$C$56*SIN(2*PI()*A129/27),NA())</f>
        <v/>
      </c>
      <c r="F129" s="50">
        <f>Subsurface_Live_Data!O129+Subsurface_Inputs!$C$56*SIN(2*PI()*A129/47)</f>
        <v/>
      </c>
      <c r="G129" s="50">
        <f>-55+3*SIN(2*PI()*A129/19)</f>
        <v/>
      </c>
    </row>
    <row r="130">
      <c r="A130" s="50">
        <f>Subsurface_Live_Data!A130</f>
        <v/>
      </c>
      <c r="B130" s="50" t="n">
        <v>0</v>
      </c>
      <c r="C130" s="50">
        <f>Subsurface_Inputs!$C$57+1.5*SIN(2*PI()*A130/35)</f>
        <v/>
      </c>
      <c r="D130" s="50">
        <f>Subsurface_Live_Data!M130+Subsurface_Inputs!$C$56*SIN(2*PI()*A130/31)</f>
        <v/>
      </c>
      <c r="E130" s="50">
        <f>IF(Subsurface_Live_Data!H130&gt;=Subsurface_Inputs!$C$42,Subsurface_Live_Data!N130+Subsurface_Inputs!$C$56*SIN(2*PI()*A130/27),NA())</f>
        <v/>
      </c>
      <c r="F130" s="50">
        <f>Subsurface_Live_Data!O130+Subsurface_Inputs!$C$56*SIN(2*PI()*A130/47)</f>
        <v/>
      </c>
      <c r="G130" s="50">
        <f>-55+3*SIN(2*PI()*A130/19)</f>
        <v/>
      </c>
    </row>
    <row r="131">
      <c r="A131" s="50">
        <f>Subsurface_Live_Data!A131</f>
        <v/>
      </c>
      <c r="B131" s="50" t="n">
        <v>0</v>
      </c>
      <c r="C131" s="50">
        <f>Subsurface_Inputs!$C$57+1.5*SIN(2*PI()*A131/35)</f>
        <v/>
      </c>
      <c r="D131" s="50">
        <f>Subsurface_Live_Data!M131+Subsurface_Inputs!$C$56*SIN(2*PI()*A131/31)</f>
        <v/>
      </c>
      <c r="E131" s="50">
        <f>IF(Subsurface_Live_Data!H131&gt;=Subsurface_Inputs!$C$42,Subsurface_Live_Data!N131+Subsurface_Inputs!$C$56*SIN(2*PI()*A131/27),NA())</f>
        <v/>
      </c>
      <c r="F131" s="50">
        <f>Subsurface_Live_Data!O131+Subsurface_Inputs!$C$56*SIN(2*PI()*A131/47)</f>
        <v/>
      </c>
      <c r="G131" s="50">
        <f>-55+3*SIN(2*PI()*A131/19)</f>
        <v/>
      </c>
    </row>
    <row r="132">
      <c r="A132" s="50">
        <f>Subsurface_Live_Data!A132</f>
        <v/>
      </c>
      <c r="B132" s="50" t="n">
        <v>0</v>
      </c>
      <c r="C132" s="50">
        <f>Subsurface_Inputs!$C$57+1.5*SIN(2*PI()*A132/35)</f>
        <v/>
      </c>
      <c r="D132" s="50">
        <f>Subsurface_Live_Data!M132+Subsurface_Inputs!$C$56*SIN(2*PI()*A132/31)</f>
        <v/>
      </c>
      <c r="E132" s="50">
        <f>IF(Subsurface_Live_Data!H132&gt;=Subsurface_Inputs!$C$42,Subsurface_Live_Data!N132+Subsurface_Inputs!$C$56*SIN(2*PI()*A132/27),NA())</f>
        <v/>
      </c>
      <c r="F132" s="50">
        <f>Subsurface_Live_Data!O132+Subsurface_Inputs!$C$56*SIN(2*PI()*A132/47)</f>
        <v/>
      </c>
      <c r="G132" s="50">
        <f>-55+3*SIN(2*PI()*A132/19)</f>
        <v/>
      </c>
    </row>
    <row r="133">
      <c r="A133" s="50">
        <f>Subsurface_Live_Data!A133</f>
        <v/>
      </c>
      <c r="B133" s="50" t="n">
        <v>0</v>
      </c>
      <c r="C133" s="50">
        <f>Subsurface_Inputs!$C$57+1.5*SIN(2*PI()*A133/35)</f>
        <v/>
      </c>
      <c r="D133" s="50">
        <f>Subsurface_Live_Data!M133+Subsurface_Inputs!$C$56*SIN(2*PI()*A133/31)</f>
        <v/>
      </c>
      <c r="E133" s="50">
        <f>IF(Subsurface_Live_Data!H133&gt;=Subsurface_Inputs!$C$42,Subsurface_Live_Data!N133+Subsurface_Inputs!$C$56*SIN(2*PI()*A133/27),NA())</f>
        <v/>
      </c>
      <c r="F133" s="50">
        <f>Subsurface_Live_Data!O133+Subsurface_Inputs!$C$56*SIN(2*PI()*A133/47)</f>
        <v/>
      </c>
      <c r="G133" s="50">
        <f>-55+3*SIN(2*PI()*A133/19)</f>
        <v/>
      </c>
    </row>
    <row r="134">
      <c r="A134" s="50">
        <f>Subsurface_Live_Data!A134</f>
        <v/>
      </c>
      <c r="B134" s="50" t="n">
        <v>0</v>
      </c>
      <c r="C134" s="50">
        <f>Subsurface_Inputs!$C$57+1.5*SIN(2*PI()*A134/35)</f>
        <v/>
      </c>
      <c r="D134" s="50">
        <f>Subsurface_Live_Data!M134+Subsurface_Inputs!$C$56*SIN(2*PI()*A134/31)</f>
        <v/>
      </c>
      <c r="E134" s="50">
        <f>IF(Subsurface_Live_Data!H134&gt;=Subsurface_Inputs!$C$42,Subsurface_Live_Data!N134+Subsurface_Inputs!$C$56*SIN(2*PI()*A134/27),NA())</f>
        <v/>
      </c>
      <c r="F134" s="50">
        <f>Subsurface_Live_Data!O134+Subsurface_Inputs!$C$56*SIN(2*PI()*A134/47)</f>
        <v/>
      </c>
      <c r="G134" s="50">
        <f>-55+3*SIN(2*PI()*A134/19)</f>
        <v/>
      </c>
    </row>
    <row r="135">
      <c r="A135" s="50">
        <f>Subsurface_Live_Data!A135</f>
        <v/>
      </c>
      <c r="B135" s="50" t="n">
        <v>0</v>
      </c>
      <c r="C135" s="50">
        <f>Subsurface_Inputs!$C$57+1.5*SIN(2*PI()*A135/35)</f>
        <v/>
      </c>
      <c r="D135" s="50">
        <f>Subsurface_Live_Data!M135+Subsurface_Inputs!$C$56*SIN(2*PI()*A135/31)</f>
        <v/>
      </c>
      <c r="E135" s="50">
        <f>IF(Subsurface_Live_Data!H135&gt;=Subsurface_Inputs!$C$42,Subsurface_Live_Data!N135+Subsurface_Inputs!$C$56*SIN(2*PI()*A135/27),NA())</f>
        <v/>
      </c>
      <c r="F135" s="50">
        <f>Subsurface_Live_Data!O135+Subsurface_Inputs!$C$56*SIN(2*PI()*A135/47)</f>
        <v/>
      </c>
      <c r="G135" s="50">
        <f>-55+3*SIN(2*PI()*A135/19)</f>
        <v/>
      </c>
    </row>
    <row r="136">
      <c r="A136" s="50">
        <f>Subsurface_Live_Data!A136</f>
        <v/>
      </c>
      <c r="B136" s="50" t="n">
        <v>0</v>
      </c>
      <c r="C136" s="50">
        <f>Subsurface_Inputs!$C$57+1.5*SIN(2*PI()*A136/35)</f>
        <v/>
      </c>
      <c r="D136" s="50">
        <f>Subsurface_Live_Data!M136+Subsurface_Inputs!$C$56*SIN(2*PI()*A136/31)</f>
        <v/>
      </c>
      <c r="E136" s="50">
        <f>IF(Subsurface_Live_Data!H136&gt;=Subsurface_Inputs!$C$42,Subsurface_Live_Data!N136+Subsurface_Inputs!$C$56*SIN(2*PI()*A136/27),NA())</f>
        <v/>
      </c>
      <c r="F136" s="50">
        <f>Subsurface_Live_Data!O136+Subsurface_Inputs!$C$56*SIN(2*PI()*A136/47)</f>
        <v/>
      </c>
      <c r="G136" s="50">
        <f>-55+3*SIN(2*PI()*A136/19)</f>
        <v/>
      </c>
    </row>
    <row r="137">
      <c r="A137" s="50">
        <f>Subsurface_Live_Data!A137</f>
        <v/>
      </c>
      <c r="B137" s="50" t="n">
        <v>0</v>
      </c>
      <c r="C137" s="50">
        <f>Subsurface_Inputs!$C$57+1.5*SIN(2*PI()*A137/35)</f>
        <v/>
      </c>
      <c r="D137" s="50">
        <f>Subsurface_Live_Data!M137+Subsurface_Inputs!$C$56*SIN(2*PI()*A137/31)</f>
        <v/>
      </c>
      <c r="E137" s="50">
        <f>IF(Subsurface_Live_Data!H137&gt;=Subsurface_Inputs!$C$42,Subsurface_Live_Data!N137+Subsurface_Inputs!$C$56*SIN(2*PI()*A137/27),NA())</f>
        <v/>
      </c>
      <c r="F137" s="50">
        <f>Subsurface_Live_Data!O137+Subsurface_Inputs!$C$56*SIN(2*PI()*A137/47)</f>
        <v/>
      </c>
      <c r="G137" s="50">
        <f>-55+3*SIN(2*PI()*A137/19)</f>
        <v/>
      </c>
    </row>
    <row r="138">
      <c r="A138" s="50">
        <f>Subsurface_Live_Data!A138</f>
        <v/>
      </c>
      <c r="B138" s="50" t="n">
        <v>0</v>
      </c>
      <c r="C138" s="50">
        <f>Subsurface_Inputs!$C$57+1.5*SIN(2*PI()*A138/35)</f>
        <v/>
      </c>
      <c r="D138" s="50">
        <f>Subsurface_Live_Data!M138+Subsurface_Inputs!$C$56*SIN(2*PI()*A138/31)</f>
        <v/>
      </c>
      <c r="E138" s="50">
        <f>IF(Subsurface_Live_Data!H138&gt;=Subsurface_Inputs!$C$42,Subsurface_Live_Data!N138+Subsurface_Inputs!$C$56*SIN(2*PI()*A138/27),NA())</f>
        <v/>
      </c>
      <c r="F138" s="50">
        <f>Subsurface_Live_Data!O138+Subsurface_Inputs!$C$56*SIN(2*PI()*A138/47)</f>
        <v/>
      </c>
      <c r="G138" s="50">
        <f>-55+3*SIN(2*PI()*A138/19)</f>
        <v/>
      </c>
    </row>
    <row r="139">
      <c r="A139" s="50">
        <f>Subsurface_Live_Data!A139</f>
        <v/>
      </c>
      <c r="B139" s="50" t="n">
        <v>0</v>
      </c>
      <c r="C139" s="50">
        <f>Subsurface_Inputs!$C$57+1.5*SIN(2*PI()*A139/35)</f>
        <v/>
      </c>
      <c r="D139" s="50">
        <f>Subsurface_Live_Data!M139+Subsurface_Inputs!$C$56*SIN(2*PI()*A139/31)</f>
        <v/>
      </c>
      <c r="E139" s="50">
        <f>IF(Subsurface_Live_Data!H139&gt;=Subsurface_Inputs!$C$42,Subsurface_Live_Data!N139+Subsurface_Inputs!$C$56*SIN(2*PI()*A139/27),NA())</f>
        <v/>
      </c>
      <c r="F139" s="50">
        <f>Subsurface_Live_Data!O139+Subsurface_Inputs!$C$56*SIN(2*PI()*A139/47)</f>
        <v/>
      </c>
      <c r="G139" s="50">
        <f>-55+3*SIN(2*PI()*A139/19)</f>
        <v/>
      </c>
    </row>
    <row r="140">
      <c r="A140" s="50">
        <f>Subsurface_Live_Data!A140</f>
        <v/>
      </c>
      <c r="B140" s="50" t="n">
        <v>0</v>
      </c>
      <c r="C140" s="50">
        <f>Subsurface_Inputs!$C$57+1.5*SIN(2*PI()*A140/35)</f>
        <v/>
      </c>
      <c r="D140" s="50">
        <f>Subsurface_Live_Data!M140+Subsurface_Inputs!$C$56*SIN(2*PI()*A140/31)</f>
        <v/>
      </c>
      <c r="E140" s="50">
        <f>IF(Subsurface_Live_Data!H140&gt;=Subsurface_Inputs!$C$42,Subsurface_Live_Data!N140+Subsurface_Inputs!$C$56*SIN(2*PI()*A140/27),NA())</f>
        <v/>
      </c>
      <c r="F140" s="50">
        <f>Subsurface_Live_Data!O140+Subsurface_Inputs!$C$56*SIN(2*PI()*A140/47)</f>
        <v/>
      </c>
      <c r="G140" s="50">
        <f>-55+3*SIN(2*PI()*A140/19)</f>
        <v/>
      </c>
    </row>
    <row r="141">
      <c r="A141" s="50">
        <f>Subsurface_Live_Data!A141</f>
        <v/>
      </c>
      <c r="B141" s="50" t="n">
        <v>0</v>
      </c>
      <c r="C141" s="50">
        <f>Subsurface_Inputs!$C$57+1.5*SIN(2*PI()*A141/35)</f>
        <v/>
      </c>
      <c r="D141" s="50">
        <f>Subsurface_Live_Data!M141+Subsurface_Inputs!$C$56*SIN(2*PI()*A141/31)</f>
        <v/>
      </c>
      <c r="E141" s="50">
        <f>IF(Subsurface_Live_Data!H141&gt;=Subsurface_Inputs!$C$42,Subsurface_Live_Data!N141+Subsurface_Inputs!$C$56*SIN(2*PI()*A141/27),NA())</f>
        <v/>
      </c>
      <c r="F141" s="50">
        <f>Subsurface_Live_Data!O141+Subsurface_Inputs!$C$56*SIN(2*PI()*A141/47)</f>
        <v/>
      </c>
      <c r="G141" s="50">
        <f>-55+3*SIN(2*PI()*A141/19)</f>
        <v/>
      </c>
    </row>
    <row r="142">
      <c r="A142" s="50">
        <f>Subsurface_Live_Data!A142</f>
        <v/>
      </c>
      <c r="B142" s="50" t="n">
        <v>0</v>
      </c>
      <c r="C142" s="50">
        <f>Subsurface_Inputs!$C$57+1.5*SIN(2*PI()*A142/35)</f>
        <v/>
      </c>
      <c r="D142" s="50">
        <f>Subsurface_Live_Data!M142+Subsurface_Inputs!$C$56*SIN(2*PI()*A142/31)</f>
        <v/>
      </c>
      <c r="E142" s="50">
        <f>IF(Subsurface_Live_Data!H142&gt;=Subsurface_Inputs!$C$42,Subsurface_Live_Data!N142+Subsurface_Inputs!$C$56*SIN(2*PI()*A142/27),NA())</f>
        <v/>
      </c>
      <c r="F142" s="50">
        <f>Subsurface_Live_Data!O142+Subsurface_Inputs!$C$56*SIN(2*PI()*A142/47)</f>
        <v/>
      </c>
      <c r="G142" s="50">
        <f>-55+3*SIN(2*PI()*A142/19)</f>
        <v/>
      </c>
    </row>
    <row r="143">
      <c r="A143" s="50">
        <f>Subsurface_Live_Data!A143</f>
        <v/>
      </c>
      <c r="B143" s="50" t="n">
        <v>0</v>
      </c>
      <c r="C143" s="50">
        <f>Subsurface_Inputs!$C$57+1.5*SIN(2*PI()*A143/35)</f>
        <v/>
      </c>
      <c r="D143" s="50">
        <f>Subsurface_Live_Data!M143+Subsurface_Inputs!$C$56*SIN(2*PI()*A143/31)</f>
        <v/>
      </c>
      <c r="E143" s="50">
        <f>IF(Subsurface_Live_Data!H143&gt;=Subsurface_Inputs!$C$42,Subsurface_Live_Data!N143+Subsurface_Inputs!$C$56*SIN(2*PI()*A143/27),NA())</f>
        <v/>
      </c>
      <c r="F143" s="50">
        <f>Subsurface_Live_Data!O143+Subsurface_Inputs!$C$56*SIN(2*PI()*A143/47)</f>
        <v/>
      </c>
      <c r="G143" s="50">
        <f>-55+3*SIN(2*PI()*A143/19)</f>
        <v/>
      </c>
    </row>
    <row r="144">
      <c r="A144" s="50">
        <f>Subsurface_Live_Data!A144</f>
        <v/>
      </c>
      <c r="B144" s="50" t="n">
        <v>0</v>
      </c>
      <c r="C144" s="50">
        <f>Subsurface_Inputs!$C$57+1.5*SIN(2*PI()*A144/35)</f>
        <v/>
      </c>
      <c r="D144" s="50">
        <f>Subsurface_Live_Data!M144+Subsurface_Inputs!$C$56*SIN(2*PI()*A144/31)</f>
        <v/>
      </c>
      <c r="E144" s="50">
        <f>IF(Subsurface_Live_Data!H144&gt;=Subsurface_Inputs!$C$42,Subsurface_Live_Data!N144+Subsurface_Inputs!$C$56*SIN(2*PI()*A144/27),NA())</f>
        <v/>
      </c>
      <c r="F144" s="50">
        <f>Subsurface_Live_Data!O144+Subsurface_Inputs!$C$56*SIN(2*PI()*A144/47)</f>
        <v/>
      </c>
      <c r="G144" s="50">
        <f>-55+3*SIN(2*PI()*A144/19)</f>
        <v/>
      </c>
    </row>
    <row r="145">
      <c r="A145" s="50">
        <f>Subsurface_Live_Data!A145</f>
        <v/>
      </c>
      <c r="B145" s="50" t="n">
        <v>0</v>
      </c>
      <c r="C145" s="50">
        <f>Subsurface_Inputs!$C$57+1.5*SIN(2*PI()*A145/35)</f>
        <v/>
      </c>
      <c r="D145" s="50">
        <f>Subsurface_Live_Data!M145+Subsurface_Inputs!$C$56*SIN(2*PI()*A145/31)</f>
        <v/>
      </c>
      <c r="E145" s="50">
        <f>IF(Subsurface_Live_Data!H145&gt;=Subsurface_Inputs!$C$42,Subsurface_Live_Data!N145+Subsurface_Inputs!$C$56*SIN(2*PI()*A145/27),NA())</f>
        <v/>
      </c>
      <c r="F145" s="50">
        <f>Subsurface_Live_Data!O145+Subsurface_Inputs!$C$56*SIN(2*PI()*A145/47)</f>
        <v/>
      </c>
      <c r="G145" s="50">
        <f>-55+3*SIN(2*PI()*A145/19)</f>
        <v/>
      </c>
    </row>
    <row r="146">
      <c r="A146" s="50">
        <f>Subsurface_Live_Data!A146</f>
        <v/>
      </c>
      <c r="B146" s="50" t="n">
        <v>0</v>
      </c>
      <c r="C146" s="50">
        <f>Subsurface_Inputs!$C$57+1.5*SIN(2*PI()*A146/35)</f>
        <v/>
      </c>
      <c r="D146" s="50">
        <f>Subsurface_Live_Data!M146+Subsurface_Inputs!$C$56*SIN(2*PI()*A146/31)</f>
        <v/>
      </c>
      <c r="E146" s="50">
        <f>IF(Subsurface_Live_Data!H146&gt;=Subsurface_Inputs!$C$42,Subsurface_Live_Data!N146+Subsurface_Inputs!$C$56*SIN(2*PI()*A146/27),NA())</f>
        <v/>
      </c>
      <c r="F146" s="50">
        <f>Subsurface_Live_Data!O146+Subsurface_Inputs!$C$56*SIN(2*PI()*A146/47)</f>
        <v/>
      </c>
      <c r="G146" s="50">
        <f>-55+3*SIN(2*PI()*A146/19)</f>
        <v/>
      </c>
    </row>
    <row r="147">
      <c r="A147" s="50">
        <f>Subsurface_Live_Data!A147</f>
        <v/>
      </c>
      <c r="B147" s="50" t="n">
        <v>0</v>
      </c>
      <c r="C147" s="50">
        <f>Subsurface_Inputs!$C$57+1.5*SIN(2*PI()*A147/35)</f>
        <v/>
      </c>
      <c r="D147" s="50">
        <f>Subsurface_Live_Data!M147+Subsurface_Inputs!$C$56*SIN(2*PI()*A147/31)</f>
        <v/>
      </c>
      <c r="E147" s="50">
        <f>IF(Subsurface_Live_Data!H147&gt;=Subsurface_Inputs!$C$42,Subsurface_Live_Data!N147+Subsurface_Inputs!$C$56*SIN(2*PI()*A147/27),NA())</f>
        <v/>
      </c>
      <c r="F147" s="50">
        <f>Subsurface_Live_Data!O147+Subsurface_Inputs!$C$56*SIN(2*PI()*A147/47)</f>
        <v/>
      </c>
      <c r="G147" s="50">
        <f>-55+3*SIN(2*PI()*A147/19)</f>
        <v/>
      </c>
    </row>
    <row r="148">
      <c r="A148" s="50">
        <f>Subsurface_Live_Data!A148</f>
        <v/>
      </c>
      <c r="B148" s="50" t="n">
        <v>0</v>
      </c>
      <c r="C148" s="50">
        <f>Subsurface_Inputs!$C$57+1.5*SIN(2*PI()*A148/35)</f>
        <v/>
      </c>
      <c r="D148" s="50">
        <f>Subsurface_Live_Data!M148+Subsurface_Inputs!$C$56*SIN(2*PI()*A148/31)</f>
        <v/>
      </c>
      <c r="E148" s="50">
        <f>IF(Subsurface_Live_Data!H148&gt;=Subsurface_Inputs!$C$42,Subsurface_Live_Data!N148+Subsurface_Inputs!$C$56*SIN(2*PI()*A148/27),NA())</f>
        <v/>
      </c>
      <c r="F148" s="50">
        <f>Subsurface_Live_Data!O148+Subsurface_Inputs!$C$56*SIN(2*PI()*A148/47)</f>
        <v/>
      </c>
      <c r="G148" s="50">
        <f>-55+3*SIN(2*PI()*A148/19)</f>
        <v/>
      </c>
    </row>
    <row r="149">
      <c r="A149" s="50">
        <f>Subsurface_Live_Data!A149</f>
        <v/>
      </c>
      <c r="B149" s="50" t="n">
        <v>0</v>
      </c>
      <c r="C149" s="50">
        <f>Subsurface_Inputs!$C$57+1.5*SIN(2*PI()*A149/35)</f>
        <v/>
      </c>
      <c r="D149" s="50">
        <f>Subsurface_Live_Data!M149+Subsurface_Inputs!$C$56*SIN(2*PI()*A149/31)</f>
        <v/>
      </c>
      <c r="E149" s="50">
        <f>IF(Subsurface_Live_Data!H149&gt;=Subsurface_Inputs!$C$42,Subsurface_Live_Data!N149+Subsurface_Inputs!$C$56*SIN(2*PI()*A149/27),NA())</f>
        <v/>
      </c>
      <c r="F149" s="50">
        <f>Subsurface_Live_Data!O149+Subsurface_Inputs!$C$56*SIN(2*PI()*A149/47)</f>
        <v/>
      </c>
      <c r="G149" s="50">
        <f>-55+3*SIN(2*PI()*A149/19)</f>
        <v/>
      </c>
    </row>
    <row r="150">
      <c r="A150" s="50">
        <f>Subsurface_Live_Data!A150</f>
        <v/>
      </c>
      <c r="B150" s="50" t="n">
        <v>0</v>
      </c>
      <c r="C150" s="50">
        <f>Subsurface_Inputs!$C$57+1.5*SIN(2*PI()*A150/35)</f>
        <v/>
      </c>
      <c r="D150" s="50">
        <f>Subsurface_Live_Data!M150+Subsurface_Inputs!$C$56*SIN(2*PI()*A150/31)</f>
        <v/>
      </c>
      <c r="E150" s="50">
        <f>IF(Subsurface_Live_Data!H150&gt;=Subsurface_Inputs!$C$42,Subsurface_Live_Data!N150+Subsurface_Inputs!$C$56*SIN(2*PI()*A150/27),NA())</f>
        <v/>
      </c>
      <c r="F150" s="50">
        <f>Subsurface_Live_Data!O150+Subsurface_Inputs!$C$56*SIN(2*PI()*A150/47)</f>
        <v/>
      </c>
      <c r="G150" s="50">
        <f>-55+3*SIN(2*PI()*A150/19)</f>
        <v/>
      </c>
    </row>
    <row r="151">
      <c r="A151" s="50">
        <f>Subsurface_Live_Data!A151</f>
        <v/>
      </c>
      <c r="B151" s="50" t="n">
        <v>0</v>
      </c>
      <c r="C151" s="50">
        <f>Subsurface_Inputs!$C$57+1.5*SIN(2*PI()*A151/35)</f>
        <v/>
      </c>
      <c r="D151" s="50">
        <f>Subsurface_Live_Data!M151+Subsurface_Inputs!$C$56*SIN(2*PI()*A151/31)</f>
        <v/>
      </c>
      <c r="E151" s="50">
        <f>IF(Subsurface_Live_Data!H151&gt;=Subsurface_Inputs!$C$42,Subsurface_Live_Data!N151+Subsurface_Inputs!$C$56*SIN(2*PI()*A151/27),NA())</f>
        <v/>
      </c>
      <c r="F151" s="50">
        <f>Subsurface_Live_Data!O151+Subsurface_Inputs!$C$56*SIN(2*PI()*A151/47)</f>
        <v/>
      </c>
      <c r="G151" s="50">
        <f>-55+3*SIN(2*PI()*A151/19)</f>
        <v/>
      </c>
    </row>
    <row r="152">
      <c r="A152" s="50">
        <f>Subsurface_Live_Data!A152</f>
        <v/>
      </c>
      <c r="B152" s="50" t="n">
        <v>0</v>
      </c>
      <c r="C152" s="50">
        <f>Subsurface_Inputs!$C$57+1.5*SIN(2*PI()*A152/35)</f>
        <v/>
      </c>
      <c r="D152" s="50">
        <f>Subsurface_Live_Data!M152+Subsurface_Inputs!$C$56*SIN(2*PI()*A152/31)</f>
        <v/>
      </c>
      <c r="E152" s="50">
        <f>IF(Subsurface_Live_Data!H152&gt;=Subsurface_Inputs!$C$42,Subsurface_Live_Data!N152+Subsurface_Inputs!$C$56*SIN(2*PI()*A152/27),NA())</f>
        <v/>
      </c>
      <c r="F152" s="50">
        <f>Subsurface_Live_Data!O152+Subsurface_Inputs!$C$56*SIN(2*PI()*A152/47)</f>
        <v/>
      </c>
      <c r="G152" s="50">
        <f>-55+3*SIN(2*PI()*A152/19)</f>
        <v/>
      </c>
    </row>
    <row r="153">
      <c r="A153" s="50">
        <f>Subsurface_Live_Data!A153</f>
        <v/>
      </c>
      <c r="B153" s="50" t="n">
        <v>0</v>
      </c>
      <c r="C153" s="50">
        <f>Subsurface_Inputs!$C$57+1.5*SIN(2*PI()*A153/35)</f>
        <v/>
      </c>
      <c r="D153" s="50">
        <f>Subsurface_Live_Data!M153+Subsurface_Inputs!$C$56*SIN(2*PI()*A153/31)</f>
        <v/>
      </c>
      <c r="E153" s="50">
        <f>IF(Subsurface_Live_Data!H153&gt;=Subsurface_Inputs!$C$42,Subsurface_Live_Data!N153+Subsurface_Inputs!$C$56*SIN(2*PI()*A153/27),NA())</f>
        <v/>
      </c>
      <c r="F153" s="50">
        <f>Subsurface_Live_Data!O153+Subsurface_Inputs!$C$56*SIN(2*PI()*A153/47)</f>
        <v/>
      </c>
      <c r="G153" s="50">
        <f>-55+3*SIN(2*PI()*A153/19)</f>
        <v/>
      </c>
    </row>
    <row r="154">
      <c r="A154" s="50">
        <f>Subsurface_Live_Data!A154</f>
        <v/>
      </c>
      <c r="B154" s="50" t="n">
        <v>0</v>
      </c>
      <c r="C154" s="50">
        <f>Subsurface_Inputs!$C$57+1.5*SIN(2*PI()*A154/35)</f>
        <v/>
      </c>
      <c r="D154" s="50">
        <f>Subsurface_Live_Data!M154+Subsurface_Inputs!$C$56*SIN(2*PI()*A154/31)</f>
        <v/>
      </c>
      <c r="E154" s="50">
        <f>IF(Subsurface_Live_Data!H154&gt;=Subsurface_Inputs!$C$42,Subsurface_Live_Data!N154+Subsurface_Inputs!$C$56*SIN(2*PI()*A154/27),NA())</f>
        <v/>
      </c>
      <c r="F154" s="50">
        <f>Subsurface_Live_Data!O154+Subsurface_Inputs!$C$56*SIN(2*PI()*A154/47)</f>
        <v/>
      </c>
      <c r="G154" s="50">
        <f>-55+3*SIN(2*PI()*A154/19)</f>
        <v/>
      </c>
    </row>
    <row r="155">
      <c r="A155" s="50">
        <f>Subsurface_Live_Data!A155</f>
        <v/>
      </c>
      <c r="B155" s="50" t="n">
        <v>0</v>
      </c>
      <c r="C155" s="50">
        <f>Subsurface_Inputs!$C$57+1.5*SIN(2*PI()*A155/35)</f>
        <v/>
      </c>
      <c r="D155" s="50">
        <f>Subsurface_Live_Data!M155+Subsurface_Inputs!$C$56*SIN(2*PI()*A155/31)</f>
        <v/>
      </c>
      <c r="E155" s="50">
        <f>IF(Subsurface_Live_Data!H155&gt;=Subsurface_Inputs!$C$42,Subsurface_Live_Data!N155+Subsurface_Inputs!$C$56*SIN(2*PI()*A155/27),NA())</f>
        <v/>
      </c>
      <c r="F155" s="50">
        <f>Subsurface_Live_Data!O155+Subsurface_Inputs!$C$56*SIN(2*PI()*A155/47)</f>
        <v/>
      </c>
      <c r="G155" s="50">
        <f>-55+3*SIN(2*PI()*A155/19)</f>
        <v/>
      </c>
    </row>
    <row r="156">
      <c r="A156" s="50">
        <f>Subsurface_Live_Data!A156</f>
        <v/>
      </c>
      <c r="B156" s="50" t="n">
        <v>0</v>
      </c>
      <c r="C156" s="50">
        <f>Subsurface_Inputs!$C$57+1.5*SIN(2*PI()*A156/35)</f>
        <v/>
      </c>
      <c r="D156" s="50">
        <f>Subsurface_Live_Data!M156+Subsurface_Inputs!$C$56*SIN(2*PI()*A156/31)</f>
        <v/>
      </c>
      <c r="E156" s="50">
        <f>IF(Subsurface_Live_Data!H156&gt;=Subsurface_Inputs!$C$42,Subsurface_Live_Data!N156+Subsurface_Inputs!$C$56*SIN(2*PI()*A156/27),NA())</f>
        <v/>
      </c>
      <c r="F156" s="50">
        <f>Subsurface_Live_Data!O156+Subsurface_Inputs!$C$56*SIN(2*PI()*A156/47)</f>
        <v/>
      </c>
      <c r="G156" s="50">
        <f>-55+3*SIN(2*PI()*A156/19)</f>
        <v/>
      </c>
    </row>
    <row r="157">
      <c r="A157" s="50">
        <f>Subsurface_Live_Data!A157</f>
        <v/>
      </c>
      <c r="B157" s="50" t="n">
        <v>0</v>
      </c>
      <c r="C157" s="50">
        <f>Subsurface_Inputs!$C$57+1.5*SIN(2*PI()*A157/35)</f>
        <v/>
      </c>
      <c r="D157" s="50">
        <f>Subsurface_Live_Data!M157+Subsurface_Inputs!$C$56*SIN(2*PI()*A157/31)</f>
        <v/>
      </c>
      <c r="E157" s="50">
        <f>IF(Subsurface_Live_Data!H157&gt;=Subsurface_Inputs!$C$42,Subsurface_Live_Data!N157+Subsurface_Inputs!$C$56*SIN(2*PI()*A157/27),NA())</f>
        <v/>
      </c>
      <c r="F157" s="50">
        <f>Subsurface_Live_Data!O157+Subsurface_Inputs!$C$56*SIN(2*PI()*A157/47)</f>
        <v/>
      </c>
      <c r="G157" s="50">
        <f>-55+3*SIN(2*PI()*A157/19)</f>
        <v/>
      </c>
    </row>
    <row r="158">
      <c r="A158" s="50">
        <f>Subsurface_Live_Data!A158</f>
        <v/>
      </c>
      <c r="B158" s="50" t="n">
        <v>0</v>
      </c>
      <c r="C158" s="50">
        <f>Subsurface_Inputs!$C$57+1.5*SIN(2*PI()*A158/35)</f>
        <v/>
      </c>
      <c r="D158" s="50">
        <f>Subsurface_Live_Data!M158+Subsurface_Inputs!$C$56*SIN(2*PI()*A158/31)</f>
        <v/>
      </c>
      <c r="E158" s="50">
        <f>IF(Subsurface_Live_Data!H158&gt;=Subsurface_Inputs!$C$42,Subsurface_Live_Data!N158+Subsurface_Inputs!$C$56*SIN(2*PI()*A158/27),NA())</f>
        <v/>
      </c>
      <c r="F158" s="50">
        <f>Subsurface_Live_Data!O158+Subsurface_Inputs!$C$56*SIN(2*PI()*A158/47)</f>
        <v/>
      </c>
      <c r="G158" s="50">
        <f>-55+3*SIN(2*PI()*A158/19)</f>
        <v/>
      </c>
    </row>
    <row r="159">
      <c r="A159" s="50">
        <f>Subsurface_Live_Data!A159</f>
        <v/>
      </c>
      <c r="B159" s="50" t="n">
        <v>0</v>
      </c>
      <c r="C159" s="50">
        <f>Subsurface_Inputs!$C$57+1.5*SIN(2*PI()*A159/35)</f>
        <v/>
      </c>
      <c r="D159" s="50">
        <f>Subsurface_Live_Data!M159+Subsurface_Inputs!$C$56*SIN(2*PI()*A159/31)</f>
        <v/>
      </c>
      <c r="E159" s="50">
        <f>IF(Subsurface_Live_Data!H159&gt;=Subsurface_Inputs!$C$42,Subsurface_Live_Data!N159+Subsurface_Inputs!$C$56*SIN(2*PI()*A159/27),NA())</f>
        <v/>
      </c>
      <c r="F159" s="50">
        <f>Subsurface_Live_Data!O159+Subsurface_Inputs!$C$56*SIN(2*PI()*A159/47)</f>
        <v/>
      </c>
      <c r="G159" s="50">
        <f>-55+3*SIN(2*PI()*A159/19)</f>
        <v/>
      </c>
    </row>
    <row r="160">
      <c r="A160" s="50">
        <f>Subsurface_Live_Data!A160</f>
        <v/>
      </c>
      <c r="B160" s="50" t="n">
        <v>0</v>
      </c>
      <c r="C160" s="50">
        <f>Subsurface_Inputs!$C$57+1.5*SIN(2*PI()*A160/35)</f>
        <v/>
      </c>
      <c r="D160" s="50">
        <f>Subsurface_Live_Data!M160+Subsurface_Inputs!$C$56*SIN(2*PI()*A160/31)</f>
        <v/>
      </c>
      <c r="E160" s="50">
        <f>IF(Subsurface_Live_Data!H160&gt;=Subsurface_Inputs!$C$42,Subsurface_Live_Data!N160+Subsurface_Inputs!$C$56*SIN(2*PI()*A160/27),NA())</f>
        <v/>
      </c>
      <c r="F160" s="50">
        <f>Subsurface_Live_Data!O160+Subsurface_Inputs!$C$56*SIN(2*PI()*A160/47)</f>
        <v/>
      </c>
      <c r="G160" s="50">
        <f>-55+3*SIN(2*PI()*A160/19)</f>
        <v/>
      </c>
    </row>
    <row r="161">
      <c r="A161" s="50">
        <f>Subsurface_Live_Data!A161</f>
        <v/>
      </c>
      <c r="B161" s="50" t="n">
        <v>0</v>
      </c>
      <c r="C161" s="50">
        <f>Subsurface_Inputs!$C$57+1.5*SIN(2*PI()*A161/35)</f>
        <v/>
      </c>
      <c r="D161" s="50">
        <f>Subsurface_Live_Data!M161+Subsurface_Inputs!$C$56*SIN(2*PI()*A161/31)</f>
        <v/>
      </c>
      <c r="E161" s="50">
        <f>IF(Subsurface_Live_Data!H161&gt;=Subsurface_Inputs!$C$42,Subsurface_Live_Data!N161+Subsurface_Inputs!$C$56*SIN(2*PI()*A161/27),NA())</f>
        <v/>
      </c>
      <c r="F161" s="50">
        <f>Subsurface_Live_Data!O161+Subsurface_Inputs!$C$56*SIN(2*PI()*A161/47)</f>
        <v/>
      </c>
      <c r="G161" s="50">
        <f>-55+3*SIN(2*PI()*A161/19)</f>
        <v/>
      </c>
    </row>
    <row r="162">
      <c r="A162" s="50">
        <f>Subsurface_Live_Data!A162</f>
        <v/>
      </c>
      <c r="B162" s="50" t="n">
        <v>0</v>
      </c>
      <c r="C162" s="50">
        <f>Subsurface_Inputs!$C$57+1.5*SIN(2*PI()*A162/35)</f>
        <v/>
      </c>
      <c r="D162" s="50">
        <f>Subsurface_Live_Data!M162+Subsurface_Inputs!$C$56*SIN(2*PI()*A162/31)</f>
        <v/>
      </c>
      <c r="E162" s="50">
        <f>IF(Subsurface_Live_Data!H162&gt;=Subsurface_Inputs!$C$42,Subsurface_Live_Data!N162+Subsurface_Inputs!$C$56*SIN(2*PI()*A162/27),NA())</f>
        <v/>
      </c>
      <c r="F162" s="50">
        <f>Subsurface_Live_Data!O162+Subsurface_Inputs!$C$56*SIN(2*PI()*A162/47)</f>
        <v/>
      </c>
      <c r="G162" s="50">
        <f>-55+3*SIN(2*PI()*A162/19)</f>
        <v/>
      </c>
    </row>
    <row r="163">
      <c r="A163" s="50">
        <f>Subsurface_Live_Data!A163</f>
        <v/>
      </c>
      <c r="B163" s="50" t="n">
        <v>0</v>
      </c>
      <c r="C163" s="50">
        <f>Subsurface_Inputs!$C$57+1.5*SIN(2*PI()*A163/35)</f>
        <v/>
      </c>
      <c r="D163" s="50">
        <f>Subsurface_Live_Data!M163+Subsurface_Inputs!$C$56*SIN(2*PI()*A163/31)</f>
        <v/>
      </c>
      <c r="E163" s="50">
        <f>IF(Subsurface_Live_Data!H163&gt;=Subsurface_Inputs!$C$42,Subsurface_Live_Data!N163+Subsurface_Inputs!$C$56*SIN(2*PI()*A163/27),NA())</f>
        <v/>
      </c>
      <c r="F163" s="50">
        <f>Subsurface_Live_Data!O163+Subsurface_Inputs!$C$56*SIN(2*PI()*A163/47)</f>
        <v/>
      </c>
      <c r="G163" s="50">
        <f>-55+3*SIN(2*PI()*A163/19)</f>
        <v/>
      </c>
    </row>
    <row r="164">
      <c r="A164" s="50">
        <f>Subsurface_Live_Data!A164</f>
        <v/>
      </c>
      <c r="B164" s="50" t="n">
        <v>0</v>
      </c>
      <c r="C164" s="50">
        <f>Subsurface_Inputs!$C$57+1.5*SIN(2*PI()*A164/35)</f>
        <v/>
      </c>
      <c r="D164" s="50">
        <f>Subsurface_Live_Data!M164+Subsurface_Inputs!$C$56*SIN(2*PI()*A164/31)</f>
        <v/>
      </c>
      <c r="E164" s="50">
        <f>IF(Subsurface_Live_Data!H164&gt;=Subsurface_Inputs!$C$42,Subsurface_Live_Data!N164+Subsurface_Inputs!$C$56*SIN(2*PI()*A164/27),NA())</f>
        <v/>
      </c>
      <c r="F164" s="50">
        <f>Subsurface_Live_Data!O164+Subsurface_Inputs!$C$56*SIN(2*PI()*A164/47)</f>
        <v/>
      </c>
      <c r="G164" s="50">
        <f>-55+3*SIN(2*PI()*A164/19)</f>
        <v/>
      </c>
    </row>
    <row r="165">
      <c r="A165" s="50">
        <f>Subsurface_Live_Data!A165</f>
        <v/>
      </c>
      <c r="B165" s="50" t="n">
        <v>0</v>
      </c>
      <c r="C165" s="50">
        <f>Subsurface_Inputs!$C$57+1.5*SIN(2*PI()*A165/35)</f>
        <v/>
      </c>
      <c r="D165" s="50">
        <f>Subsurface_Live_Data!M165+Subsurface_Inputs!$C$56*SIN(2*PI()*A165/31)</f>
        <v/>
      </c>
      <c r="E165" s="50">
        <f>IF(Subsurface_Live_Data!H165&gt;=Subsurface_Inputs!$C$42,Subsurface_Live_Data!N165+Subsurface_Inputs!$C$56*SIN(2*PI()*A165/27),NA())</f>
        <v/>
      </c>
      <c r="F165" s="50">
        <f>Subsurface_Live_Data!O165+Subsurface_Inputs!$C$56*SIN(2*PI()*A165/47)</f>
        <v/>
      </c>
      <c r="G165" s="50">
        <f>-55+3*SIN(2*PI()*A165/19)</f>
        <v/>
      </c>
    </row>
    <row r="166">
      <c r="A166" s="50">
        <f>Subsurface_Live_Data!A166</f>
        <v/>
      </c>
      <c r="B166" s="50" t="n">
        <v>0</v>
      </c>
      <c r="C166" s="50">
        <f>Subsurface_Inputs!$C$57+1.5*SIN(2*PI()*A166/35)</f>
        <v/>
      </c>
      <c r="D166" s="50">
        <f>Subsurface_Live_Data!M166+Subsurface_Inputs!$C$56*SIN(2*PI()*A166/31)</f>
        <v/>
      </c>
      <c r="E166" s="50">
        <f>IF(Subsurface_Live_Data!H166&gt;=Subsurface_Inputs!$C$42,Subsurface_Live_Data!N166+Subsurface_Inputs!$C$56*SIN(2*PI()*A166/27),NA())</f>
        <v/>
      </c>
      <c r="F166" s="50">
        <f>Subsurface_Live_Data!O166+Subsurface_Inputs!$C$56*SIN(2*PI()*A166/47)</f>
        <v/>
      </c>
      <c r="G166" s="50">
        <f>-55+3*SIN(2*PI()*A166/19)</f>
        <v/>
      </c>
    </row>
    <row r="167">
      <c r="A167" s="50">
        <f>Subsurface_Live_Data!A167</f>
        <v/>
      </c>
      <c r="B167" s="50" t="n">
        <v>0</v>
      </c>
      <c r="C167" s="50">
        <f>Subsurface_Inputs!$C$57+1.5*SIN(2*PI()*A167/35)</f>
        <v/>
      </c>
      <c r="D167" s="50">
        <f>Subsurface_Live_Data!M167+Subsurface_Inputs!$C$56*SIN(2*PI()*A167/31)</f>
        <v/>
      </c>
      <c r="E167" s="50">
        <f>IF(Subsurface_Live_Data!H167&gt;=Subsurface_Inputs!$C$42,Subsurface_Live_Data!N167+Subsurface_Inputs!$C$56*SIN(2*PI()*A167/27),NA())</f>
        <v/>
      </c>
      <c r="F167" s="50">
        <f>Subsurface_Live_Data!O167+Subsurface_Inputs!$C$56*SIN(2*PI()*A167/47)</f>
        <v/>
      </c>
      <c r="G167" s="50">
        <f>-55+3*SIN(2*PI()*A167/19)</f>
        <v/>
      </c>
    </row>
    <row r="168">
      <c r="A168" s="50">
        <f>Subsurface_Live_Data!A168</f>
        <v/>
      </c>
      <c r="B168" s="50" t="n">
        <v>0</v>
      </c>
      <c r="C168" s="50">
        <f>Subsurface_Inputs!$C$57+1.5*SIN(2*PI()*A168/35)</f>
        <v/>
      </c>
      <c r="D168" s="50">
        <f>Subsurface_Live_Data!M168+Subsurface_Inputs!$C$56*SIN(2*PI()*A168/31)</f>
        <v/>
      </c>
      <c r="E168" s="50">
        <f>IF(Subsurface_Live_Data!H168&gt;=Subsurface_Inputs!$C$42,Subsurface_Live_Data!N168+Subsurface_Inputs!$C$56*SIN(2*PI()*A168/27),NA())</f>
        <v/>
      </c>
      <c r="F168" s="50">
        <f>Subsurface_Live_Data!O168+Subsurface_Inputs!$C$56*SIN(2*PI()*A168/47)</f>
        <v/>
      </c>
      <c r="G168" s="50">
        <f>-55+3*SIN(2*PI()*A168/19)</f>
        <v/>
      </c>
    </row>
    <row r="169">
      <c r="A169" s="50">
        <f>Subsurface_Live_Data!A169</f>
        <v/>
      </c>
      <c r="B169" s="50" t="n">
        <v>0</v>
      </c>
      <c r="C169" s="50">
        <f>Subsurface_Inputs!$C$57+1.5*SIN(2*PI()*A169/35)</f>
        <v/>
      </c>
      <c r="D169" s="50">
        <f>Subsurface_Live_Data!M169+Subsurface_Inputs!$C$56*SIN(2*PI()*A169/31)</f>
        <v/>
      </c>
      <c r="E169" s="50">
        <f>IF(Subsurface_Live_Data!H169&gt;=Subsurface_Inputs!$C$42,Subsurface_Live_Data!N169+Subsurface_Inputs!$C$56*SIN(2*PI()*A169/27),NA())</f>
        <v/>
      </c>
      <c r="F169" s="50">
        <f>Subsurface_Live_Data!O169+Subsurface_Inputs!$C$56*SIN(2*PI()*A169/47)</f>
        <v/>
      </c>
      <c r="G169" s="50">
        <f>-55+3*SIN(2*PI()*A169/19)</f>
        <v/>
      </c>
    </row>
    <row r="170">
      <c r="A170" s="50">
        <f>Subsurface_Live_Data!A170</f>
        <v/>
      </c>
      <c r="B170" s="50" t="n">
        <v>0</v>
      </c>
      <c r="C170" s="50">
        <f>Subsurface_Inputs!$C$57+1.5*SIN(2*PI()*A170/35)</f>
        <v/>
      </c>
      <c r="D170" s="50">
        <f>Subsurface_Live_Data!M170+Subsurface_Inputs!$C$56*SIN(2*PI()*A170/31)</f>
        <v/>
      </c>
      <c r="E170" s="50">
        <f>IF(Subsurface_Live_Data!H170&gt;=Subsurface_Inputs!$C$42,Subsurface_Live_Data!N170+Subsurface_Inputs!$C$56*SIN(2*PI()*A170/27),NA())</f>
        <v/>
      </c>
      <c r="F170" s="50">
        <f>Subsurface_Live_Data!O170+Subsurface_Inputs!$C$56*SIN(2*PI()*A170/47)</f>
        <v/>
      </c>
      <c r="G170" s="50">
        <f>-55+3*SIN(2*PI()*A170/19)</f>
        <v/>
      </c>
    </row>
    <row r="171">
      <c r="A171" s="50">
        <f>Subsurface_Live_Data!A171</f>
        <v/>
      </c>
      <c r="B171" s="50" t="n">
        <v>0</v>
      </c>
      <c r="C171" s="50">
        <f>Subsurface_Inputs!$C$57+1.5*SIN(2*PI()*A171/35)</f>
        <v/>
      </c>
      <c r="D171" s="50">
        <f>Subsurface_Live_Data!M171+Subsurface_Inputs!$C$56*SIN(2*PI()*A171/31)</f>
        <v/>
      </c>
      <c r="E171" s="50">
        <f>IF(Subsurface_Live_Data!H171&gt;=Subsurface_Inputs!$C$42,Subsurface_Live_Data!N171+Subsurface_Inputs!$C$56*SIN(2*PI()*A171/27),NA())</f>
        <v/>
      </c>
      <c r="F171" s="50">
        <f>Subsurface_Live_Data!O171+Subsurface_Inputs!$C$56*SIN(2*PI()*A171/47)</f>
        <v/>
      </c>
      <c r="G171" s="50">
        <f>-55+3*SIN(2*PI()*A171/19)</f>
        <v/>
      </c>
    </row>
    <row r="172">
      <c r="A172" s="50">
        <f>Subsurface_Live_Data!A172</f>
        <v/>
      </c>
      <c r="B172" s="50" t="n">
        <v>0</v>
      </c>
      <c r="C172" s="50">
        <f>Subsurface_Inputs!$C$57+1.5*SIN(2*PI()*A172/35)</f>
        <v/>
      </c>
      <c r="D172" s="50">
        <f>Subsurface_Live_Data!M172+Subsurface_Inputs!$C$56*SIN(2*PI()*A172/31)</f>
        <v/>
      </c>
      <c r="E172" s="50">
        <f>IF(Subsurface_Live_Data!H172&gt;=Subsurface_Inputs!$C$42,Subsurface_Live_Data!N172+Subsurface_Inputs!$C$56*SIN(2*PI()*A172/27),NA())</f>
        <v/>
      </c>
      <c r="F172" s="50">
        <f>Subsurface_Live_Data!O172+Subsurface_Inputs!$C$56*SIN(2*PI()*A172/47)</f>
        <v/>
      </c>
      <c r="G172" s="50">
        <f>-55+3*SIN(2*PI()*A172/19)</f>
        <v/>
      </c>
    </row>
    <row r="173">
      <c r="A173" s="50">
        <f>Subsurface_Live_Data!A173</f>
        <v/>
      </c>
      <c r="B173" s="50" t="n">
        <v>0</v>
      </c>
      <c r="C173" s="50">
        <f>Subsurface_Inputs!$C$57+1.5*SIN(2*PI()*A173/35)</f>
        <v/>
      </c>
      <c r="D173" s="50">
        <f>Subsurface_Live_Data!M173+Subsurface_Inputs!$C$56*SIN(2*PI()*A173/31)</f>
        <v/>
      </c>
      <c r="E173" s="50">
        <f>IF(Subsurface_Live_Data!H173&gt;=Subsurface_Inputs!$C$42,Subsurface_Live_Data!N173+Subsurface_Inputs!$C$56*SIN(2*PI()*A173/27),NA())</f>
        <v/>
      </c>
      <c r="F173" s="50">
        <f>Subsurface_Live_Data!O173+Subsurface_Inputs!$C$56*SIN(2*PI()*A173/47)</f>
        <v/>
      </c>
      <c r="G173" s="50">
        <f>-55+3*SIN(2*PI()*A173/19)</f>
        <v/>
      </c>
    </row>
    <row r="174">
      <c r="A174" s="50">
        <f>Subsurface_Live_Data!A174</f>
        <v/>
      </c>
      <c r="B174" s="50" t="n">
        <v>0</v>
      </c>
      <c r="C174" s="50">
        <f>Subsurface_Inputs!$C$57+1.5*SIN(2*PI()*A174/35)</f>
        <v/>
      </c>
      <c r="D174" s="50">
        <f>Subsurface_Live_Data!M174+Subsurface_Inputs!$C$56*SIN(2*PI()*A174/31)</f>
        <v/>
      </c>
      <c r="E174" s="50">
        <f>IF(Subsurface_Live_Data!H174&gt;=Subsurface_Inputs!$C$42,Subsurface_Live_Data!N174+Subsurface_Inputs!$C$56*SIN(2*PI()*A174/27),NA())</f>
        <v/>
      </c>
      <c r="F174" s="50">
        <f>Subsurface_Live_Data!O174+Subsurface_Inputs!$C$56*SIN(2*PI()*A174/47)</f>
        <v/>
      </c>
      <c r="G174" s="50">
        <f>-55+3*SIN(2*PI()*A174/19)</f>
        <v/>
      </c>
    </row>
    <row r="175">
      <c r="A175" s="50">
        <f>Subsurface_Live_Data!A175</f>
        <v/>
      </c>
      <c r="B175" s="50" t="n">
        <v>0</v>
      </c>
      <c r="C175" s="50">
        <f>Subsurface_Inputs!$C$57+1.5*SIN(2*PI()*A175/35)</f>
        <v/>
      </c>
      <c r="D175" s="50">
        <f>Subsurface_Live_Data!M175+Subsurface_Inputs!$C$56*SIN(2*PI()*A175/31)</f>
        <v/>
      </c>
      <c r="E175" s="50">
        <f>IF(Subsurface_Live_Data!H175&gt;=Subsurface_Inputs!$C$42,Subsurface_Live_Data!N175+Subsurface_Inputs!$C$56*SIN(2*PI()*A175/27),NA())</f>
        <v/>
      </c>
      <c r="F175" s="50">
        <f>Subsurface_Live_Data!O175+Subsurface_Inputs!$C$56*SIN(2*PI()*A175/47)</f>
        <v/>
      </c>
      <c r="G175" s="50">
        <f>-55+3*SIN(2*PI()*A175/19)</f>
        <v/>
      </c>
    </row>
    <row r="176">
      <c r="A176" s="50">
        <f>Subsurface_Live_Data!A176</f>
        <v/>
      </c>
      <c r="B176" s="50" t="n">
        <v>0</v>
      </c>
      <c r="C176" s="50">
        <f>Subsurface_Inputs!$C$57+1.5*SIN(2*PI()*A176/35)</f>
        <v/>
      </c>
      <c r="D176" s="50">
        <f>Subsurface_Live_Data!M176+Subsurface_Inputs!$C$56*SIN(2*PI()*A176/31)</f>
        <v/>
      </c>
      <c r="E176" s="50">
        <f>IF(Subsurface_Live_Data!H176&gt;=Subsurface_Inputs!$C$42,Subsurface_Live_Data!N176+Subsurface_Inputs!$C$56*SIN(2*PI()*A176/27),NA())</f>
        <v/>
      </c>
      <c r="F176" s="50">
        <f>Subsurface_Live_Data!O176+Subsurface_Inputs!$C$56*SIN(2*PI()*A176/47)</f>
        <v/>
      </c>
      <c r="G176" s="50">
        <f>-55+3*SIN(2*PI()*A176/19)</f>
        <v/>
      </c>
    </row>
    <row r="177">
      <c r="A177" s="50">
        <f>Subsurface_Live_Data!A177</f>
        <v/>
      </c>
      <c r="B177" s="50" t="n">
        <v>0</v>
      </c>
      <c r="C177" s="50">
        <f>Subsurface_Inputs!$C$57+1.5*SIN(2*PI()*A177/35)</f>
        <v/>
      </c>
      <c r="D177" s="50">
        <f>Subsurface_Live_Data!M177+Subsurface_Inputs!$C$56*SIN(2*PI()*A177/31)</f>
        <v/>
      </c>
      <c r="E177" s="50">
        <f>IF(Subsurface_Live_Data!H177&gt;=Subsurface_Inputs!$C$42,Subsurface_Live_Data!N177+Subsurface_Inputs!$C$56*SIN(2*PI()*A177/27),NA())</f>
        <v/>
      </c>
      <c r="F177" s="50">
        <f>Subsurface_Live_Data!O177+Subsurface_Inputs!$C$56*SIN(2*PI()*A177/47)</f>
        <v/>
      </c>
      <c r="G177" s="50">
        <f>-55+3*SIN(2*PI()*A177/19)</f>
        <v/>
      </c>
    </row>
    <row r="178">
      <c r="A178" s="50">
        <f>Subsurface_Live_Data!A178</f>
        <v/>
      </c>
      <c r="B178" s="50" t="n">
        <v>0</v>
      </c>
      <c r="C178" s="50">
        <f>Subsurface_Inputs!$C$57+1.5*SIN(2*PI()*A178/35)</f>
        <v/>
      </c>
      <c r="D178" s="50">
        <f>Subsurface_Live_Data!M178+Subsurface_Inputs!$C$56*SIN(2*PI()*A178/31)</f>
        <v/>
      </c>
      <c r="E178" s="50">
        <f>IF(Subsurface_Live_Data!H178&gt;=Subsurface_Inputs!$C$42,Subsurface_Live_Data!N178+Subsurface_Inputs!$C$56*SIN(2*PI()*A178/27),NA())</f>
        <v/>
      </c>
      <c r="F178" s="50">
        <f>Subsurface_Live_Data!O178+Subsurface_Inputs!$C$56*SIN(2*PI()*A178/47)</f>
        <v/>
      </c>
      <c r="G178" s="50">
        <f>-55+3*SIN(2*PI()*A178/19)</f>
        <v/>
      </c>
    </row>
    <row r="179">
      <c r="A179" s="50">
        <f>Subsurface_Live_Data!A179</f>
        <v/>
      </c>
      <c r="B179" s="50" t="n">
        <v>0</v>
      </c>
      <c r="C179" s="50">
        <f>Subsurface_Inputs!$C$57+1.5*SIN(2*PI()*A179/35)</f>
        <v/>
      </c>
      <c r="D179" s="50">
        <f>Subsurface_Live_Data!M179+Subsurface_Inputs!$C$56*SIN(2*PI()*A179/31)</f>
        <v/>
      </c>
      <c r="E179" s="50">
        <f>IF(Subsurface_Live_Data!H179&gt;=Subsurface_Inputs!$C$42,Subsurface_Live_Data!N179+Subsurface_Inputs!$C$56*SIN(2*PI()*A179/27),NA())</f>
        <v/>
      </c>
      <c r="F179" s="50">
        <f>Subsurface_Live_Data!O179+Subsurface_Inputs!$C$56*SIN(2*PI()*A179/47)</f>
        <v/>
      </c>
      <c r="G179" s="50">
        <f>-55+3*SIN(2*PI()*A179/19)</f>
        <v/>
      </c>
    </row>
    <row r="180">
      <c r="A180" s="50">
        <f>Subsurface_Live_Data!A180</f>
        <v/>
      </c>
      <c r="B180" s="50" t="n">
        <v>0</v>
      </c>
      <c r="C180" s="50">
        <f>Subsurface_Inputs!$C$57+1.5*SIN(2*PI()*A180/35)</f>
        <v/>
      </c>
      <c r="D180" s="50">
        <f>Subsurface_Live_Data!M180+Subsurface_Inputs!$C$56*SIN(2*PI()*A180/31)</f>
        <v/>
      </c>
      <c r="E180" s="50">
        <f>IF(Subsurface_Live_Data!H180&gt;=Subsurface_Inputs!$C$42,Subsurface_Live_Data!N180+Subsurface_Inputs!$C$56*SIN(2*PI()*A180/27),NA())</f>
        <v/>
      </c>
      <c r="F180" s="50">
        <f>Subsurface_Live_Data!O180+Subsurface_Inputs!$C$56*SIN(2*PI()*A180/47)</f>
        <v/>
      </c>
      <c r="G180" s="50">
        <f>-55+3*SIN(2*PI()*A180/19)</f>
        <v/>
      </c>
    </row>
    <row r="181">
      <c r="A181" s="50">
        <f>Subsurface_Live_Data!A181</f>
        <v/>
      </c>
      <c r="B181" s="50" t="n">
        <v>0</v>
      </c>
      <c r="C181" s="50">
        <f>Subsurface_Inputs!$C$57+1.5*SIN(2*PI()*A181/35)</f>
        <v/>
      </c>
      <c r="D181" s="50">
        <f>Subsurface_Live_Data!M181+Subsurface_Inputs!$C$56*SIN(2*PI()*A181/31)</f>
        <v/>
      </c>
      <c r="E181" s="50">
        <f>IF(Subsurface_Live_Data!H181&gt;=Subsurface_Inputs!$C$42,Subsurface_Live_Data!N181+Subsurface_Inputs!$C$56*SIN(2*PI()*A181/27),NA())</f>
        <v/>
      </c>
      <c r="F181" s="50">
        <f>Subsurface_Live_Data!O181+Subsurface_Inputs!$C$56*SIN(2*PI()*A181/47)</f>
        <v/>
      </c>
      <c r="G181" s="50">
        <f>-55+3*SIN(2*PI()*A181/19)</f>
        <v/>
      </c>
    </row>
    <row r="182">
      <c r="A182" s="50">
        <f>Subsurface_Live_Data!A182</f>
        <v/>
      </c>
      <c r="B182" s="50" t="n">
        <v>0</v>
      </c>
      <c r="C182" s="50">
        <f>Subsurface_Inputs!$C$57+1.5*SIN(2*PI()*A182/35)</f>
        <v/>
      </c>
      <c r="D182" s="50">
        <f>Subsurface_Live_Data!M182+Subsurface_Inputs!$C$56*SIN(2*PI()*A182/31)</f>
        <v/>
      </c>
      <c r="E182" s="50">
        <f>IF(Subsurface_Live_Data!H182&gt;=Subsurface_Inputs!$C$42,Subsurface_Live_Data!N182+Subsurface_Inputs!$C$56*SIN(2*PI()*A182/27),NA())</f>
        <v/>
      </c>
      <c r="F182" s="50">
        <f>Subsurface_Live_Data!O182+Subsurface_Inputs!$C$56*SIN(2*PI()*A182/47)</f>
        <v/>
      </c>
      <c r="G182" s="50">
        <f>-55+3*SIN(2*PI()*A182/19)</f>
        <v/>
      </c>
    </row>
    <row r="183">
      <c r="A183" s="50">
        <f>Subsurface_Live_Data!A183</f>
        <v/>
      </c>
      <c r="B183" s="50" t="n">
        <v>0</v>
      </c>
      <c r="C183" s="50">
        <f>Subsurface_Inputs!$C$57+1.5*SIN(2*PI()*A183/35)</f>
        <v/>
      </c>
      <c r="D183" s="50">
        <f>Subsurface_Live_Data!M183+Subsurface_Inputs!$C$56*SIN(2*PI()*A183/31)</f>
        <v/>
      </c>
      <c r="E183" s="50">
        <f>IF(Subsurface_Live_Data!H183&gt;=Subsurface_Inputs!$C$42,Subsurface_Live_Data!N183+Subsurface_Inputs!$C$56*SIN(2*PI()*A183/27),NA())</f>
        <v/>
      </c>
      <c r="F183" s="50">
        <f>Subsurface_Live_Data!O183+Subsurface_Inputs!$C$56*SIN(2*PI()*A183/47)</f>
        <v/>
      </c>
      <c r="G183" s="50">
        <f>-55+3*SIN(2*PI()*A183/19)</f>
        <v/>
      </c>
    </row>
    <row r="184">
      <c r="A184" s="50">
        <f>Subsurface_Live_Data!A184</f>
        <v/>
      </c>
      <c r="B184" s="50" t="n">
        <v>0</v>
      </c>
      <c r="C184" s="50">
        <f>Subsurface_Inputs!$C$57+1.5*SIN(2*PI()*A184/35)</f>
        <v/>
      </c>
      <c r="D184" s="50">
        <f>Subsurface_Live_Data!M184+Subsurface_Inputs!$C$56*SIN(2*PI()*A184/31)</f>
        <v/>
      </c>
      <c r="E184" s="50">
        <f>IF(Subsurface_Live_Data!H184&gt;=Subsurface_Inputs!$C$42,Subsurface_Live_Data!N184+Subsurface_Inputs!$C$56*SIN(2*PI()*A184/27),NA())</f>
        <v/>
      </c>
      <c r="F184" s="50">
        <f>Subsurface_Live_Data!O184+Subsurface_Inputs!$C$56*SIN(2*PI()*A184/47)</f>
        <v/>
      </c>
      <c r="G184" s="50">
        <f>-55+3*SIN(2*PI()*A184/19)</f>
        <v/>
      </c>
    </row>
    <row r="185">
      <c r="A185" s="50">
        <f>Subsurface_Live_Data!A185</f>
        <v/>
      </c>
      <c r="B185" s="50" t="n">
        <v>0</v>
      </c>
      <c r="C185" s="50">
        <f>Subsurface_Inputs!$C$57+1.5*SIN(2*PI()*A185/35)</f>
        <v/>
      </c>
      <c r="D185" s="50">
        <f>Subsurface_Live_Data!M185+Subsurface_Inputs!$C$56*SIN(2*PI()*A185/31)</f>
        <v/>
      </c>
      <c r="E185" s="50">
        <f>IF(Subsurface_Live_Data!H185&gt;=Subsurface_Inputs!$C$42,Subsurface_Live_Data!N185+Subsurface_Inputs!$C$56*SIN(2*PI()*A185/27),NA())</f>
        <v/>
      </c>
      <c r="F185" s="50">
        <f>Subsurface_Live_Data!O185+Subsurface_Inputs!$C$56*SIN(2*PI()*A185/47)</f>
        <v/>
      </c>
      <c r="G185" s="50">
        <f>-55+3*SIN(2*PI()*A185/19)</f>
        <v/>
      </c>
    </row>
    <row r="186">
      <c r="A186" s="50">
        <f>Subsurface_Live_Data!A186</f>
        <v/>
      </c>
      <c r="B186" s="50" t="n">
        <v>0</v>
      </c>
      <c r="C186" s="50">
        <f>Subsurface_Inputs!$C$57+1.5*SIN(2*PI()*A186/35)</f>
        <v/>
      </c>
      <c r="D186" s="50">
        <f>Subsurface_Live_Data!M186+Subsurface_Inputs!$C$56*SIN(2*PI()*A186/31)</f>
        <v/>
      </c>
      <c r="E186" s="50">
        <f>IF(Subsurface_Live_Data!H186&gt;=Subsurface_Inputs!$C$42,Subsurface_Live_Data!N186+Subsurface_Inputs!$C$56*SIN(2*PI()*A186/27),NA())</f>
        <v/>
      </c>
      <c r="F186" s="50">
        <f>Subsurface_Live_Data!O186+Subsurface_Inputs!$C$56*SIN(2*PI()*A186/47)</f>
        <v/>
      </c>
      <c r="G186" s="50">
        <f>-55+3*SIN(2*PI()*A186/19)</f>
        <v/>
      </c>
    </row>
    <row r="187">
      <c r="A187" s="50">
        <f>Subsurface_Live_Data!A187</f>
        <v/>
      </c>
      <c r="B187" s="50" t="n">
        <v>0</v>
      </c>
      <c r="C187" s="50">
        <f>Subsurface_Inputs!$C$57+1.5*SIN(2*PI()*A187/35)</f>
        <v/>
      </c>
      <c r="D187" s="50">
        <f>Subsurface_Live_Data!M187+Subsurface_Inputs!$C$56*SIN(2*PI()*A187/31)</f>
        <v/>
      </c>
      <c r="E187" s="50">
        <f>IF(Subsurface_Live_Data!H187&gt;=Subsurface_Inputs!$C$42,Subsurface_Live_Data!N187+Subsurface_Inputs!$C$56*SIN(2*PI()*A187/27),NA())</f>
        <v/>
      </c>
      <c r="F187" s="50">
        <f>Subsurface_Live_Data!O187+Subsurface_Inputs!$C$56*SIN(2*PI()*A187/47)</f>
        <v/>
      </c>
      <c r="G187" s="50">
        <f>-55+3*SIN(2*PI()*A187/19)</f>
        <v/>
      </c>
    </row>
    <row r="188">
      <c r="A188" s="50">
        <f>Subsurface_Live_Data!A188</f>
        <v/>
      </c>
      <c r="B188" s="50" t="n">
        <v>0</v>
      </c>
      <c r="C188" s="50">
        <f>Subsurface_Inputs!$C$57+1.5*SIN(2*PI()*A188/35)</f>
        <v/>
      </c>
      <c r="D188" s="50">
        <f>Subsurface_Live_Data!M188+Subsurface_Inputs!$C$56*SIN(2*PI()*A188/31)</f>
        <v/>
      </c>
      <c r="E188" s="50">
        <f>IF(Subsurface_Live_Data!H188&gt;=Subsurface_Inputs!$C$42,Subsurface_Live_Data!N188+Subsurface_Inputs!$C$56*SIN(2*PI()*A188/27),NA())</f>
        <v/>
      </c>
      <c r="F188" s="50">
        <f>Subsurface_Live_Data!O188+Subsurface_Inputs!$C$56*SIN(2*PI()*A188/47)</f>
        <v/>
      </c>
      <c r="G188" s="50">
        <f>-55+3*SIN(2*PI()*A188/19)</f>
        <v/>
      </c>
    </row>
    <row r="189">
      <c r="A189" s="50">
        <f>Subsurface_Live_Data!A189</f>
        <v/>
      </c>
      <c r="B189" s="50" t="n">
        <v>0</v>
      </c>
      <c r="C189" s="50">
        <f>Subsurface_Inputs!$C$57+1.5*SIN(2*PI()*A189/35)</f>
        <v/>
      </c>
      <c r="D189" s="50">
        <f>Subsurface_Live_Data!M189+Subsurface_Inputs!$C$56*SIN(2*PI()*A189/31)</f>
        <v/>
      </c>
      <c r="E189" s="50">
        <f>IF(Subsurface_Live_Data!H189&gt;=Subsurface_Inputs!$C$42,Subsurface_Live_Data!N189+Subsurface_Inputs!$C$56*SIN(2*PI()*A189/27),NA())</f>
        <v/>
      </c>
      <c r="F189" s="50">
        <f>Subsurface_Live_Data!O189+Subsurface_Inputs!$C$56*SIN(2*PI()*A189/47)</f>
        <v/>
      </c>
      <c r="G189" s="50">
        <f>-55+3*SIN(2*PI()*A189/19)</f>
        <v/>
      </c>
    </row>
    <row r="190">
      <c r="A190" s="50">
        <f>Subsurface_Live_Data!A190</f>
        <v/>
      </c>
      <c r="B190" s="50" t="n">
        <v>0</v>
      </c>
      <c r="C190" s="50">
        <f>Subsurface_Inputs!$C$57+1.5*SIN(2*PI()*A190/35)</f>
        <v/>
      </c>
      <c r="D190" s="50">
        <f>Subsurface_Live_Data!M190+Subsurface_Inputs!$C$56*SIN(2*PI()*A190/31)</f>
        <v/>
      </c>
      <c r="E190" s="50">
        <f>IF(Subsurface_Live_Data!H190&gt;=Subsurface_Inputs!$C$42,Subsurface_Live_Data!N190+Subsurface_Inputs!$C$56*SIN(2*PI()*A190/27),NA())</f>
        <v/>
      </c>
      <c r="F190" s="50">
        <f>Subsurface_Live_Data!O190+Subsurface_Inputs!$C$56*SIN(2*PI()*A190/47)</f>
        <v/>
      </c>
      <c r="G190" s="50">
        <f>-55+3*SIN(2*PI()*A190/19)</f>
        <v/>
      </c>
    </row>
    <row r="191">
      <c r="A191" s="50">
        <f>Subsurface_Live_Data!A191</f>
        <v/>
      </c>
      <c r="B191" s="50" t="n">
        <v>0</v>
      </c>
      <c r="C191" s="50">
        <f>Subsurface_Inputs!$C$57+1.5*SIN(2*PI()*A191/35)</f>
        <v/>
      </c>
      <c r="D191" s="50">
        <f>Subsurface_Live_Data!M191+Subsurface_Inputs!$C$56*SIN(2*PI()*A191/31)</f>
        <v/>
      </c>
      <c r="E191" s="50">
        <f>IF(Subsurface_Live_Data!H191&gt;=Subsurface_Inputs!$C$42,Subsurface_Live_Data!N191+Subsurface_Inputs!$C$56*SIN(2*PI()*A191/27),NA())</f>
        <v/>
      </c>
      <c r="F191" s="50">
        <f>Subsurface_Live_Data!O191+Subsurface_Inputs!$C$56*SIN(2*PI()*A191/47)</f>
        <v/>
      </c>
      <c r="G191" s="50">
        <f>-55+3*SIN(2*PI()*A191/19)</f>
        <v/>
      </c>
    </row>
    <row r="192">
      <c r="A192" s="50">
        <f>Subsurface_Live_Data!A192</f>
        <v/>
      </c>
      <c r="B192" s="50" t="n">
        <v>0</v>
      </c>
      <c r="C192" s="50">
        <f>Subsurface_Inputs!$C$57+1.5*SIN(2*PI()*A192/35)</f>
        <v/>
      </c>
      <c r="D192" s="50">
        <f>Subsurface_Live_Data!M192+Subsurface_Inputs!$C$56*SIN(2*PI()*A192/31)</f>
        <v/>
      </c>
      <c r="E192" s="50">
        <f>IF(Subsurface_Live_Data!H192&gt;=Subsurface_Inputs!$C$42,Subsurface_Live_Data!N192+Subsurface_Inputs!$C$56*SIN(2*PI()*A192/27),NA())</f>
        <v/>
      </c>
      <c r="F192" s="50">
        <f>Subsurface_Live_Data!O192+Subsurface_Inputs!$C$56*SIN(2*PI()*A192/47)</f>
        <v/>
      </c>
      <c r="G192" s="50">
        <f>-55+3*SIN(2*PI()*A192/19)</f>
        <v/>
      </c>
    </row>
    <row r="193">
      <c r="A193" s="50">
        <f>Subsurface_Live_Data!A193</f>
        <v/>
      </c>
      <c r="B193" s="50" t="n">
        <v>0</v>
      </c>
      <c r="C193" s="50">
        <f>Subsurface_Inputs!$C$57+1.5*SIN(2*PI()*A193/35)</f>
        <v/>
      </c>
      <c r="D193" s="50">
        <f>Subsurface_Live_Data!M193+Subsurface_Inputs!$C$56*SIN(2*PI()*A193/31)</f>
        <v/>
      </c>
      <c r="E193" s="50">
        <f>IF(Subsurface_Live_Data!H193&gt;=Subsurface_Inputs!$C$42,Subsurface_Live_Data!N193+Subsurface_Inputs!$C$56*SIN(2*PI()*A193/27),NA())</f>
        <v/>
      </c>
      <c r="F193" s="50">
        <f>Subsurface_Live_Data!O193+Subsurface_Inputs!$C$56*SIN(2*PI()*A193/47)</f>
        <v/>
      </c>
      <c r="G193" s="50">
        <f>-55+3*SIN(2*PI()*A193/19)</f>
        <v/>
      </c>
    </row>
    <row r="194">
      <c r="A194" s="50">
        <f>Subsurface_Live_Data!A194</f>
        <v/>
      </c>
      <c r="B194" s="50" t="n">
        <v>0</v>
      </c>
      <c r="C194" s="50">
        <f>Subsurface_Inputs!$C$57+1.5*SIN(2*PI()*A194/35)</f>
        <v/>
      </c>
      <c r="D194" s="50">
        <f>Subsurface_Live_Data!M194+Subsurface_Inputs!$C$56*SIN(2*PI()*A194/31)</f>
        <v/>
      </c>
      <c r="E194" s="50">
        <f>IF(Subsurface_Live_Data!H194&gt;=Subsurface_Inputs!$C$42,Subsurface_Live_Data!N194+Subsurface_Inputs!$C$56*SIN(2*PI()*A194/27),NA())</f>
        <v/>
      </c>
      <c r="F194" s="50">
        <f>Subsurface_Live_Data!O194+Subsurface_Inputs!$C$56*SIN(2*PI()*A194/47)</f>
        <v/>
      </c>
      <c r="G194" s="50">
        <f>-55+3*SIN(2*PI()*A194/19)</f>
        <v/>
      </c>
    </row>
    <row r="195">
      <c r="A195" s="50">
        <f>Subsurface_Live_Data!A195</f>
        <v/>
      </c>
      <c r="B195" s="50" t="n">
        <v>0</v>
      </c>
      <c r="C195" s="50">
        <f>Subsurface_Inputs!$C$57+1.5*SIN(2*PI()*A195/35)</f>
        <v/>
      </c>
      <c r="D195" s="50">
        <f>Subsurface_Live_Data!M195+Subsurface_Inputs!$C$56*SIN(2*PI()*A195/31)</f>
        <v/>
      </c>
      <c r="E195" s="50">
        <f>IF(Subsurface_Live_Data!H195&gt;=Subsurface_Inputs!$C$42,Subsurface_Live_Data!N195+Subsurface_Inputs!$C$56*SIN(2*PI()*A195/27),NA())</f>
        <v/>
      </c>
      <c r="F195" s="50">
        <f>Subsurface_Live_Data!O195+Subsurface_Inputs!$C$56*SIN(2*PI()*A195/47)</f>
        <v/>
      </c>
      <c r="G195" s="50">
        <f>-55+3*SIN(2*PI()*A195/19)</f>
        <v/>
      </c>
    </row>
    <row r="196">
      <c r="A196" s="50">
        <f>Subsurface_Live_Data!A196</f>
        <v/>
      </c>
      <c r="B196" s="50" t="n">
        <v>0</v>
      </c>
      <c r="C196" s="50">
        <f>Subsurface_Inputs!$C$57+1.5*SIN(2*PI()*A196/35)</f>
        <v/>
      </c>
      <c r="D196" s="50">
        <f>Subsurface_Live_Data!M196+Subsurface_Inputs!$C$56*SIN(2*PI()*A196/31)</f>
        <v/>
      </c>
      <c r="E196" s="50">
        <f>IF(Subsurface_Live_Data!H196&gt;=Subsurface_Inputs!$C$42,Subsurface_Live_Data!N196+Subsurface_Inputs!$C$56*SIN(2*PI()*A196/27),NA())</f>
        <v/>
      </c>
      <c r="F196" s="50">
        <f>Subsurface_Live_Data!O196+Subsurface_Inputs!$C$56*SIN(2*PI()*A196/47)</f>
        <v/>
      </c>
      <c r="G196" s="50">
        <f>-55+3*SIN(2*PI()*A196/19)</f>
        <v/>
      </c>
    </row>
    <row r="197">
      <c r="A197" s="50">
        <f>Subsurface_Live_Data!A197</f>
        <v/>
      </c>
      <c r="B197" s="50" t="n">
        <v>0</v>
      </c>
      <c r="C197" s="50">
        <f>Subsurface_Inputs!$C$57+1.5*SIN(2*PI()*A197/35)</f>
        <v/>
      </c>
      <c r="D197" s="50">
        <f>Subsurface_Live_Data!M197+Subsurface_Inputs!$C$56*SIN(2*PI()*A197/31)</f>
        <v/>
      </c>
      <c r="E197" s="50">
        <f>IF(Subsurface_Live_Data!H197&gt;=Subsurface_Inputs!$C$42,Subsurface_Live_Data!N197+Subsurface_Inputs!$C$56*SIN(2*PI()*A197/27),NA())</f>
        <v/>
      </c>
      <c r="F197" s="50">
        <f>Subsurface_Live_Data!O197+Subsurface_Inputs!$C$56*SIN(2*PI()*A197/47)</f>
        <v/>
      </c>
      <c r="G197" s="50">
        <f>-55+3*SIN(2*PI()*A197/19)</f>
        <v/>
      </c>
    </row>
    <row r="198">
      <c r="A198" s="50">
        <f>Subsurface_Live_Data!A198</f>
        <v/>
      </c>
      <c r="B198" s="50" t="n">
        <v>0</v>
      </c>
      <c r="C198" s="50">
        <f>Subsurface_Inputs!$C$57+1.5*SIN(2*PI()*A198/35)</f>
        <v/>
      </c>
      <c r="D198" s="50">
        <f>Subsurface_Live_Data!M198+Subsurface_Inputs!$C$56*SIN(2*PI()*A198/31)</f>
        <v/>
      </c>
      <c r="E198" s="50">
        <f>IF(Subsurface_Live_Data!H198&gt;=Subsurface_Inputs!$C$42,Subsurface_Live_Data!N198+Subsurface_Inputs!$C$56*SIN(2*PI()*A198/27),NA())</f>
        <v/>
      </c>
      <c r="F198" s="50">
        <f>Subsurface_Live_Data!O198+Subsurface_Inputs!$C$56*SIN(2*PI()*A198/47)</f>
        <v/>
      </c>
      <c r="G198" s="50">
        <f>-55+3*SIN(2*PI()*A198/19)</f>
        <v/>
      </c>
    </row>
    <row r="199">
      <c r="A199" s="50">
        <f>Subsurface_Live_Data!A199</f>
        <v/>
      </c>
      <c r="B199" s="50" t="n">
        <v>0</v>
      </c>
      <c r="C199" s="50">
        <f>Subsurface_Inputs!$C$57+1.5*SIN(2*PI()*A199/35)</f>
        <v/>
      </c>
      <c r="D199" s="50">
        <f>Subsurface_Live_Data!M199+Subsurface_Inputs!$C$56*SIN(2*PI()*A199/31)</f>
        <v/>
      </c>
      <c r="E199" s="50">
        <f>IF(Subsurface_Live_Data!H199&gt;=Subsurface_Inputs!$C$42,Subsurface_Live_Data!N199+Subsurface_Inputs!$C$56*SIN(2*PI()*A199/27),NA())</f>
        <v/>
      </c>
      <c r="F199" s="50">
        <f>Subsurface_Live_Data!O199+Subsurface_Inputs!$C$56*SIN(2*PI()*A199/47)</f>
        <v/>
      </c>
      <c r="G199" s="50">
        <f>-55+3*SIN(2*PI()*A199/19)</f>
        <v/>
      </c>
    </row>
    <row r="200">
      <c r="A200" s="50">
        <f>Subsurface_Live_Data!A200</f>
        <v/>
      </c>
      <c r="B200" s="50" t="n">
        <v>0</v>
      </c>
      <c r="C200" s="50">
        <f>Subsurface_Inputs!$C$57+1.5*SIN(2*PI()*A200/35)</f>
        <v/>
      </c>
      <c r="D200" s="50">
        <f>Subsurface_Live_Data!M200+Subsurface_Inputs!$C$56*SIN(2*PI()*A200/31)</f>
        <v/>
      </c>
      <c r="E200" s="50">
        <f>IF(Subsurface_Live_Data!H200&gt;=Subsurface_Inputs!$C$42,Subsurface_Live_Data!N200+Subsurface_Inputs!$C$56*SIN(2*PI()*A200/27),NA())</f>
        <v/>
      </c>
      <c r="F200" s="50">
        <f>Subsurface_Live_Data!O200+Subsurface_Inputs!$C$56*SIN(2*PI()*A200/47)</f>
        <v/>
      </c>
      <c r="G200" s="50">
        <f>-55+3*SIN(2*PI()*A200/19)</f>
        <v/>
      </c>
    </row>
    <row r="201">
      <c r="A201" s="50">
        <f>Subsurface_Live_Data!A201</f>
        <v/>
      </c>
      <c r="B201" s="50" t="n">
        <v>0</v>
      </c>
      <c r="C201" s="50">
        <f>Subsurface_Inputs!$C$57+1.5*SIN(2*PI()*A201/35)</f>
        <v/>
      </c>
      <c r="D201" s="50">
        <f>Subsurface_Live_Data!M201+Subsurface_Inputs!$C$56*SIN(2*PI()*A201/31)</f>
        <v/>
      </c>
      <c r="E201" s="50">
        <f>IF(Subsurface_Live_Data!H201&gt;=Subsurface_Inputs!$C$42,Subsurface_Live_Data!N201+Subsurface_Inputs!$C$56*SIN(2*PI()*A201/27),NA())</f>
        <v/>
      </c>
      <c r="F201" s="50">
        <f>Subsurface_Live_Data!O201+Subsurface_Inputs!$C$56*SIN(2*PI()*A201/47)</f>
        <v/>
      </c>
      <c r="G201" s="50">
        <f>-55+3*SIN(2*PI()*A201/19)</f>
        <v/>
      </c>
    </row>
    <row r="202">
      <c r="A202" s="50">
        <f>Subsurface_Live_Data!A202</f>
        <v/>
      </c>
      <c r="B202" s="50" t="n">
        <v>0</v>
      </c>
      <c r="C202" s="50">
        <f>Subsurface_Inputs!$C$57+1.5*SIN(2*PI()*A202/35)</f>
        <v/>
      </c>
      <c r="D202" s="50">
        <f>Subsurface_Live_Data!M202+Subsurface_Inputs!$C$56*SIN(2*PI()*A202/31)</f>
        <v/>
      </c>
      <c r="E202" s="50">
        <f>IF(Subsurface_Live_Data!H202&gt;=Subsurface_Inputs!$C$42,Subsurface_Live_Data!N202+Subsurface_Inputs!$C$56*SIN(2*PI()*A202/27),NA())</f>
        <v/>
      </c>
      <c r="F202" s="50">
        <f>Subsurface_Live_Data!O202+Subsurface_Inputs!$C$56*SIN(2*PI()*A202/47)</f>
        <v/>
      </c>
      <c r="G202" s="50">
        <f>-55+3*SIN(2*PI()*A202/19)</f>
        <v/>
      </c>
    </row>
    <row r="203">
      <c r="A203" s="50">
        <f>Subsurface_Live_Data!A203</f>
        <v/>
      </c>
      <c r="B203" s="50" t="n">
        <v>0</v>
      </c>
      <c r="C203" s="50">
        <f>Subsurface_Inputs!$C$57+1.5*SIN(2*PI()*A203/35)</f>
        <v/>
      </c>
      <c r="D203" s="50">
        <f>Subsurface_Live_Data!M203+Subsurface_Inputs!$C$56*SIN(2*PI()*A203/31)</f>
        <v/>
      </c>
      <c r="E203" s="50">
        <f>IF(Subsurface_Live_Data!H203&gt;=Subsurface_Inputs!$C$42,Subsurface_Live_Data!N203+Subsurface_Inputs!$C$56*SIN(2*PI()*A203/27),NA())</f>
        <v/>
      </c>
      <c r="F203" s="50">
        <f>Subsurface_Live_Data!O203+Subsurface_Inputs!$C$56*SIN(2*PI()*A203/47)</f>
        <v/>
      </c>
      <c r="G203" s="50">
        <f>-55+3*SIN(2*PI()*A203/19)</f>
        <v/>
      </c>
    </row>
    <row r="204">
      <c r="A204" s="50">
        <f>Subsurface_Live_Data!A204</f>
        <v/>
      </c>
      <c r="B204" s="50" t="n">
        <v>0</v>
      </c>
      <c r="C204" s="50">
        <f>Subsurface_Inputs!$C$57+1.5*SIN(2*PI()*A204/35)</f>
        <v/>
      </c>
      <c r="D204" s="50">
        <f>Subsurface_Live_Data!M204+Subsurface_Inputs!$C$56*SIN(2*PI()*A204/31)</f>
        <v/>
      </c>
      <c r="E204" s="50">
        <f>IF(Subsurface_Live_Data!H204&gt;=Subsurface_Inputs!$C$42,Subsurface_Live_Data!N204+Subsurface_Inputs!$C$56*SIN(2*PI()*A204/27),NA())</f>
        <v/>
      </c>
      <c r="F204" s="50">
        <f>Subsurface_Live_Data!O204+Subsurface_Inputs!$C$56*SIN(2*PI()*A204/47)</f>
        <v/>
      </c>
      <c r="G204" s="50">
        <f>-55+3*SIN(2*PI()*A204/19)</f>
        <v/>
      </c>
    </row>
    <row r="205">
      <c r="A205" s="50">
        <f>Subsurface_Live_Data!A205</f>
        <v/>
      </c>
      <c r="B205" s="50" t="n">
        <v>0</v>
      </c>
      <c r="C205" s="50">
        <f>Subsurface_Inputs!$C$57+1.5*SIN(2*PI()*A205/35)</f>
        <v/>
      </c>
      <c r="D205" s="50">
        <f>Subsurface_Live_Data!M205+Subsurface_Inputs!$C$56*SIN(2*PI()*A205/31)</f>
        <v/>
      </c>
      <c r="E205" s="50">
        <f>IF(Subsurface_Live_Data!H205&gt;=Subsurface_Inputs!$C$42,Subsurface_Live_Data!N205+Subsurface_Inputs!$C$56*SIN(2*PI()*A205/27),NA())</f>
        <v/>
      </c>
      <c r="F205" s="50">
        <f>Subsurface_Live_Data!O205+Subsurface_Inputs!$C$56*SIN(2*PI()*A205/47)</f>
        <v/>
      </c>
      <c r="G205" s="50">
        <f>-55+3*SIN(2*PI()*A205/19)</f>
        <v/>
      </c>
    </row>
    <row r="206">
      <c r="A206" s="50">
        <f>Subsurface_Live_Data!A206</f>
        <v/>
      </c>
      <c r="B206" s="50" t="n">
        <v>0</v>
      </c>
      <c r="C206" s="50">
        <f>Subsurface_Inputs!$C$57+1.5*SIN(2*PI()*A206/35)</f>
        <v/>
      </c>
      <c r="D206" s="50">
        <f>Subsurface_Live_Data!M206+Subsurface_Inputs!$C$56*SIN(2*PI()*A206/31)</f>
        <v/>
      </c>
      <c r="E206" s="50">
        <f>IF(Subsurface_Live_Data!H206&gt;=Subsurface_Inputs!$C$42,Subsurface_Live_Data!N206+Subsurface_Inputs!$C$56*SIN(2*PI()*A206/27),NA())</f>
        <v/>
      </c>
      <c r="F206" s="50">
        <f>Subsurface_Live_Data!O206+Subsurface_Inputs!$C$56*SIN(2*PI()*A206/47)</f>
        <v/>
      </c>
      <c r="G206" s="50">
        <f>-55+3*SIN(2*PI()*A206/19)</f>
        <v/>
      </c>
    </row>
    <row r="207">
      <c r="A207" s="50">
        <f>Subsurface_Live_Data!A207</f>
        <v/>
      </c>
      <c r="B207" s="50" t="n">
        <v>0</v>
      </c>
      <c r="C207" s="50">
        <f>Subsurface_Inputs!$C$57+1.5*SIN(2*PI()*A207/35)</f>
        <v/>
      </c>
      <c r="D207" s="50">
        <f>Subsurface_Live_Data!M207+Subsurface_Inputs!$C$56*SIN(2*PI()*A207/31)</f>
        <v/>
      </c>
      <c r="E207" s="50">
        <f>IF(Subsurface_Live_Data!H207&gt;=Subsurface_Inputs!$C$42,Subsurface_Live_Data!N207+Subsurface_Inputs!$C$56*SIN(2*PI()*A207/27),NA())</f>
        <v/>
      </c>
      <c r="F207" s="50">
        <f>Subsurface_Live_Data!O207+Subsurface_Inputs!$C$56*SIN(2*PI()*A207/47)</f>
        <v/>
      </c>
      <c r="G207" s="50">
        <f>-55+3*SIN(2*PI()*A207/19)</f>
        <v/>
      </c>
    </row>
    <row r="208">
      <c r="A208" s="50">
        <f>Subsurface_Live_Data!A208</f>
        <v/>
      </c>
      <c r="B208" s="50" t="n">
        <v>0</v>
      </c>
      <c r="C208" s="50">
        <f>Subsurface_Inputs!$C$57+1.5*SIN(2*PI()*A208/35)</f>
        <v/>
      </c>
      <c r="D208" s="50">
        <f>Subsurface_Live_Data!M208+Subsurface_Inputs!$C$56*SIN(2*PI()*A208/31)</f>
        <v/>
      </c>
      <c r="E208" s="50">
        <f>IF(Subsurface_Live_Data!H208&gt;=Subsurface_Inputs!$C$42,Subsurface_Live_Data!N208+Subsurface_Inputs!$C$56*SIN(2*PI()*A208/27),NA())</f>
        <v/>
      </c>
      <c r="F208" s="50">
        <f>Subsurface_Live_Data!O208+Subsurface_Inputs!$C$56*SIN(2*PI()*A208/47)</f>
        <v/>
      </c>
      <c r="G208" s="50">
        <f>-55+3*SIN(2*PI()*A208/19)</f>
        <v/>
      </c>
    </row>
    <row r="209">
      <c r="A209" s="50">
        <f>Subsurface_Live_Data!A209</f>
        <v/>
      </c>
      <c r="B209" s="50" t="n">
        <v>0</v>
      </c>
      <c r="C209" s="50">
        <f>Subsurface_Inputs!$C$57+1.5*SIN(2*PI()*A209/35)</f>
        <v/>
      </c>
      <c r="D209" s="50">
        <f>Subsurface_Live_Data!M209+Subsurface_Inputs!$C$56*SIN(2*PI()*A209/31)</f>
        <v/>
      </c>
      <c r="E209" s="50">
        <f>IF(Subsurface_Live_Data!H209&gt;=Subsurface_Inputs!$C$42,Subsurface_Live_Data!N209+Subsurface_Inputs!$C$56*SIN(2*PI()*A209/27),NA())</f>
        <v/>
      </c>
      <c r="F209" s="50">
        <f>Subsurface_Live_Data!O209+Subsurface_Inputs!$C$56*SIN(2*PI()*A209/47)</f>
        <v/>
      </c>
      <c r="G209" s="50">
        <f>-55+3*SIN(2*PI()*A209/19)</f>
        <v/>
      </c>
    </row>
    <row r="210">
      <c r="A210" s="50">
        <f>Subsurface_Live_Data!A210</f>
        <v/>
      </c>
      <c r="B210" s="50" t="n">
        <v>0</v>
      </c>
      <c r="C210" s="50">
        <f>Subsurface_Inputs!$C$57+1.5*SIN(2*PI()*A210/35)</f>
        <v/>
      </c>
      <c r="D210" s="50">
        <f>Subsurface_Live_Data!M210+Subsurface_Inputs!$C$56*SIN(2*PI()*A210/31)</f>
        <v/>
      </c>
      <c r="E210" s="50">
        <f>IF(Subsurface_Live_Data!H210&gt;=Subsurface_Inputs!$C$42,Subsurface_Live_Data!N210+Subsurface_Inputs!$C$56*SIN(2*PI()*A210/27),NA())</f>
        <v/>
      </c>
      <c r="F210" s="50">
        <f>Subsurface_Live_Data!O210+Subsurface_Inputs!$C$56*SIN(2*PI()*A210/47)</f>
        <v/>
      </c>
      <c r="G210" s="50">
        <f>-55+3*SIN(2*PI()*A210/19)</f>
        <v/>
      </c>
    </row>
    <row r="211">
      <c r="A211" s="50">
        <f>Subsurface_Live_Data!A211</f>
        <v/>
      </c>
      <c r="B211" s="50" t="n">
        <v>0</v>
      </c>
      <c r="C211" s="50">
        <f>Subsurface_Inputs!$C$57+1.5*SIN(2*PI()*A211/35)</f>
        <v/>
      </c>
      <c r="D211" s="50">
        <f>Subsurface_Live_Data!M211+Subsurface_Inputs!$C$56*SIN(2*PI()*A211/31)</f>
        <v/>
      </c>
      <c r="E211" s="50">
        <f>IF(Subsurface_Live_Data!H211&gt;=Subsurface_Inputs!$C$42,Subsurface_Live_Data!N211+Subsurface_Inputs!$C$56*SIN(2*PI()*A211/27),NA())</f>
        <v/>
      </c>
      <c r="F211" s="50">
        <f>Subsurface_Live_Data!O211+Subsurface_Inputs!$C$56*SIN(2*PI()*A211/47)</f>
        <v/>
      </c>
      <c r="G211" s="50">
        <f>-55+3*SIN(2*PI()*A211/19)</f>
        <v/>
      </c>
    </row>
    <row r="212">
      <c r="A212" s="50">
        <f>Subsurface_Live_Data!A212</f>
        <v/>
      </c>
      <c r="B212" s="50" t="n">
        <v>0</v>
      </c>
      <c r="C212" s="50">
        <f>Subsurface_Inputs!$C$57+1.5*SIN(2*PI()*A212/35)</f>
        <v/>
      </c>
      <c r="D212" s="50">
        <f>Subsurface_Live_Data!M212+Subsurface_Inputs!$C$56*SIN(2*PI()*A212/31)</f>
        <v/>
      </c>
      <c r="E212" s="50">
        <f>IF(Subsurface_Live_Data!H212&gt;=Subsurface_Inputs!$C$42,Subsurface_Live_Data!N212+Subsurface_Inputs!$C$56*SIN(2*PI()*A212/27),NA())</f>
        <v/>
      </c>
      <c r="F212" s="50">
        <f>Subsurface_Live_Data!O212+Subsurface_Inputs!$C$56*SIN(2*PI()*A212/47)</f>
        <v/>
      </c>
      <c r="G212" s="50">
        <f>-55+3*SIN(2*PI()*A212/19)</f>
        <v/>
      </c>
    </row>
    <row r="213">
      <c r="A213" s="50">
        <f>Subsurface_Live_Data!A213</f>
        <v/>
      </c>
      <c r="B213" s="50" t="n">
        <v>0</v>
      </c>
      <c r="C213" s="50">
        <f>Subsurface_Inputs!$C$57+1.5*SIN(2*PI()*A213/35)</f>
        <v/>
      </c>
      <c r="D213" s="50">
        <f>Subsurface_Live_Data!M213+Subsurface_Inputs!$C$56*SIN(2*PI()*A213/31)</f>
        <v/>
      </c>
      <c r="E213" s="50">
        <f>IF(Subsurface_Live_Data!H213&gt;=Subsurface_Inputs!$C$42,Subsurface_Live_Data!N213+Subsurface_Inputs!$C$56*SIN(2*PI()*A213/27),NA())</f>
        <v/>
      </c>
      <c r="F213" s="50">
        <f>Subsurface_Live_Data!O213+Subsurface_Inputs!$C$56*SIN(2*PI()*A213/47)</f>
        <v/>
      </c>
      <c r="G213" s="50">
        <f>-55+3*SIN(2*PI()*A213/19)</f>
        <v/>
      </c>
    </row>
    <row r="214">
      <c r="A214" s="50">
        <f>Subsurface_Live_Data!A214</f>
        <v/>
      </c>
      <c r="B214" s="50" t="n">
        <v>0</v>
      </c>
      <c r="C214" s="50">
        <f>Subsurface_Inputs!$C$57+1.5*SIN(2*PI()*A214/35)</f>
        <v/>
      </c>
      <c r="D214" s="50">
        <f>Subsurface_Live_Data!M214+Subsurface_Inputs!$C$56*SIN(2*PI()*A214/31)</f>
        <v/>
      </c>
      <c r="E214" s="50">
        <f>IF(Subsurface_Live_Data!H214&gt;=Subsurface_Inputs!$C$42,Subsurface_Live_Data!N214+Subsurface_Inputs!$C$56*SIN(2*PI()*A214/27),NA())</f>
        <v/>
      </c>
      <c r="F214" s="50">
        <f>Subsurface_Live_Data!O214+Subsurface_Inputs!$C$56*SIN(2*PI()*A214/47)</f>
        <v/>
      </c>
      <c r="G214" s="50">
        <f>-55+3*SIN(2*PI()*A214/19)</f>
        <v/>
      </c>
    </row>
    <row r="215">
      <c r="A215" s="50">
        <f>Subsurface_Live_Data!A215</f>
        <v/>
      </c>
      <c r="B215" s="50" t="n">
        <v>0</v>
      </c>
      <c r="C215" s="50">
        <f>Subsurface_Inputs!$C$57+1.5*SIN(2*PI()*A215/35)</f>
        <v/>
      </c>
      <c r="D215" s="50">
        <f>Subsurface_Live_Data!M215+Subsurface_Inputs!$C$56*SIN(2*PI()*A215/31)</f>
        <v/>
      </c>
      <c r="E215" s="50">
        <f>IF(Subsurface_Live_Data!H215&gt;=Subsurface_Inputs!$C$42,Subsurface_Live_Data!N215+Subsurface_Inputs!$C$56*SIN(2*PI()*A215/27),NA())</f>
        <v/>
      </c>
      <c r="F215" s="50">
        <f>Subsurface_Live_Data!O215+Subsurface_Inputs!$C$56*SIN(2*PI()*A215/47)</f>
        <v/>
      </c>
      <c r="G215" s="50">
        <f>-55+3*SIN(2*PI()*A215/19)</f>
        <v/>
      </c>
    </row>
    <row r="216">
      <c r="A216" s="50">
        <f>Subsurface_Live_Data!A216</f>
        <v/>
      </c>
      <c r="B216" s="50" t="n">
        <v>0</v>
      </c>
      <c r="C216" s="50">
        <f>Subsurface_Inputs!$C$57+1.5*SIN(2*PI()*A216/35)</f>
        <v/>
      </c>
      <c r="D216" s="50">
        <f>Subsurface_Live_Data!M216+Subsurface_Inputs!$C$56*SIN(2*PI()*A216/31)</f>
        <v/>
      </c>
      <c r="E216" s="50">
        <f>IF(Subsurface_Live_Data!H216&gt;=Subsurface_Inputs!$C$42,Subsurface_Live_Data!N216+Subsurface_Inputs!$C$56*SIN(2*PI()*A216/27),NA())</f>
        <v/>
      </c>
      <c r="F216" s="50">
        <f>Subsurface_Live_Data!O216+Subsurface_Inputs!$C$56*SIN(2*PI()*A216/47)</f>
        <v/>
      </c>
      <c r="G216" s="50">
        <f>-55+3*SIN(2*PI()*A216/19)</f>
        <v/>
      </c>
    </row>
    <row r="217">
      <c r="A217" s="50">
        <f>Subsurface_Live_Data!A217</f>
        <v/>
      </c>
      <c r="B217" s="50" t="n">
        <v>0</v>
      </c>
      <c r="C217" s="50">
        <f>Subsurface_Inputs!$C$57+1.5*SIN(2*PI()*A217/35)</f>
        <v/>
      </c>
      <c r="D217" s="50">
        <f>Subsurface_Live_Data!M217+Subsurface_Inputs!$C$56*SIN(2*PI()*A217/31)</f>
        <v/>
      </c>
      <c r="E217" s="50">
        <f>IF(Subsurface_Live_Data!H217&gt;=Subsurface_Inputs!$C$42,Subsurface_Live_Data!N217+Subsurface_Inputs!$C$56*SIN(2*PI()*A217/27),NA())</f>
        <v/>
      </c>
      <c r="F217" s="50">
        <f>Subsurface_Live_Data!O217+Subsurface_Inputs!$C$56*SIN(2*PI()*A217/47)</f>
        <v/>
      </c>
      <c r="G217" s="50">
        <f>-55+3*SIN(2*PI()*A217/19)</f>
        <v/>
      </c>
    </row>
    <row r="218">
      <c r="A218" s="50">
        <f>Subsurface_Live_Data!A218</f>
        <v/>
      </c>
      <c r="B218" s="50" t="n">
        <v>0</v>
      </c>
      <c r="C218" s="50">
        <f>Subsurface_Inputs!$C$57+1.5*SIN(2*PI()*A218/35)</f>
        <v/>
      </c>
      <c r="D218" s="50">
        <f>Subsurface_Live_Data!M218+Subsurface_Inputs!$C$56*SIN(2*PI()*A218/31)</f>
        <v/>
      </c>
      <c r="E218" s="50">
        <f>IF(Subsurface_Live_Data!H218&gt;=Subsurface_Inputs!$C$42,Subsurface_Live_Data!N218+Subsurface_Inputs!$C$56*SIN(2*PI()*A218/27),NA())</f>
        <v/>
      </c>
      <c r="F218" s="50">
        <f>Subsurface_Live_Data!O218+Subsurface_Inputs!$C$56*SIN(2*PI()*A218/47)</f>
        <v/>
      </c>
      <c r="G218" s="50">
        <f>-55+3*SIN(2*PI()*A218/19)</f>
        <v/>
      </c>
    </row>
    <row r="219">
      <c r="A219" s="50">
        <f>Subsurface_Live_Data!A219</f>
        <v/>
      </c>
      <c r="B219" s="50" t="n">
        <v>0</v>
      </c>
      <c r="C219" s="50">
        <f>Subsurface_Inputs!$C$57+1.5*SIN(2*PI()*A219/35)</f>
        <v/>
      </c>
      <c r="D219" s="50">
        <f>Subsurface_Live_Data!M219+Subsurface_Inputs!$C$56*SIN(2*PI()*A219/31)</f>
        <v/>
      </c>
      <c r="E219" s="50">
        <f>IF(Subsurface_Live_Data!H219&gt;=Subsurface_Inputs!$C$42,Subsurface_Live_Data!N219+Subsurface_Inputs!$C$56*SIN(2*PI()*A219/27),NA())</f>
        <v/>
      </c>
      <c r="F219" s="50">
        <f>Subsurface_Live_Data!O219+Subsurface_Inputs!$C$56*SIN(2*PI()*A219/47)</f>
        <v/>
      </c>
      <c r="G219" s="50">
        <f>-55+3*SIN(2*PI()*A219/19)</f>
        <v/>
      </c>
    </row>
    <row r="220">
      <c r="A220" s="50">
        <f>Subsurface_Live_Data!A220</f>
        <v/>
      </c>
      <c r="B220" s="50" t="n">
        <v>0</v>
      </c>
      <c r="C220" s="50">
        <f>Subsurface_Inputs!$C$57+1.5*SIN(2*PI()*A220/35)</f>
        <v/>
      </c>
      <c r="D220" s="50">
        <f>Subsurface_Live_Data!M220+Subsurface_Inputs!$C$56*SIN(2*PI()*A220/31)</f>
        <v/>
      </c>
      <c r="E220" s="50">
        <f>IF(Subsurface_Live_Data!H220&gt;=Subsurface_Inputs!$C$42,Subsurface_Live_Data!N220+Subsurface_Inputs!$C$56*SIN(2*PI()*A220/27),NA())</f>
        <v/>
      </c>
      <c r="F220" s="50">
        <f>Subsurface_Live_Data!O220+Subsurface_Inputs!$C$56*SIN(2*PI()*A220/47)</f>
        <v/>
      </c>
      <c r="G220" s="50">
        <f>-55+3*SIN(2*PI()*A220/19)</f>
        <v/>
      </c>
    </row>
    <row r="221">
      <c r="A221" s="50">
        <f>Subsurface_Live_Data!A221</f>
        <v/>
      </c>
      <c r="B221" s="50" t="n">
        <v>0</v>
      </c>
      <c r="C221" s="50">
        <f>Subsurface_Inputs!$C$57+1.5*SIN(2*PI()*A221/35)</f>
        <v/>
      </c>
      <c r="D221" s="50">
        <f>Subsurface_Live_Data!M221+Subsurface_Inputs!$C$56*SIN(2*PI()*A221/31)</f>
        <v/>
      </c>
      <c r="E221" s="50">
        <f>IF(Subsurface_Live_Data!H221&gt;=Subsurface_Inputs!$C$42,Subsurface_Live_Data!N221+Subsurface_Inputs!$C$56*SIN(2*PI()*A221/27),NA())</f>
        <v/>
      </c>
      <c r="F221" s="50">
        <f>Subsurface_Live_Data!O221+Subsurface_Inputs!$C$56*SIN(2*PI()*A221/47)</f>
        <v/>
      </c>
      <c r="G221" s="50">
        <f>-55+3*SIN(2*PI()*A221/19)</f>
        <v/>
      </c>
    </row>
    <row r="222">
      <c r="A222" s="50">
        <f>Subsurface_Live_Data!A222</f>
        <v/>
      </c>
      <c r="B222" s="50" t="n">
        <v>0</v>
      </c>
      <c r="C222" s="50">
        <f>Subsurface_Inputs!$C$57+1.5*SIN(2*PI()*A222/35)</f>
        <v/>
      </c>
      <c r="D222" s="50">
        <f>Subsurface_Live_Data!M222+Subsurface_Inputs!$C$56*SIN(2*PI()*A222/31)</f>
        <v/>
      </c>
      <c r="E222" s="50">
        <f>IF(Subsurface_Live_Data!H222&gt;=Subsurface_Inputs!$C$42,Subsurface_Live_Data!N222+Subsurface_Inputs!$C$56*SIN(2*PI()*A222/27),NA())</f>
        <v/>
      </c>
      <c r="F222" s="50">
        <f>Subsurface_Live_Data!O222+Subsurface_Inputs!$C$56*SIN(2*PI()*A222/47)</f>
        <v/>
      </c>
      <c r="G222" s="50">
        <f>-55+3*SIN(2*PI()*A222/19)</f>
        <v/>
      </c>
    </row>
    <row r="223">
      <c r="A223" s="50">
        <f>Subsurface_Live_Data!A223</f>
        <v/>
      </c>
      <c r="B223" s="50" t="n">
        <v>0</v>
      </c>
      <c r="C223" s="50">
        <f>Subsurface_Inputs!$C$57+1.5*SIN(2*PI()*A223/35)</f>
        <v/>
      </c>
      <c r="D223" s="50">
        <f>Subsurface_Live_Data!M223+Subsurface_Inputs!$C$56*SIN(2*PI()*A223/31)</f>
        <v/>
      </c>
      <c r="E223" s="50">
        <f>IF(Subsurface_Live_Data!H223&gt;=Subsurface_Inputs!$C$42,Subsurface_Live_Data!N223+Subsurface_Inputs!$C$56*SIN(2*PI()*A223/27),NA())</f>
        <v/>
      </c>
      <c r="F223" s="50">
        <f>Subsurface_Live_Data!O223+Subsurface_Inputs!$C$56*SIN(2*PI()*A223/47)</f>
        <v/>
      </c>
      <c r="G223" s="50">
        <f>-55+3*SIN(2*PI()*A223/19)</f>
        <v/>
      </c>
    </row>
    <row r="224">
      <c r="A224" s="50">
        <f>Subsurface_Live_Data!A224</f>
        <v/>
      </c>
      <c r="B224" s="50" t="n">
        <v>0</v>
      </c>
      <c r="C224" s="50">
        <f>Subsurface_Inputs!$C$57+1.5*SIN(2*PI()*A224/35)</f>
        <v/>
      </c>
      <c r="D224" s="50">
        <f>Subsurface_Live_Data!M224+Subsurface_Inputs!$C$56*SIN(2*PI()*A224/31)</f>
        <v/>
      </c>
      <c r="E224" s="50">
        <f>IF(Subsurface_Live_Data!H224&gt;=Subsurface_Inputs!$C$42,Subsurface_Live_Data!N224+Subsurface_Inputs!$C$56*SIN(2*PI()*A224/27),NA())</f>
        <v/>
      </c>
      <c r="F224" s="50">
        <f>Subsurface_Live_Data!O224+Subsurface_Inputs!$C$56*SIN(2*PI()*A224/47)</f>
        <v/>
      </c>
      <c r="G224" s="50">
        <f>-55+3*SIN(2*PI()*A224/19)</f>
        <v/>
      </c>
    </row>
    <row r="225">
      <c r="A225" s="50">
        <f>Subsurface_Live_Data!A225</f>
        <v/>
      </c>
      <c r="B225" s="50" t="n">
        <v>0</v>
      </c>
      <c r="C225" s="50">
        <f>Subsurface_Inputs!$C$57+1.5*SIN(2*PI()*A225/35)</f>
        <v/>
      </c>
      <c r="D225" s="50">
        <f>Subsurface_Live_Data!M225+Subsurface_Inputs!$C$56*SIN(2*PI()*A225/31)</f>
        <v/>
      </c>
      <c r="E225" s="50">
        <f>IF(Subsurface_Live_Data!H225&gt;=Subsurface_Inputs!$C$42,Subsurface_Live_Data!N225+Subsurface_Inputs!$C$56*SIN(2*PI()*A225/27),NA())</f>
        <v/>
      </c>
      <c r="F225" s="50">
        <f>Subsurface_Live_Data!O225+Subsurface_Inputs!$C$56*SIN(2*PI()*A225/47)</f>
        <v/>
      </c>
      <c r="G225" s="50">
        <f>-55+3*SIN(2*PI()*A225/19)</f>
        <v/>
      </c>
    </row>
    <row r="226">
      <c r="A226" s="50">
        <f>Subsurface_Live_Data!A226</f>
        <v/>
      </c>
      <c r="B226" s="50" t="n">
        <v>0</v>
      </c>
      <c r="C226" s="50">
        <f>Subsurface_Inputs!$C$57+1.5*SIN(2*PI()*A226/35)</f>
        <v/>
      </c>
      <c r="D226" s="50">
        <f>Subsurface_Live_Data!M226+Subsurface_Inputs!$C$56*SIN(2*PI()*A226/31)</f>
        <v/>
      </c>
      <c r="E226" s="50">
        <f>IF(Subsurface_Live_Data!H226&gt;=Subsurface_Inputs!$C$42,Subsurface_Live_Data!N226+Subsurface_Inputs!$C$56*SIN(2*PI()*A226/27),NA())</f>
        <v/>
      </c>
      <c r="F226" s="50">
        <f>Subsurface_Live_Data!O226+Subsurface_Inputs!$C$56*SIN(2*PI()*A226/47)</f>
        <v/>
      </c>
      <c r="G226" s="50">
        <f>-55+3*SIN(2*PI()*A226/19)</f>
        <v/>
      </c>
    </row>
    <row r="227">
      <c r="A227" s="50">
        <f>Subsurface_Live_Data!A227</f>
        <v/>
      </c>
      <c r="B227" s="50" t="n">
        <v>0</v>
      </c>
      <c r="C227" s="50">
        <f>Subsurface_Inputs!$C$57+1.5*SIN(2*PI()*A227/35)</f>
        <v/>
      </c>
      <c r="D227" s="50">
        <f>Subsurface_Live_Data!M227+Subsurface_Inputs!$C$56*SIN(2*PI()*A227/31)</f>
        <v/>
      </c>
      <c r="E227" s="50">
        <f>IF(Subsurface_Live_Data!H227&gt;=Subsurface_Inputs!$C$42,Subsurface_Live_Data!N227+Subsurface_Inputs!$C$56*SIN(2*PI()*A227/27),NA())</f>
        <v/>
      </c>
      <c r="F227" s="50">
        <f>Subsurface_Live_Data!O227+Subsurface_Inputs!$C$56*SIN(2*PI()*A227/47)</f>
        <v/>
      </c>
      <c r="G227" s="50">
        <f>-55+3*SIN(2*PI()*A227/19)</f>
        <v/>
      </c>
    </row>
    <row r="228">
      <c r="A228" s="50">
        <f>Subsurface_Live_Data!A228</f>
        <v/>
      </c>
      <c r="B228" s="50" t="n">
        <v>0</v>
      </c>
      <c r="C228" s="50">
        <f>Subsurface_Inputs!$C$57+1.5*SIN(2*PI()*A228/35)</f>
        <v/>
      </c>
      <c r="D228" s="50">
        <f>Subsurface_Live_Data!M228+Subsurface_Inputs!$C$56*SIN(2*PI()*A228/31)</f>
        <v/>
      </c>
      <c r="E228" s="50">
        <f>IF(Subsurface_Live_Data!H228&gt;=Subsurface_Inputs!$C$42,Subsurface_Live_Data!N228+Subsurface_Inputs!$C$56*SIN(2*PI()*A228/27),NA())</f>
        <v/>
      </c>
      <c r="F228" s="50">
        <f>Subsurface_Live_Data!O228+Subsurface_Inputs!$C$56*SIN(2*PI()*A228/47)</f>
        <v/>
      </c>
      <c r="G228" s="50">
        <f>-55+3*SIN(2*PI()*A228/19)</f>
        <v/>
      </c>
    </row>
    <row r="229">
      <c r="A229" s="50">
        <f>Subsurface_Live_Data!A229</f>
        <v/>
      </c>
      <c r="B229" s="50" t="n">
        <v>0</v>
      </c>
      <c r="C229" s="50">
        <f>Subsurface_Inputs!$C$57+1.5*SIN(2*PI()*A229/35)</f>
        <v/>
      </c>
      <c r="D229" s="50">
        <f>Subsurface_Live_Data!M229+Subsurface_Inputs!$C$56*SIN(2*PI()*A229/31)</f>
        <v/>
      </c>
      <c r="E229" s="50">
        <f>IF(Subsurface_Live_Data!H229&gt;=Subsurface_Inputs!$C$42,Subsurface_Live_Data!N229+Subsurface_Inputs!$C$56*SIN(2*PI()*A229/27),NA())</f>
        <v/>
      </c>
      <c r="F229" s="50">
        <f>Subsurface_Live_Data!O229+Subsurface_Inputs!$C$56*SIN(2*PI()*A229/47)</f>
        <v/>
      </c>
      <c r="G229" s="50">
        <f>-55+3*SIN(2*PI()*A229/19)</f>
        <v/>
      </c>
    </row>
    <row r="230">
      <c r="A230" s="50">
        <f>Subsurface_Live_Data!A230</f>
        <v/>
      </c>
      <c r="B230" s="50" t="n">
        <v>0</v>
      </c>
      <c r="C230" s="50">
        <f>Subsurface_Inputs!$C$57+1.5*SIN(2*PI()*A230/35)</f>
        <v/>
      </c>
      <c r="D230" s="50">
        <f>Subsurface_Live_Data!M230+Subsurface_Inputs!$C$56*SIN(2*PI()*A230/31)</f>
        <v/>
      </c>
      <c r="E230" s="50">
        <f>IF(Subsurface_Live_Data!H230&gt;=Subsurface_Inputs!$C$42,Subsurface_Live_Data!N230+Subsurface_Inputs!$C$56*SIN(2*PI()*A230/27),NA())</f>
        <v/>
      </c>
      <c r="F230" s="50">
        <f>Subsurface_Live_Data!O230+Subsurface_Inputs!$C$56*SIN(2*PI()*A230/47)</f>
        <v/>
      </c>
      <c r="G230" s="50">
        <f>-55+3*SIN(2*PI()*A230/19)</f>
        <v/>
      </c>
    </row>
    <row r="231">
      <c r="A231" s="50">
        <f>Subsurface_Live_Data!A231</f>
        <v/>
      </c>
      <c r="B231" s="50" t="n">
        <v>0</v>
      </c>
      <c r="C231" s="50">
        <f>Subsurface_Inputs!$C$57+1.5*SIN(2*PI()*A231/35)</f>
        <v/>
      </c>
      <c r="D231" s="50">
        <f>Subsurface_Live_Data!M231+Subsurface_Inputs!$C$56*SIN(2*PI()*A231/31)</f>
        <v/>
      </c>
      <c r="E231" s="50">
        <f>IF(Subsurface_Live_Data!H231&gt;=Subsurface_Inputs!$C$42,Subsurface_Live_Data!N231+Subsurface_Inputs!$C$56*SIN(2*PI()*A231/27),NA())</f>
        <v/>
      </c>
      <c r="F231" s="50">
        <f>Subsurface_Live_Data!O231+Subsurface_Inputs!$C$56*SIN(2*PI()*A231/47)</f>
        <v/>
      </c>
      <c r="G231" s="50">
        <f>-55+3*SIN(2*PI()*A231/19)</f>
        <v/>
      </c>
    </row>
    <row r="232">
      <c r="A232" s="50">
        <f>Subsurface_Live_Data!A232</f>
        <v/>
      </c>
      <c r="B232" s="50" t="n">
        <v>0</v>
      </c>
      <c r="C232" s="50">
        <f>Subsurface_Inputs!$C$57+1.5*SIN(2*PI()*A232/35)</f>
        <v/>
      </c>
      <c r="D232" s="50">
        <f>Subsurface_Live_Data!M232+Subsurface_Inputs!$C$56*SIN(2*PI()*A232/31)</f>
        <v/>
      </c>
      <c r="E232" s="50">
        <f>IF(Subsurface_Live_Data!H232&gt;=Subsurface_Inputs!$C$42,Subsurface_Live_Data!N232+Subsurface_Inputs!$C$56*SIN(2*PI()*A232/27),NA())</f>
        <v/>
      </c>
      <c r="F232" s="50">
        <f>Subsurface_Live_Data!O232+Subsurface_Inputs!$C$56*SIN(2*PI()*A232/47)</f>
        <v/>
      </c>
      <c r="G232" s="50">
        <f>-55+3*SIN(2*PI()*A232/19)</f>
        <v/>
      </c>
    </row>
    <row r="233">
      <c r="A233" s="50">
        <f>Subsurface_Live_Data!A233</f>
        <v/>
      </c>
      <c r="B233" s="50" t="n">
        <v>0</v>
      </c>
      <c r="C233" s="50">
        <f>Subsurface_Inputs!$C$57+1.5*SIN(2*PI()*A233/35)</f>
        <v/>
      </c>
      <c r="D233" s="50">
        <f>Subsurface_Live_Data!M233+Subsurface_Inputs!$C$56*SIN(2*PI()*A233/31)</f>
        <v/>
      </c>
      <c r="E233" s="50">
        <f>IF(Subsurface_Live_Data!H233&gt;=Subsurface_Inputs!$C$42,Subsurface_Live_Data!N233+Subsurface_Inputs!$C$56*SIN(2*PI()*A233/27),NA())</f>
        <v/>
      </c>
      <c r="F233" s="50">
        <f>Subsurface_Live_Data!O233+Subsurface_Inputs!$C$56*SIN(2*PI()*A233/47)</f>
        <v/>
      </c>
      <c r="G233" s="50">
        <f>-55+3*SIN(2*PI()*A233/19)</f>
        <v/>
      </c>
    </row>
    <row r="234">
      <c r="A234" s="50">
        <f>Subsurface_Live_Data!A234</f>
        <v/>
      </c>
      <c r="B234" s="50" t="n">
        <v>0</v>
      </c>
      <c r="C234" s="50">
        <f>Subsurface_Inputs!$C$57+1.5*SIN(2*PI()*A234/35)</f>
        <v/>
      </c>
      <c r="D234" s="50">
        <f>Subsurface_Live_Data!M234+Subsurface_Inputs!$C$56*SIN(2*PI()*A234/31)</f>
        <v/>
      </c>
      <c r="E234" s="50">
        <f>IF(Subsurface_Live_Data!H234&gt;=Subsurface_Inputs!$C$42,Subsurface_Live_Data!N234+Subsurface_Inputs!$C$56*SIN(2*PI()*A234/27),NA())</f>
        <v/>
      </c>
      <c r="F234" s="50">
        <f>Subsurface_Live_Data!O234+Subsurface_Inputs!$C$56*SIN(2*PI()*A234/47)</f>
        <v/>
      </c>
      <c r="G234" s="50">
        <f>-55+3*SIN(2*PI()*A234/19)</f>
        <v/>
      </c>
    </row>
    <row r="235">
      <c r="A235" s="50">
        <f>Subsurface_Live_Data!A235</f>
        <v/>
      </c>
      <c r="B235" s="50" t="n">
        <v>0</v>
      </c>
      <c r="C235" s="50">
        <f>Subsurface_Inputs!$C$57+1.5*SIN(2*PI()*A235/35)</f>
        <v/>
      </c>
      <c r="D235" s="50">
        <f>Subsurface_Live_Data!M235+Subsurface_Inputs!$C$56*SIN(2*PI()*A235/31)</f>
        <v/>
      </c>
      <c r="E235" s="50">
        <f>IF(Subsurface_Live_Data!H235&gt;=Subsurface_Inputs!$C$42,Subsurface_Live_Data!N235+Subsurface_Inputs!$C$56*SIN(2*PI()*A235/27),NA())</f>
        <v/>
      </c>
      <c r="F235" s="50">
        <f>Subsurface_Live_Data!O235+Subsurface_Inputs!$C$56*SIN(2*PI()*A235/47)</f>
        <v/>
      </c>
      <c r="G235" s="50">
        <f>-55+3*SIN(2*PI()*A235/19)</f>
        <v/>
      </c>
    </row>
    <row r="236">
      <c r="A236" s="50">
        <f>Subsurface_Live_Data!A236</f>
        <v/>
      </c>
      <c r="B236" s="50" t="n">
        <v>0</v>
      </c>
      <c r="C236" s="50">
        <f>Subsurface_Inputs!$C$57+1.5*SIN(2*PI()*A236/35)</f>
        <v/>
      </c>
      <c r="D236" s="50">
        <f>Subsurface_Live_Data!M236+Subsurface_Inputs!$C$56*SIN(2*PI()*A236/31)</f>
        <v/>
      </c>
      <c r="E236" s="50">
        <f>IF(Subsurface_Live_Data!H236&gt;=Subsurface_Inputs!$C$42,Subsurface_Live_Data!N236+Subsurface_Inputs!$C$56*SIN(2*PI()*A236/27),NA())</f>
        <v/>
      </c>
      <c r="F236" s="50">
        <f>Subsurface_Live_Data!O236+Subsurface_Inputs!$C$56*SIN(2*PI()*A236/47)</f>
        <v/>
      </c>
      <c r="G236" s="50">
        <f>-55+3*SIN(2*PI()*A236/19)</f>
        <v/>
      </c>
    </row>
    <row r="237">
      <c r="A237" s="50">
        <f>Subsurface_Live_Data!A237</f>
        <v/>
      </c>
      <c r="B237" s="50" t="n">
        <v>0</v>
      </c>
      <c r="C237" s="50">
        <f>Subsurface_Inputs!$C$57+1.5*SIN(2*PI()*A237/35)</f>
        <v/>
      </c>
      <c r="D237" s="50">
        <f>Subsurface_Live_Data!M237+Subsurface_Inputs!$C$56*SIN(2*PI()*A237/31)</f>
        <v/>
      </c>
      <c r="E237" s="50">
        <f>IF(Subsurface_Live_Data!H237&gt;=Subsurface_Inputs!$C$42,Subsurface_Live_Data!N237+Subsurface_Inputs!$C$56*SIN(2*PI()*A237/27),NA())</f>
        <v/>
      </c>
      <c r="F237" s="50">
        <f>Subsurface_Live_Data!O237+Subsurface_Inputs!$C$56*SIN(2*PI()*A237/47)</f>
        <v/>
      </c>
      <c r="G237" s="50">
        <f>-55+3*SIN(2*PI()*A237/19)</f>
        <v/>
      </c>
    </row>
    <row r="238">
      <c r="A238" s="50">
        <f>Subsurface_Live_Data!A238</f>
        <v/>
      </c>
      <c r="B238" s="50" t="n">
        <v>0</v>
      </c>
      <c r="C238" s="50">
        <f>Subsurface_Inputs!$C$57+1.5*SIN(2*PI()*A238/35)</f>
        <v/>
      </c>
      <c r="D238" s="50">
        <f>Subsurface_Live_Data!M238+Subsurface_Inputs!$C$56*SIN(2*PI()*A238/31)</f>
        <v/>
      </c>
      <c r="E238" s="50">
        <f>IF(Subsurface_Live_Data!H238&gt;=Subsurface_Inputs!$C$42,Subsurface_Live_Data!N238+Subsurface_Inputs!$C$56*SIN(2*PI()*A238/27),NA())</f>
        <v/>
      </c>
      <c r="F238" s="50">
        <f>Subsurface_Live_Data!O238+Subsurface_Inputs!$C$56*SIN(2*PI()*A238/47)</f>
        <v/>
      </c>
      <c r="G238" s="50">
        <f>-55+3*SIN(2*PI()*A238/19)</f>
        <v/>
      </c>
    </row>
    <row r="239">
      <c r="A239" s="50">
        <f>Subsurface_Live_Data!A239</f>
        <v/>
      </c>
      <c r="B239" s="50" t="n">
        <v>0</v>
      </c>
      <c r="C239" s="50">
        <f>Subsurface_Inputs!$C$57+1.5*SIN(2*PI()*A239/35)</f>
        <v/>
      </c>
      <c r="D239" s="50">
        <f>Subsurface_Live_Data!M239+Subsurface_Inputs!$C$56*SIN(2*PI()*A239/31)</f>
        <v/>
      </c>
      <c r="E239" s="50">
        <f>IF(Subsurface_Live_Data!H239&gt;=Subsurface_Inputs!$C$42,Subsurface_Live_Data!N239+Subsurface_Inputs!$C$56*SIN(2*PI()*A239/27),NA())</f>
        <v/>
      </c>
      <c r="F239" s="50">
        <f>Subsurface_Live_Data!O239+Subsurface_Inputs!$C$56*SIN(2*PI()*A239/47)</f>
        <v/>
      </c>
      <c r="G239" s="50">
        <f>-55+3*SIN(2*PI()*A239/19)</f>
        <v/>
      </c>
    </row>
    <row r="240">
      <c r="A240" s="50">
        <f>Subsurface_Live_Data!A240</f>
        <v/>
      </c>
      <c r="B240" s="50" t="n">
        <v>0</v>
      </c>
      <c r="C240" s="50">
        <f>Subsurface_Inputs!$C$57+1.5*SIN(2*PI()*A240/35)</f>
        <v/>
      </c>
      <c r="D240" s="50">
        <f>Subsurface_Live_Data!M240+Subsurface_Inputs!$C$56*SIN(2*PI()*A240/31)</f>
        <v/>
      </c>
      <c r="E240" s="50">
        <f>IF(Subsurface_Live_Data!H240&gt;=Subsurface_Inputs!$C$42,Subsurface_Live_Data!N240+Subsurface_Inputs!$C$56*SIN(2*PI()*A240/27),NA())</f>
        <v/>
      </c>
      <c r="F240" s="50">
        <f>Subsurface_Live_Data!O240+Subsurface_Inputs!$C$56*SIN(2*PI()*A240/47)</f>
        <v/>
      </c>
      <c r="G240" s="50">
        <f>-55+3*SIN(2*PI()*A240/19)</f>
        <v/>
      </c>
    </row>
    <row r="241">
      <c r="A241" s="50">
        <f>Subsurface_Live_Data!A241</f>
        <v/>
      </c>
      <c r="B241" s="50" t="n">
        <v>0</v>
      </c>
      <c r="C241" s="50">
        <f>Subsurface_Inputs!$C$57+1.5*SIN(2*PI()*A241/35)</f>
        <v/>
      </c>
      <c r="D241" s="50">
        <f>Subsurface_Live_Data!M241+Subsurface_Inputs!$C$56*SIN(2*PI()*A241/31)</f>
        <v/>
      </c>
      <c r="E241" s="50">
        <f>IF(Subsurface_Live_Data!H241&gt;=Subsurface_Inputs!$C$42,Subsurface_Live_Data!N241+Subsurface_Inputs!$C$56*SIN(2*PI()*A241/27),NA())</f>
        <v/>
      </c>
      <c r="F241" s="50">
        <f>Subsurface_Live_Data!O241+Subsurface_Inputs!$C$56*SIN(2*PI()*A241/47)</f>
        <v/>
      </c>
      <c r="G241" s="50">
        <f>-55+3*SIN(2*PI()*A241/19)</f>
        <v/>
      </c>
    </row>
    <row r="242">
      <c r="A242" s="50">
        <f>Subsurface_Live_Data!A242</f>
        <v/>
      </c>
      <c r="B242" s="50" t="n">
        <v>0</v>
      </c>
      <c r="C242" s="50">
        <f>Subsurface_Inputs!$C$57+1.5*SIN(2*PI()*A242/35)</f>
        <v/>
      </c>
      <c r="D242" s="50">
        <f>Subsurface_Live_Data!M242+Subsurface_Inputs!$C$56*SIN(2*PI()*A242/31)</f>
        <v/>
      </c>
      <c r="E242" s="50">
        <f>IF(Subsurface_Live_Data!H242&gt;=Subsurface_Inputs!$C$42,Subsurface_Live_Data!N242+Subsurface_Inputs!$C$56*SIN(2*PI()*A242/27),NA())</f>
        <v/>
      </c>
      <c r="F242" s="50">
        <f>Subsurface_Live_Data!O242+Subsurface_Inputs!$C$56*SIN(2*PI()*A242/47)</f>
        <v/>
      </c>
      <c r="G242" s="50">
        <f>-55+3*SIN(2*PI()*A242/19)</f>
        <v/>
      </c>
    </row>
  </sheetData>
  <autoFilter ref="A1:G2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5"/>
  <cols>
    <col width="12" customWidth="1" min="1" max="1"/>
    <col width="24" customWidth="1" min="2" max="2"/>
    <col width="36" customWidth="1" min="3" max="3"/>
    <col width="32" customWidth="1" min="4" max="4"/>
    <col width="38" customWidth="1" min="5" max="5"/>
    <col width="4" customWidth="1" min="6" max="6"/>
    <col width="12" customWidth="1" min="7" max="7"/>
    <col width="24" customWidth="1" min="8" max="8"/>
    <col width="30" customWidth="1" min="9" max="10"/>
    <col width="12" customWidth="1" min="11" max="11"/>
    <col width="32" customWidth="1" min="12" max="13"/>
    <col width="44" customWidth="1" min="14" max="14"/>
    <col width="4" customWidth="1" min="15" max="15"/>
    <col width="12" customWidth="1" min="16" max="16"/>
    <col width="20" customWidth="1" min="17" max="17"/>
    <col width="28" customWidth="1" min="18" max="18"/>
    <col width="20" customWidth="1" min="19" max="19"/>
    <col width="28" customWidth="1" min="20" max="20"/>
    <col width="4" customWidth="1" min="21" max="21"/>
    <col width="12" customWidth="1" min="22" max="22"/>
    <col width="22" customWidth="1" min="23" max="23"/>
    <col width="4" customWidth="1" min="24" max="24"/>
    <col width="12" customWidth="1" min="25" max="25"/>
    <col width="24" customWidth="1" min="26" max="26"/>
    <col width="36" customWidth="1" min="27" max="27"/>
    <col width="32" customWidth="1" min="28" max="28"/>
  </cols>
  <sheetData>
    <row r="1" ht="26.25" customHeight="1">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5"/>
  <cols>
    <col width="12" customWidth="1" min="1" max="1"/>
    <col width="24" customWidth="1" min="2" max="2"/>
    <col width="30" customWidth="1" min="3" max="4"/>
    <col width="32" customWidth="1" min="5" max="5"/>
    <col width="4" customWidth="1" min="6" max="6"/>
    <col width="12" customWidth="1" min="7" max="7"/>
    <col width="30" customWidth="1" min="8" max="8"/>
    <col width="34" customWidth="1" min="9" max="10"/>
    <col width="36" customWidth="1" min="11" max="11"/>
    <col width="4" customWidth="1" min="12" max="12"/>
    <col width="12" customWidth="1" min="13" max="13"/>
    <col width="30" customWidth="1" min="14" max="14"/>
    <col width="34" customWidth="1" min="15" max="16"/>
    <col width="36" customWidth="1" min="17" max="17"/>
    <col width="4" customWidth="1" min="18" max="18"/>
    <col width="12" customWidth="1" min="19" max="19"/>
    <col width="24" customWidth="1" min="20" max="20"/>
    <col width="30" customWidth="1" min="21" max="22"/>
    <col width="32" customWidth="1" min="23" max="23"/>
    <col width="12" customWidth="1" min="25" max="25"/>
    <col width="24" customWidth="1" min="26" max="26"/>
    <col width="30" customWidth="1" min="27" max="28"/>
    <col width="32" customWidth="1" min="29" max="29"/>
    <col width="12" customWidth="1" min="31" max="31"/>
    <col width="30" customWidth="1" min="32" max="32"/>
    <col width="34" customWidth="1" min="33" max="34"/>
    <col width="36" customWidth="1" min="35" max="35"/>
    <col width="12" customWidth="1" min="37" max="37"/>
    <col width="30" customWidth="1" min="38" max="38"/>
    <col width="34" customWidth="1" min="39" max="40"/>
    <col width="36" customWidth="1" min="41" max="41"/>
    <col width="12" customWidth="1" min="43" max="43"/>
    <col width="24" customWidth="1" min="44" max="44"/>
    <col width="32" customWidth="1" min="45" max="45"/>
    <col width="36" customWidth="1" min="46" max="47"/>
    <col width="38" customWidth="1" min="48" max="48"/>
    <col width="12" customWidth="1" min="50" max="50"/>
    <col width="28" customWidth="1" min="51" max="51"/>
    <col width="24" customWidth="1" min="52" max="52"/>
    <col width="30" customWidth="1" min="53" max="54"/>
    <col width="32" customWidth="1" min="55" max="55"/>
    <col width="12" customWidth="1" min="57" max="57"/>
    <col width="28" customWidth="1" min="58" max="58"/>
    <col width="30" customWidth="1" min="59" max="59"/>
    <col width="34" customWidth="1" min="60" max="61"/>
    <col width="36" customWidth="1" min="62" max="62"/>
  </cols>
  <sheetData>
    <row r="1" ht="26.25" customHeight="1">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5"/>
  <cols>
    <col width="12" customWidth="1" min="1" max="1"/>
    <col width="18" customWidth="1" min="2" max="2"/>
    <col width="22" customWidth="1" min="3" max="4"/>
    <col width="20" customWidth="1" min="5" max="5"/>
    <col width="30" customWidth="1" min="6" max="6"/>
  </cols>
  <sheetData>
    <row r="1" ht="21" customHeight="1">
      <c r="A1" s="23"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49"/>
  <sheetViews>
    <sheetView showGridLines="0" workbookViewId="0">
      <selection activeCell="A1" sqref="A1"/>
    </sheetView>
  </sheetViews>
  <sheetFormatPr baseColWidth="8" defaultRowHeight="13.5"/>
  <cols>
    <col width="45" customWidth="1" min="1" max="1"/>
    <col width="55" customWidth="1" min="2" max="2"/>
    <col width="36" customWidth="1" min="3" max="3"/>
    <col width="24" customWidth="1" min="4" max="4"/>
  </cols>
  <sheetData>
    <row r="1" ht="21" customHeight="1">
      <c r="A1" s="23"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c r="A34" s="55" t="inlineStr">
        <is>
          <t>Subsurface simulation formulas</t>
        </is>
      </c>
    </row>
    <row r="35">
      <c r="A35" s="46" t="inlineStr">
        <is>
          <t>upper_depth = mean + sinusoid + cosine + surface coupling</t>
        </is>
      </c>
      <c r="B35" s="46" t="inlineStr">
        <is>
          <t>Live shallow internal ice layer depth.</t>
        </is>
      </c>
      <c r="C35" s="46" t="inlineStr">
        <is>
          <t>Subsurface_Inputs, Model_Data h_target</t>
        </is>
      </c>
      <c r="D35" s="46" t="inlineStr">
        <is>
          <t>upper_ice_layer_depth_m</t>
        </is>
      </c>
    </row>
    <row r="36">
      <c r="A36" s="50" t="inlineStr">
        <is>
          <t>lens_strength = MIN(1,MAX(0,lensA Gaussian + lensB Gaussian))</t>
        </is>
      </c>
      <c r="B36" s="50" t="inlineStr">
        <is>
          <t>Possible warm/briny lens strength along track.</t>
        </is>
      </c>
      <c r="C36" s="50" t="inlineStr">
        <is>
          <t>lens strengths, centers, widths</t>
        </is>
      </c>
      <c r="D36" s="50" t="inlineStr">
        <is>
          <t>lens_strength_0to1</t>
        </is>
      </c>
    </row>
    <row r="37">
      <c r="A37" s="50" t="inlineStr">
        <is>
          <t>lens_depth = mean + sinusoid - uplift*lens_strength</t>
        </is>
      </c>
      <c r="B37" s="50" t="inlineStr">
        <is>
          <t>Possible lens depth below icy surface.</t>
        </is>
      </c>
      <c r="C37" s="50" t="inlineStr">
        <is>
          <t>lens controls</t>
        </is>
      </c>
      <c r="D37" s="50" t="inlineStr">
        <is>
          <t>briny_warm_lens_depth_m</t>
        </is>
      </c>
    </row>
    <row r="38">
      <c r="A38" s="50" t="inlineStr">
        <is>
          <t>ocean_depth = nominal + basal waves - surface coupling</t>
        </is>
      </c>
      <c r="B38" s="50" t="inlineStr">
        <is>
          <t>Possible ice-ocean boundary depth.</t>
        </is>
      </c>
      <c r="C38" s="50" t="inlineStr">
        <is>
          <t>ocean boundary controls</t>
        </is>
      </c>
      <c r="D38" s="50" t="inlineStr">
        <is>
          <t>ice_ocean_boundary_depth_m</t>
        </is>
      </c>
    </row>
    <row r="39">
      <c r="A39" s="50" t="inlineStr">
        <is>
          <t>delay_us = 2*n*depth/c*1e6</t>
        </is>
      </c>
      <c r="B39" s="50" t="inlineStr">
        <is>
          <t>Two-way delay after the surface return.</t>
        </is>
      </c>
      <c r="C39" s="50" t="inlineStr">
        <is>
          <t>ice refractive index, speed of light</t>
        </is>
      </c>
      <c r="D39" s="50" t="inlineStr">
        <is>
          <t>subsurface layer delay</t>
        </is>
      </c>
    </row>
    <row r="40">
      <c r="A40" s="50" t="inlineStr">
        <is>
          <t>echo_dB = base contrast - two-way attenuation - roughness penalty</t>
        </is>
      </c>
      <c r="B40" s="50" t="inlineStr">
        <is>
          <t>Simple radar echo strength estimate.</t>
        </is>
      </c>
      <c r="C40" s="50" t="inlineStr">
        <is>
          <t>attenuation and layer depth/roughness</t>
        </is>
      </c>
      <c r="D40" s="50" t="inlineStr">
        <is>
          <t>relative echo strength</t>
        </is>
      </c>
    </row>
    <row r="42">
      <c r="A42" s="50" t="inlineStr">
        <is>
          <t>detectability_margin = echo_dB - detection_threshold_dB</t>
        </is>
      </c>
      <c r="B42" s="50" t="inlineStr">
        <is>
          <t>Positive means the simulated return is above the simple detection threshold.</t>
        </is>
      </c>
      <c r="C42" s="50" t="inlineStr">
        <is>
          <t>Subsurface_Inputs detection threshold, echo estimates</t>
        </is>
      </c>
      <c r="D42" s="50" t="inlineStr">
        <is>
          <t>detectability margin</t>
        </is>
      </c>
    </row>
    <row r="43">
      <c r="A43" s="50" t="inlineStr">
        <is>
          <t>realism/proof scores</t>
        </is>
      </c>
      <c r="B43" s="50" t="inlineStr">
        <is>
          <t>Judgment score for model credibility, not a measured science result.</t>
        </is>
      </c>
      <c r="C43" s="50" t="inlineStr">
        <is>
          <t>synthetic inputs and assumptions</t>
        </is>
      </c>
      <c r="D43" s="50" t="inlineStr">
        <is>
          <t>dashboard realism block</t>
        </is>
      </c>
    </row>
    <row r="45">
      <c r="A45" s="50" t="inlineStr">
        <is>
          <t>scenario_depth = mean_depth * scenario_multiplier</t>
        </is>
      </c>
      <c r="B45" s="50" t="inlineStr">
        <is>
          <t>Thin/medium/thick ice comparison.</t>
        </is>
      </c>
      <c r="C45" s="50" t="inlineStr">
        <is>
          <t>Subsurface_Inputs scenario multipliers</t>
        </is>
      </c>
      <c r="D45" s="50" t="inlineStr">
        <is>
          <t>scenario boundary depths</t>
        </is>
      </c>
    </row>
    <row r="46">
      <c r="A46" s="50" t="inlineStr">
        <is>
          <t>uncertainty band = boundary_depth +/- uncertainty_m</t>
        </is>
      </c>
      <c r="B46" s="50" t="inlineStr">
        <is>
          <t>Shows a range instead of one exact proposed boundary.</t>
        </is>
      </c>
      <c r="C46" s="50" t="inlineStr">
        <is>
          <t>Subsurface_Inputs boundary uncertainty</t>
        </is>
      </c>
      <c r="D46" s="50" t="inlineStr">
        <is>
          <t>low/high depth bounds</t>
        </is>
      </c>
    </row>
    <row r="47">
      <c r="A47" s="50" t="inlineStr">
        <is>
          <t>no_ocean_control_margin = no_ocean_echo - detection_threshold + clutter</t>
        </is>
      </c>
      <c r="B47" s="50" t="inlineStr">
        <is>
          <t>Control case for comparing against the ocean model.</t>
        </is>
      </c>
      <c r="C47" s="50" t="inlineStr">
        <is>
          <t>no-ocean echo, detection threshold</t>
        </is>
      </c>
      <c r="D47" s="50" t="inlineStr">
        <is>
          <t>control margin</t>
        </is>
      </c>
    </row>
    <row r="48">
      <c r="A48" s="50" t="inlineStr">
        <is>
          <t>evidence_score = weighted average of radar, thermal, composition, magnetic/plasma support</t>
        </is>
      </c>
      <c r="B48" s="50" t="inlineStr">
        <is>
          <t>Cross-instrument support estimate.</t>
        </is>
      </c>
      <c r="C48" s="50" t="inlineStr">
        <is>
          <t>Subsurface_Inputs evidence values and weights</t>
        </is>
      </c>
      <c r="D48" s="50" t="inlineStr">
        <is>
          <t>total evidence support</t>
        </is>
      </c>
    </row>
    <row r="49">
      <c r="A49" s="50" t="inlineStr">
        <is>
          <t>radargram_delay_with_jitter = layer_delay + timing_jitter*sin(...)</t>
        </is>
      </c>
      <c r="B49" s="50" t="inlineStr">
        <is>
          <t>Simple radargram-style noisy timing view.</t>
        </is>
      </c>
      <c r="C49" s="50" t="inlineStr">
        <is>
          <t>layer delays and radargram jitter</t>
        </is>
      </c>
      <c r="D49" s="50" t="inlineStr">
        <is>
          <t>noisy return timing</t>
        </is>
      </c>
    </row>
  </sheetData>
  <mergeCells count="1">
    <mergeCell ref="A1:D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5"/>
  <cols>
    <col width="24" customWidth="1" min="1" max="1"/>
    <col width="74" customWidth="1" min="2" max="2"/>
    <col width="44" customWidth="1" min="3" max="3"/>
    <col width="40" customWidth="1" min="4" max="4"/>
    <col width="48" customWidth="1" min="5" max="5"/>
  </cols>
  <sheetData>
    <row r="1" ht="21" customHeight="1">
      <c r="A1" s="23" t="inlineStr">
        <is>
          <t>Topography Formula Explanation</t>
        </is>
      </c>
    </row>
    <row r="2" ht="13.9" customHeight="1">
      <c r="A2" s="24"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 customHeight="1">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 customHeight="1">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5"/>
  <cols>
    <col width="34" customWidth="1" min="1" max="1"/>
    <col width="28" customWidth="1" min="2" max="2"/>
    <col width="56" customWidth="1" min="3" max="3"/>
  </cols>
  <sheetData>
    <row r="1" ht="21" customHeight="1">
      <c r="A1" s="23"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 customHeight="1">
      <c r="A25" s="31" t="inlineStr">
        <is>
          <t>Chart/graph communication checks</t>
        </is>
      </c>
      <c r="B25" s="31" t="n"/>
      <c r="C25" s="31" t="n"/>
    </row>
    <row r="26" ht="27" customHeight="1">
      <c r="A26" s="16" t="inlineStr">
        <is>
          <t>Baseline legends</t>
        </is>
      </c>
      <c r="B26" s="33" t="inlineStr">
        <is>
          <t>OK</t>
        </is>
      </c>
      <c r="C26" s="33" t="inlineStr">
        <is>
          <t>Reference floor and zero-depth baselines are renamed/styled as neutral references, not scenario outputs.</t>
        </is>
      </c>
    </row>
    <row r="27" ht="27" customHeight="1">
      <c r="A27" s="16" t="inlineStr">
        <is>
          <t>Graph explanations</t>
        </is>
      </c>
      <c r="B27" s="33" t="inlineStr">
        <is>
          <t>OK</t>
        </is>
      </c>
      <c r="C27" s="33" t="inlineStr">
        <is>
          <t>Dashboard rows 65-71 and Graph_Guide explain every chart and its source range.</t>
        </is>
      </c>
    </row>
  </sheetData>
  <mergeCells count="1">
    <mergeCell ref="A1:C1"/>
  </mergeCells>
  <conditionalFormatting sqref="B4:B23">
    <cfRule type="containsText" priority="1" operator="containsText" dxfId="1" text="OK"/>
    <cfRule type="notContainsText" priority="2" operator="notContains" dxfId="0" text="OK"/>
  </conditionalFormatting>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3.5"/>
  <cols>
    <col width="25.625" customWidth="1" min="1" max="1"/>
    <col width="45" customWidth="1" min="2" max="2"/>
    <col width="35" customWidth="1" min="3" max="3"/>
    <col width="31.25" customWidth="1" min="4" max="4"/>
    <col width="22.5" customWidth="1" min="5" max="5"/>
    <col width="45" customWidth="1" min="6" max="6"/>
    <col width="22.5" customWidth="1" min="7" max="7"/>
  </cols>
  <sheetData>
    <row r="1" ht="22.5" customHeight="1">
      <c r="A1" s="35" t="inlineStr">
        <is>
          <t>Graph Guide and Formula Audit</t>
        </is>
      </c>
    </row>
    <row r="2" ht="25.5" customHeight="1">
      <c r="A2" s="45" t="inlineStr">
        <is>
          <t>Grey baseline lines are references only. For the motion-only chart, flat ground means terrain height is zero; the curved blue line is the radar reading caused by the satellite's parabolic path and changing slant range, not a curved ground surface.</t>
        </is>
      </c>
      <c r="B2" s="43" t="n"/>
      <c r="C2" s="43" t="n"/>
      <c r="D2" s="43" t="n"/>
      <c r="E2" s="43" t="n"/>
      <c r="F2" s="43" t="n"/>
      <c r="G2" s="44" t="n"/>
    </row>
    <row r="3" ht="31.5" customHeight="1">
      <c r="A3" s="17" t="n"/>
      <c r="B3" s="17" t="n"/>
      <c r="C3" s="17" t="n"/>
      <c r="D3" s="17" t="n"/>
      <c r="E3" s="17" t="n"/>
      <c r="F3" s="17" t="n"/>
      <c r="G3" s="17" t="n"/>
    </row>
    <row r="4" ht="31.5" customHeight="1">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c r="A12" s="17" t="n"/>
      <c r="B12" s="17" t="n"/>
      <c r="C12" s="17" t="n"/>
      <c r="D12" s="17" t="n"/>
      <c r="E12" s="17" t="n"/>
      <c r="F12" s="17" t="n"/>
      <c r="G12" s="17" t="n"/>
    </row>
    <row r="13" ht="31.5" customHeight="1">
      <c r="A13" s="35" t="inlineStr">
        <is>
          <t>Formula Audit Summary</t>
        </is>
      </c>
    </row>
    <row r="14" ht="31.5" customHeight="1">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c r="A22" s="55" t="inlineStr">
        <is>
          <t>Subsurface Dashboard Graphs</t>
        </is>
      </c>
    </row>
    <row r="23">
      <c r="A23" s="46" t="inlineStr">
        <is>
          <t>Graph</t>
        </is>
      </c>
      <c r="B23" s="46" t="inlineStr">
        <is>
          <t>What it shows</t>
        </is>
      </c>
      <c r="C23" s="46" t="inlineStr">
        <is>
          <t>Why it matters</t>
        </is>
      </c>
      <c r="D23" s="46" t="inlineStr">
        <is>
          <t>How to read the baseline</t>
        </is>
      </c>
      <c r="E23" s="46" t="inlineStr">
        <is>
          <t>Source range</t>
        </is>
      </c>
      <c r="F23" s="46" t="inlineStr">
        <is>
          <t>Formula basis</t>
        </is>
      </c>
      <c r="G23" s="46" t="inlineStr">
        <is>
          <t>Audit status</t>
        </is>
      </c>
    </row>
    <row r="24">
      <c r="A24" s="50" t="inlineStr">
        <is>
          <t>Subsurface Truth Model: Icy Layers</t>
        </is>
      </c>
      <c r="B24" s="50" t="inlineStr">
        <is>
          <t>Icy topography plus shallow ice, lens, and possible ocean boundary elevations.</t>
        </is>
      </c>
      <c r="C24" s="50" t="inlineStr">
        <is>
          <t>Shows the hidden simulated structure before radar distortion.</t>
        </is>
      </c>
      <c r="D24" s="50" t="inlineStr">
        <is>
          <t>Surface/topography is icy terrain, not rock.</t>
        </is>
      </c>
      <c r="E24" s="50" t="inlineStr">
        <is>
          <t>Subsurface_Live_Data!A:L</t>
        </is>
      </c>
      <c r="F24" s="50" t="inlineStr">
        <is>
          <t>Depth formulas from Subsurface_Inputs.</t>
        </is>
      </c>
      <c r="G24" s="50" t="inlineStr">
        <is>
          <t>See Subsurface_Checks</t>
        </is>
      </c>
    </row>
    <row r="25">
      <c r="A25" s="50" t="inlineStr">
        <is>
          <t>Subsurface Radar Delay</t>
        </is>
      </c>
      <c r="B25" s="50" t="inlineStr">
        <is>
          <t>Two-way delay after the surface return for each modeled layer.</t>
        </is>
      </c>
      <c r="C25" s="50" t="inlineStr">
        <is>
          <t>Shows when each reflector would appear in a radargram.</t>
        </is>
      </c>
      <c r="D25" s="50" t="inlineStr">
        <is>
          <t>0 us means the surface return; larger delay means deeper ice.</t>
        </is>
      </c>
      <c r="E25" s="50" t="inlineStr">
        <is>
          <t>Subsurface_Live_Data!A:M:O</t>
        </is>
      </c>
      <c r="F25" s="50" t="inlineStr">
        <is>
          <t>delay_us = 2*n*depth/c*1e6</t>
        </is>
      </c>
      <c r="G25" s="50" t="inlineStr">
        <is>
          <t>See Subsurface_Checks</t>
        </is>
      </c>
    </row>
    <row r="26">
      <c r="A26" s="50" t="inlineStr">
        <is>
          <t>Estimated Subsurface Echo Strength</t>
        </is>
      </c>
      <c r="B26" s="50" t="inlineStr">
        <is>
          <t>Relative echo strength for shallow ice, lens, and possible ocean boundary.</t>
        </is>
      </c>
      <c r="C26" s="50" t="inlineStr">
        <is>
          <t>Shows which returns may be easiest or hardest to detect.</t>
        </is>
      </c>
      <c r="D26" s="50" t="inlineStr">
        <is>
          <t>Higher / less negative dB is stronger.</t>
        </is>
      </c>
      <c r="E26" s="50" t="inlineStr">
        <is>
          <t>Subsurface_Live_Data!A:P:R</t>
        </is>
      </c>
      <c r="F26" s="50" t="inlineStr">
        <is>
          <t>base contrast - attenuation - roughness penalty</t>
        </is>
      </c>
      <c r="G26" s="50" t="inlineStr">
        <is>
          <t>See Subsurface_Checks</t>
        </is>
      </c>
    </row>
    <row r="27">
      <c r="A27" s="50" t="inlineStr">
        <is>
          <t>Possible Warm/Briny Lens Strength</t>
        </is>
      </c>
      <c r="B27" s="50" t="inlineStr">
        <is>
          <t>Strength of possible local internal lens contrast.</t>
        </is>
      </c>
      <c r="C27" s="50" t="inlineStr">
        <is>
          <t>Highlights where internal ice may produce a distinct reflector.</t>
        </is>
      </c>
      <c r="D27" s="50" t="inlineStr">
        <is>
          <t>0 means absent/weak; 1 means strongest modeled contrast.</t>
        </is>
      </c>
      <c r="E27" s="50" t="inlineStr">
        <is>
          <t>Subsurface_Live_Data!A:H</t>
        </is>
      </c>
      <c r="F27" s="50" t="inlineStr">
        <is>
          <t>Gaussian lens strength fields.</t>
        </is>
      </c>
      <c r="G27" s="50" t="inlineStr">
        <is>
          <t>See Subsurface_Checks</t>
        </is>
      </c>
    </row>
    <row r="29">
      <c r="A29" s="50" t="inlineStr">
        <is>
          <t>Detectability Margin vs Threshold</t>
        </is>
      </c>
      <c r="B29" s="50" t="inlineStr">
        <is>
          <t>Shows whether lens/ocean echoes clear a simple detection threshold.</t>
        </is>
      </c>
      <c r="C29" s="50" t="inlineStr">
        <is>
          <t>Useful for judging whether the simulated bottom layer would be visible.</t>
        </is>
      </c>
      <c r="D29" s="50" t="inlineStr">
        <is>
          <t>0 dB is the threshold line.</t>
        </is>
      </c>
      <c r="E29" s="50" t="inlineStr">
        <is>
          <t>Subsurface_Live_Data!A:X:Y:AA</t>
        </is>
      </c>
      <c r="F29" s="50" t="inlineStr">
        <is>
          <t>margin = echo - threshold</t>
        </is>
      </c>
      <c r="G29" s="50" t="inlineStr">
        <is>
          <t>See Subsurface_Checks</t>
        </is>
      </c>
    </row>
    <row r="30">
      <c r="A30" s="50" t="inlineStr">
        <is>
          <t>Ice Shell Thickness Along Track</t>
        </is>
      </c>
      <c r="B30" s="50" t="inlineStr">
        <is>
          <t>Shows possible ice-ocean boundary depth as thickness.</t>
        </is>
      </c>
      <c r="C30" s="50" t="inlineStr">
        <is>
          <t>Useful because the mission question is about what is below the icy surface.</t>
        </is>
      </c>
      <c r="D30" s="50" t="inlineStr">
        <is>
          <t>No baseline; line is synthetic proposed thickness.</t>
        </is>
      </c>
      <c r="E30" s="50" t="inlineStr">
        <is>
          <t>Subsurface_Live_Data!A:K</t>
        </is>
      </c>
      <c r="F30" s="50" t="inlineStr">
        <is>
          <t>ocean_depth formula from Subsurface_Inputs</t>
        </is>
      </c>
      <c r="G30" s="50" t="inlineStr">
        <is>
          <t>See Subsurface_Checks</t>
        </is>
      </c>
    </row>
    <row r="32">
      <c r="A32" s="50" t="inlineStr">
        <is>
          <t>Scenario Comparison: Thin / Medium / Thick Ice</t>
        </is>
      </c>
      <c r="B32" s="50" t="inlineStr">
        <is>
          <t>Compares possible ice shell thickness cases.</t>
        </is>
      </c>
      <c r="C32" s="50" t="inlineStr">
        <is>
          <t>Shows whether conclusions depend on one chosen depth.</t>
        </is>
      </c>
      <c r="D32" s="50" t="inlineStr">
        <is>
          <t>Medium is the live model; thin/thick are scenario multipliers.</t>
        </is>
      </c>
      <c r="E32" s="50" t="inlineStr">
        <is>
          <t>Subsurface_Scenario_Data!A:E:G</t>
        </is>
      </c>
      <c r="F32" s="50" t="inlineStr">
        <is>
          <t>scenario_depth = mean_depth*multiplier</t>
        </is>
      </c>
      <c r="G32" s="50" t="inlineStr">
        <is>
          <t>Live from Subsurface_Inputs</t>
        </is>
      </c>
    </row>
    <row r="33">
      <c r="A33" s="50" t="inlineStr">
        <is>
          <t>Boundary Uncertainty Band</t>
        </is>
      </c>
      <c r="B33" s="50" t="inlineStr">
        <is>
          <t>Shows lower/mean/upper possible bottom reflector depths.</t>
        </is>
      </c>
      <c r="C33" s="50" t="inlineStr">
        <is>
          <t>Avoids pretending the boundary is exactly known.</t>
        </is>
      </c>
      <c r="D33" s="50" t="inlineStr">
        <is>
          <t>Mean is the live model.</t>
        </is>
      </c>
      <c r="E33" s="50" t="inlineStr">
        <is>
          <t>Subsurface_Scenario_Data!A:B:D</t>
        </is>
      </c>
      <c r="F33" s="50" t="inlineStr">
        <is>
          <t>mean +/- uncertainty</t>
        </is>
      </c>
      <c r="G33" s="50" t="inlineStr">
        <is>
          <t>Live from Subsurface_Inputs</t>
        </is>
      </c>
    </row>
    <row r="34">
      <c r="A34" s="50" t="inlineStr">
        <is>
          <t>Ocean Model vs No-Ocean Control</t>
        </is>
      </c>
      <c r="B34" s="50" t="inlineStr">
        <is>
          <t>Compares deep-reflector detectability against a no-ocean control.</t>
        </is>
      </c>
      <c r="C34" s="50" t="inlineStr">
        <is>
          <t>A proposed ocean model should separate from the control.</t>
        </is>
      </c>
      <c r="D34" s="50" t="inlineStr">
        <is>
          <t>0 dB is threshold.</t>
        </is>
      </c>
      <c r="E34" s="50" t="inlineStr">
        <is>
          <t>Subsurface_Scenario_Data!A:H:J</t>
        </is>
      </c>
      <c r="F34" s="50" t="inlineStr">
        <is>
          <t>margin = echo - threshold</t>
        </is>
      </c>
      <c r="G34" s="50" t="inlineStr">
        <is>
          <t>Live from Subsurface_Inputs</t>
        </is>
      </c>
    </row>
    <row r="35">
      <c r="A35" s="50" t="inlineStr">
        <is>
          <t>Radargram-Style Return Timing With Clutter</t>
        </is>
      </c>
      <c r="B35" s="50" t="inlineStr">
        <is>
          <t>Shows surface clutter, shallow return, lens return, and deep return timing.</t>
        </is>
      </c>
      <c r="C35" s="50" t="inlineStr">
        <is>
          <t>Closer to what radar interpretation feels like than clean depth lines.</t>
        </is>
      </c>
      <c r="D35" s="50" t="inlineStr">
        <is>
          <t>Delay is after surface return.</t>
        </is>
      </c>
      <c r="E35" s="50" t="inlineStr">
        <is>
          <t>Subsurface_Radargram_Data!A:F</t>
        </is>
      </c>
      <c r="F35" s="50" t="inlineStr">
        <is>
          <t>layer delay + jitter</t>
        </is>
      </c>
      <c r="G35" s="50" t="inlineStr">
        <is>
          <t>Live from Subsurface_Inputs</t>
        </is>
      </c>
    </row>
    <row r="36">
      <c r="A36" s="50" t="inlineStr">
        <is>
          <t>Reflection Strength by Material / Interface</t>
        </is>
      </c>
      <c r="B36" s="50" t="inlineStr">
        <is>
          <t>Compares relative reflector strength of likely ice/ocean materials.</t>
        </is>
      </c>
      <c r="C36" s="50" t="inlineStr">
        <is>
          <t>Material contrast matters as much as shape.</t>
        </is>
      </c>
      <c r="D36" s="50" t="inlineStr">
        <is>
          <t>Less negative is stronger.</t>
        </is>
      </c>
      <c r="E36" s="50" t="inlineStr">
        <is>
          <t>Subsurface_Materials_Evidence!A:B</t>
        </is>
      </c>
      <c r="F36" s="50" t="inlineStr">
        <is>
          <t>lookup assumptions</t>
        </is>
      </c>
      <c r="G36" s="50" t="inlineStr">
        <is>
          <t>Editable through table if needed</t>
        </is>
      </c>
    </row>
    <row r="37">
      <c r="A37" s="50" t="inlineStr">
        <is>
          <t>Cross-Instrument Evidence Score</t>
        </is>
      </c>
      <c r="B37" s="50" t="inlineStr">
        <is>
          <t>Radar, thermal, composition, and magnetic/plasma support inputs.</t>
        </is>
      </c>
      <c r="C37" s="50" t="inlineStr">
        <is>
          <t>Makes the model more realistic by not relying on radar alone.</t>
        </is>
      </c>
      <c r="D37" s="50" t="inlineStr">
        <is>
          <t>Higher percent means stronger support.</t>
        </is>
      </c>
      <c r="E37" s="50" t="inlineStr">
        <is>
          <t>Subsurface_Materials_Evidence!A:B</t>
        </is>
      </c>
      <c r="F37" s="50" t="inlineStr">
        <is>
          <t>weighted evidence score</t>
        </is>
      </c>
      <c r="G37" s="50" t="inlineStr">
        <is>
          <t>Live from Subsurface_Inputs</t>
        </is>
      </c>
    </row>
  </sheetData>
  <mergeCells count="3">
    <mergeCell ref="A13:G13"/>
    <mergeCell ref="A2:G2"/>
    <mergeCell ref="A1:G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5"/>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5"/>
  <cols>
    <col width="18" customWidth="1"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32" customWidth="1" min="2" max="2"/>
    <col width="80" customWidth="1" min="3" max="3"/>
  </cols>
  <sheetData>
    <row r="1">
      <c r="A1" s="53" t="inlineStr">
        <is>
          <t>Subsurface Formula Checks</t>
        </is>
      </c>
    </row>
    <row r="2">
      <c r="A2" s="46" t="inlineStr">
        <is>
          <t>Check</t>
        </is>
      </c>
      <c r="B2" s="46" t="inlineStr">
        <is>
          <t>Live result</t>
        </is>
      </c>
      <c r="C2" s="46" t="inlineStr">
        <is>
          <t>Why it matters</t>
        </is>
      </c>
    </row>
    <row r="3">
      <c r="A3" s="50" t="inlineStr">
        <is>
          <t>Upper layer above lens</t>
        </is>
      </c>
      <c r="B3" s="50">
        <f>IF(MIN(Subsurface_Live_Data!I2:I242)&gt;MAX(Subsurface_Live_Data!F2:F242),"OK","Review")</f>
        <v/>
      </c>
      <c r="C3" s="50" t="inlineStr">
        <is>
          <t>Lens should be deeper than shallow internal ice.</t>
        </is>
      </c>
    </row>
    <row r="4">
      <c r="A4" s="50" t="inlineStr">
        <is>
          <t>Ocean deeper than lens</t>
        </is>
      </c>
      <c r="B4" s="50">
        <f>IF(MIN(Subsurface_Live_Data!K2:K242)&gt;MAX(Subsurface_Live_Data!I2:I242),"OK","Review")</f>
        <v/>
      </c>
      <c r="C4" s="50" t="inlineStr">
        <is>
          <t>Possible ocean boundary should be deepest reflector.</t>
        </is>
      </c>
    </row>
    <row r="5">
      <c r="A5" s="50" t="inlineStr">
        <is>
          <t>Positive depths</t>
        </is>
      </c>
      <c r="B5" s="50">
        <f>IF(MIN(Subsurface_Live_Data!F2:K242)&gt;0,"OK","Review")</f>
        <v/>
      </c>
      <c r="C5" s="50" t="inlineStr">
        <is>
          <t>Depths should not go negative.</t>
        </is>
      </c>
    </row>
    <row r="6">
      <c r="A6" s="50" t="inlineStr">
        <is>
          <t>Lens strength in range</t>
        </is>
      </c>
      <c r="B6" s="50">
        <f>IF(AND(MIN(Subsurface_Live_Data!H2:H242)&gt;=0,MAX(Subsurface_Live_Data!H2:H242)&lt;=1),"OK","Review")</f>
        <v/>
      </c>
      <c r="C6" s="50" t="inlineStr">
        <is>
          <t>Lens strength is intended as 0 to 1.</t>
        </is>
      </c>
    </row>
    <row r="7">
      <c r="A7" s="50" t="inlineStr">
        <is>
          <t>Echo values finite</t>
        </is>
      </c>
      <c r="B7" s="50">
        <f>IF(COUNT(Subsurface_Live_Data!P2:R242)=ROWS(Subsurface_Live_Data!P2:R242)*3,"OK","Review")</f>
        <v/>
      </c>
      <c r="C7" s="50" t="inlineStr">
        <is>
          <t>Echo estimate columns should remain numeric.</t>
        </is>
      </c>
    </row>
    <row r="8">
      <c r="A8" s="50" t="inlineStr">
        <is>
          <t>Workbook warning</t>
        </is>
      </c>
      <c r="B8" s="50" t="inlineStr">
        <is>
          <t>Synthetic data for model testing; not measured Europa data.</t>
        </is>
      </c>
      <c r="C8" s="50" t="inlineStr">
        <is>
          <t>Keeps the interpretation honest.</t>
        </is>
      </c>
    </row>
    <row r="9">
      <c r="A9" s="50" t="inlineStr">
        <is>
          <t>Detection threshold numeric</t>
        </is>
      </c>
      <c r="B9" s="50">
        <f>IF(ISNUMBER(Subsurface_Inputs!C43),"OK","Review")</f>
        <v/>
      </c>
      <c r="C9" s="50" t="inlineStr">
        <is>
          <t>Detection threshold should be a numeric dB value.</t>
        </is>
      </c>
    </row>
    <row r="10">
      <c r="A10" s="50" t="inlineStr">
        <is>
          <t>Detectability margins finite</t>
        </is>
      </c>
      <c r="B10" s="50">
        <f>IF(COUNT(Subsurface_Live_Data!X2:Y242)=ROWS(Subsurface_Live_Data!X2:Y242)*2,"OK","Review")</f>
        <v/>
      </c>
      <c r="C10" s="50" t="inlineStr">
        <is>
          <t>Lens/ocean margins should stay numeric.</t>
        </is>
      </c>
    </row>
    <row r="11">
      <c r="A11" s="50" t="inlineStr">
        <is>
          <t>Boundary uncertainty numeric</t>
        </is>
      </c>
      <c r="B11" s="50">
        <f>IF(ISNUMBER(Subsurface_Inputs!C44),"OK","Review")</f>
        <v/>
      </c>
      <c r="C11" s="50" t="inlineStr">
        <is>
          <t>Uncertainty band should be numeric.</t>
        </is>
      </c>
    </row>
    <row r="12">
      <c r="A12" s="50" t="inlineStr">
        <is>
          <t>Evidence weights positive</t>
        </is>
      </c>
      <c r="B12" s="50">
        <f>IF(SUM(Subsurface_Inputs!C52:C55)&gt;0,"OK","Review")</f>
        <v/>
      </c>
      <c r="C12" s="50" t="inlineStr">
        <is>
          <t>Evidence score needs positive weights.</t>
        </is>
      </c>
    </row>
    <row r="13">
      <c r="A13" s="50" t="inlineStr">
        <is>
          <t>Scenario data present</t>
        </is>
      </c>
      <c r="B13" s="50">
        <f>IF(COUNT(Subsurface_Scenario_Data!E2:G242)=ROWS(Subsurface_Scenario_Data!E2:G242)*3,"OK","Review")</f>
        <v/>
      </c>
      <c r="C13" s="50" t="inlineStr">
        <is>
          <t>Scenario comparison should remain numeric.</t>
        </is>
      </c>
    </row>
    <row r="14">
      <c r="A14" s="50" t="inlineStr">
        <is>
          <t>Radargram data present</t>
        </is>
      </c>
      <c r="B14" s="50">
        <f>IF(COUNT(Subsurface_Radargram_Data!C2:D242)&gt;0,"OK","Review")</f>
        <v/>
      </c>
      <c r="C14" s="50" t="inlineStr">
        <is>
          <t>Radargram timing helper should remain numeric.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70" customWidth="1" min="1" max="1"/>
    <col width="54" customWidth="1" min="2" max="2"/>
    <col width="42" customWidth="1" min="3" max="3"/>
    <col width="30" customWidth="1" min="4" max="4"/>
  </cols>
  <sheetData>
    <row r="1">
      <c r="A1" s="53" t="inlineStr">
        <is>
          <t>Subsurface Simulation Formulas</t>
        </is>
      </c>
    </row>
    <row r="2">
      <c r="A2" s="54" t="inlineStr">
        <is>
          <t>These formulas drive the live subsurface data and dashboard charts.</t>
        </is>
      </c>
    </row>
    <row r="3">
      <c r="A3" s="46" t="inlineStr">
        <is>
          <t>Formula</t>
        </is>
      </c>
      <c r="B3" s="46" t="inlineStr">
        <is>
          <t>Meaning</t>
        </is>
      </c>
      <c r="C3" s="46" t="inlineStr">
        <is>
          <t>Inputs used</t>
        </is>
      </c>
      <c r="D3" s="46" t="inlineStr">
        <is>
          <t>Output</t>
        </is>
      </c>
    </row>
    <row r="4">
      <c r="A4" s="50" t="inlineStr">
        <is>
          <t>surface_height = Model_Data!h_target</t>
        </is>
      </c>
      <c r="B4" s="50" t="inlineStr">
        <is>
          <t>Uses the existing generated icy topography as the surface.</t>
        </is>
      </c>
      <c r="C4" s="50" t="inlineStr">
        <is>
          <t>Model_Data, topography controls</t>
        </is>
      </c>
      <c r="D4" s="50" t="inlineStr">
        <is>
          <t>surface height</t>
        </is>
      </c>
    </row>
    <row r="5">
      <c r="A5" s="50" t="inlineStr">
        <is>
          <t>upper_depth = mean + A1*sin(2*pi*(x+phase)/L1) + A2*cos(2*pi*x/L2) + coupling*(surface-avg_surface)</t>
        </is>
      </c>
      <c r="B5" s="50" t="inlineStr">
        <is>
          <t>Synthetic shallow internal ice layer.</t>
        </is>
      </c>
      <c r="C5" s="50" t="inlineStr">
        <is>
          <t>Subsurface_Inputs shallow ice controls</t>
        </is>
      </c>
      <c r="D5" s="50" t="inlineStr">
        <is>
          <t>upper_ice_layer_depth_m</t>
        </is>
      </c>
    </row>
    <row r="6">
      <c r="A6" s="50" t="inlineStr">
        <is>
          <t>lens_strength = MIN(1, MAX(0, lensA*gaussianA + lensB*gaussianB))</t>
        </is>
      </c>
      <c r="B6" s="50" t="inlineStr">
        <is>
          <t>Where a possible warm/briny lens is strongest.</t>
        </is>
      </c>
      <c r="C6" s="50" t="inlineStr">
        <is>
          <t>lens strengths, centers, widths</t>
        </is>
      </c>
      <c r="D6" s="50" t="inlineStr">
        <is>
          <t>lens_strength_0to1</t>
        </is>
      </c>
    </row>
    <row r="7">
      <c r="A7" s="50" t="inlineStr">
        <is>
          <t>lens_depth = mean + wave_amp*sin(2*pi*(x-phase)/wavelength) - uplift*lens_strength</t>
        </is>
      </c>
      <c r="B7" s="50" t="inlineStr">
        <is>
          <t>Possible warm/briny ice lens depth.</t>
        </is>
      </c>
      <c r="C7" s="50" t="inlineStr">
        <is>
          <t>lens controls</t>
        </is>
      </c>
      <c r="D7" s="50" t="inlineStr">
        <is>
          <t>briny_warm_lens_depth_m</t>
        </is>
      </c>
    </row>
    <row r="8">
      <c r="A8" s="50" t="inlineStr">
        <is>
          <t>ocean_depth = nominal + A*sin(2*pi*(x+phase)/L) + B*cos(2*pi*(x-phase)/L2) - coupling*(surface-avg_surface)</t>
        </is>
      </c>
      <c r="B8" s="50" t="inlineStr">
        <is>
          <t>Possible ice-ocean boundary depth.</t>
        </is>
      </c>
      <c r="C8" s="50" t="inlineStr">
        <is>
          <t>ice-ocean controls</t>
        </is>
      </c>
      <c r="D8" s="50" t="inlineStr">
        <is>
          <t>ice_ocean_boundary_depth_m</t>
        </is>
      </c>
    </row>
    <row r="9">
      <c r="A9" s="50" t="inlineStr">
        <is>
          <t>elevation = surface_height - depth</t>
        </is>
      </c>
      <c r="B9" s="50" t="inlineStr">
        <is>
          <t>Converts depth below surface to elevation profile.</t>
        </is>
      </c>
      <c r="C9" s="50" t="inlineStr">
        <is>
          <t>surface and layer depth</t>
        </is>
      </c>
      <c r="D9" s="50" t="inlineStr">
        <is>
          <t>layer elevation</t>
        </is>
      </c>
    </row>
    <row r="10">
      <c r="A10" s="50" t="inlineStr">
        <is>
          <t>delay_us = 2*n*depth/c*1e6</t>
        </is>
      </c>
      <c r="B10" s="50" t="inlineStr">
        <is>
          <t>Two-way radar delay after the surface return.</t>
        </is>
      </c>
      <c r="C10" s="50" t="inlineStr">
        <is>
          <t>ice refractive index, speed of light</t>
        </is>
      </c>
      <c r="D10" s="50" t="inlineStr">
        <is>
          <t>layer delays</t>
        </is>
      </c>
    </row>
    <row r="11">
      <c r="A11" s="50" t="inlineStr">
        <is>
          <t>upper_echo = base - 2*attenuation*(depth_km)</t>
        </is>
      </c>
      <c r="B11" s="50" t="inlineStr">
        <is>
          <t>Simple shallow layer echo estimate.</t>
        </is>
      </c>
      <c r="C11" s="50" t="inlineStr">
        <is>
          <t>base echo, attenuation, depth</t>
        </is>
      </c>
      <c r="D11" s="50" t="inlineStr">
        <is>
          <t>upper echo dB</t>
        </is>
      </c>
    </row>
    <row r="12">
      <c r="A12" s="50" t="inlineStr">
        <is>
          <t>lens_echo = base + bonus*lens_strength - 2*attenuation*(depth_km)</t>
        </is>
      </c>
      <c r="B12" s="50" t="inlineStr">
        <is>
          <t>Lens echo gets stronger where lens contrast is stronger.</t>
        </is>
      </c>
      <c r="C12" s="50" t="inlineStr">
        <is>
          <t>lens strength and attenuation</t>
        </is>
      </c>
      <c r="D12" s="50" t="inlineStr">
        <is>
          <t>lens echo dB</t>
        </is>
      </c>
    </row>
    <row r="13">
      <c r="A13" s="50" t="inlineStr">
        <is>
          <t>ocean_echo = base - 2*attenuation*(depth_km) - roughness_penalty*ABS(boundary - avg_boundary)</t>
        </is>
      </c>
      <c r="B13" s="50" t="inlineStr">
        <is>
          <t>Deep reflector echo with attenuation and roughness penalty.</t>
        </is>
      </c>
      <c r="C13" s="50" t="inlineStr">
        <is>
          <t>ocean inputs and boundary elevation</t>
        </is>
      </c>
      <c r="D13" s="50" t="inlineStr">
        <is>
          <t>ocean echo dB</t>
        </is>
      </c>
    </row>
    <row r="14">
      <c r="A14" s="50" t="inlineStr">
        <is>
          <t>detectability_margin = echo_dB - detection_threshold_dB</t>
        </is>
      </c>
      <c r="B14" s="50" t="inlineStr">
        <is>
          <t>Positive values are easier-to-see simulated returns.</t>
        </is>
      </c>
      <c r="C14" s="50" t="inlineStr">
        <is>
          <t>Subsurface_Inputs C43 and echo formulas</t>
        </is>
      </c>
      <c r="D14" s="50" t="inlineStr">
        <is>
          <t>lens/ocean echo margin</t>
        </is>
      </c>
    </row>
    <row r="15">
      <c r="A15" s="50" t="inlineStr">
        <is>
          <t>realism score</t>
        </is>
      </c>
      <c r="B15" s="50" t="inlineStr">
        <is>
          <t>A judgment estimate: useful for communication, not a scientific proof.</t>
        </is>
      </c>
      <c r="C15" s="50" t="inlineStr">
        <is>
          <t>model assumptions and missing real constraints</t>
        </is>
      </c>
      <c r="D15" s="50" t="inlineStr">
        <is>
          <t>dashboard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2026-06-10T00:21:56Z</dcterms:modified>
  <cp:lastModifiedBy>Tyler Lee</cp:lastModifiedBy>
</cp:coreProperties>
</file>