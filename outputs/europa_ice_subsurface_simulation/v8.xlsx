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Subsurface_Scenario_Data" sheetId="7" state="visible" r:id="rId7"/>
    <sheet xmlns:r="http://schemas.openxmlformats.org/officeDocument/2006/relationships" name="Subsurface_Materials_Evidence" sheetId="8" state="visible" r:id="rId8"/>
    <sheet xmlns:r="http://schemas.openxmlformats.org/officeDocument/2006/relationships" name="Subsurface_Radargram_Data" sheetId="9" state="visible" r:id="rId9"/>
    <sheet xmlns:r="http://schemas.openxmlformats.org/officeDocument/2006/relationships" name="Chart_Data" sheetId="10" state="visible" r:id="rId10"/>
    <sheet xmlns:r="http://schemas.openxmlformats.org/officeDocument/2006/relationships" name="Scenario_Data" sheetId="11" state="visible" r:id="rId11"/>
    <sheet xmlns:r="http://schemas.openxmlformats.org/officeDocument/2006/relationships" name="PRF_Results" sheetId="12" state="visible" r:id="rId12"/>
    <sheet xmlns:r="http://schemas.openxmlformats.org/officeDocument/2006/relationships" name="Formula_Guide" sheetId="13" state="visible" r:id="rId13"/>
    <sheet xmlns:r="http://schemas.openxmlformats.org/officeDocument/2006/relationships" name="Topography_Formulas" sheetId="14" state="visible" r:id="rId14"/>
    <sheet xmlns:r="http://schemas.openxmlformats.org/officeDocument/2006/relationships" name="Checks" sheetId="15" state="visible" r:id="rId15"/>
    <sheet xmlns:r="http://schemas.openxmlformats.org/officeDocument/2006/relationships" name="Graph_Guide" sheetId="16" state="visible" r:id="rId16"/>
    <sheet xmlns:r="http://schemas.openxmlformats.org/officeDocument/2006/relationships" name="Dashboard_Live_Data" sheetId="17" state="visible" r:id="rId17"/>
    <sheet xmlns:r="http://schemas.openxmlformats.org/officeDocument/2006/relationships" name="Native_Chart_Data" sheetId="18" state="visible" r:id="rId18"/>
    <sheet xmlns:r="http://schemas.openxmlformats.org/officeDocument/2006/relationships" name="Subsurface_Checks" sheetId="19" state="visible" r:id="rId19"/>
    <sheet xmlns:r="http://schemas.openxmlformats.org/officeDocument/2006/relationships" name="Subsurface_Formulas" sheetId="20" state="visible" r:id="rId20"/>
  </sheets>
  <definedNames>
    <definedName name="_xlnm._FilterDatabase" localSheetId="5" hidden="1">'Subsurface_Live_Data'!$A$1:$V$242</definedName>
    <definedName name="_xlnm._FilterDatabase" localSheetId="6" hidden="1">'Subsurface_Scenario_Data'!$A$1:$J$242</definedName>
    <definedName name="_xlnm._FilterDatabase" localSheetId="8" hidden="1">'Subsurface_Radargram_Data'!$A$1:$G$242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5">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
      <b val="1"/>
      <color rgb="001F2937"/>
      <sz val="12"/>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21">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
      <left/>
      <right/>
      <top style="thin">
        <color rgb="00D4DAE3"/>
      </top>
      <bottom/>
      <diagonal/>
    </border>
    <border>
      <left style="thin">
        <color rgb="00D4DAE3"/>
      </left>
      <right/>
      <top/>
      <bottom/>
      <diagonal/>
    </border>
    <border>
      <left/>
      <right style="thin">
        <color rgb="00D4DAE3"/>
      </right>
      <top style="thin">
        <color rgb="00D4DAE3"/>
      </top>
      <bottom/>
      <diagonal/>
    </border>
    <border>
      <left/>
      <right style="thin">
        <color rgb="00D4DAE3"/>
      </right>
      <top/>
      <bottom/>
      <diagonal/>
    </border>
    <border>
      <left style="thin">
        <color rgb="00D4DAE3"/>
      </left>
      <right/>
      <top/>
      <bottom style="thin">
        <color rgb="00D4DAE3"/>
      </bottom>
      <diagonal/>
    </border>
    <border>
      <left/>
      <right/>
      <top/>
      <bottom style="thin">
        <color rgb="00D4DAE3"/>
      </bottom>
      <diagonal/>
    </border>
    <border>
      <left/>
      <right style="thin">
        <color rgb="00D4DAE3"/>
      </right>
      <top/>
      <bottom style="thin">
        <color rgb="00D4DAE3"/>
      </bottom>
      <diagonal/>
    </border>
  </borders>
  <cellStyleXfs count="1">
    <xf numFmtId="0" fontId="0" fillId="0" borderId="0"/>
  </cellStyleXfs>
  <cellXfs count="68">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xf numFmtId="0" fontId="21" fillId="14" borderId="13" applyAlignment="1" pivotButton="0" quotePrefix="0" xfId="0">
      <alignment vertical="top" wrapText="1"/>
    </xf>
    <xf numFmtId="164" fontId="0" fillId="15" borderId="13" applyAlignment="1" pivotButton="0" quotePrefix="0" xfId="0">
      <alignment vertical="top" wrapText="1"/>
    </xf>
    <xf numFmtId="0" fontId="0" fillId="14" borderId="13" applyAlignment="1" pivotButton="0" quotePrefix="0" xfId="0">
      <alignment vertical="top" wrapText="1"/>
    </xf>
    <xf numFmtId="0" fontId="21" fillId="0" borderId="0" pivotButton="0" quotePrefix="0" xfId="0"/>
    <xf numFmtId="9" fontId="0" fillId="0" borderId="13" applyAlignment="1" pivotButton="0" quotePrefix="0" xfId="0">
      <alignment vertical="top" wrapText="1"/>
    </xf>
    <xf numFmtId="0" fontId="18" fillId="0" borderId="13" applyAlignment="1" pivotButton="0" quotePrefix="0" xfId="0">
      <alignment vertical="top" wrapText="1"/>
    </xf>
    <xf numFmtId="0" fontId="0" fillId="0" borderId="0" applyAlignment="1" pivotButton="0" quotePrefix="0" xfId="0">
      <alignment vertical="top" wrapText="1"/>
    </xf>
    <xf numFmtId="0" fontId="0" fillId="15" borderId="0" applyAlignment="1" pivotButton="0" quotePrefix="0" xfId="0">
      <alignment vertical="top" wrapText="1"/>
    </xf>
    <xf numFmtId="0" fontId="24" fillId="0" borderId="0" pivotButton="0" quotePrefix="0" xfId="0"/>
    <xf numFmtId="0" fontId="16" fillId="12" borderId="0" applyAlignment="1" pivotButton="0" quotePrefix="0" xfId="0">
      <alignment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Marker"/>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mooth val="0"/>
        </ser>
        <ser>
          <idx val="1"/>
          <order val="1"/>
          <tx>
            <v>Shallow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mooth val="0"/>
        </ser>
        <ser>
          <idx val="2"/>
          <order val="2"/>
          <tx>
            <v>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mooth val="0"/>
        </ser>
        <ser>
          <idx val="3"/>
          <order val="3"/>
          <tx>
            <v>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crosses val="min"/>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Scenario Comparison: Thin / Medium / Thick Ice</a:t>
            </a:r>
          </a:p>
        </rich>
      </tx>
    </title>
    <plotArea>
      <scatterChart>
        <scatterStyle val="lineMarker"/>
        <ser>
          <idx val="0"/>
          <order val="0"/>
          <tx>
            <v>Thin shell</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'Subsurface_Scenario_Data'!$E$2:$E$242</f>
            </numRef>
          </yVal>
          <smooth val="0"/>
        </ser>
        <ser>
          <idx val="1"/>
          <order val="1"/>
          <tx>
            <v>Medium shell</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'Subsurface_Scenario_Data'!$F$2:$F$242</f>
            </numRef>
          </yVal>
          <smooth val="0"/>
        </ser>
        <ser>
          <idx val="2"/>
          <order val="2"/>
          <tx>
            <v>Thick shell</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'Subsurface_Scenario_Data'!$G$2:$G$242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crosses val="min"/>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Boundary Uncertainty Band</a:t>
            </a:r>
          </a:p>
        </rich>
      </tx>
    </title>
    <plotArea>
      <scatterChart>
        <scatterStyle val="lineMarker"/>
        <ser>
          <idx val="0"/>
          <order val="0"/>
          <tx>
            <v>Lower bound</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'Subsurface_Scenario_Data'!$C$2:$C$242</f>
            </numRef>
          </yVal>
          <smooth val="0"/>
        </ser>
        <ser>
          <idx val="1"/>
          <order val="1"/>
          <tx>
            <v>Mean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'Subsurface_Scenario_Data'!$B$2:$B$242</f>
            </numRef>
          </yVal>
          <smooth val="0"/>
        </ser>
        <ser>
          <idx val="2"/>
          <order val="2"/>
          <tx>
            <v>Upper bound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'Subsurface_Scenario_Data'!$D$2:$D$242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crosses val="min"/>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Ocean Model vs No-Ocean Control</a:t>
            </a:r>
          </a:p>
        </rich>
      </tx>
    </title>
    <plotArea>
      <scatterChart>
        <scatterStyle val="lineMarker"/>
        <ser>
          <idx val="0"/>
          <order val="0"/>
          <tx>
            <v>Ocean model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'Subsurface_Scenario_Data'!$H$2:$H$242</f>
            </numRef>
          </yVal>
          <smooth val="0"/>
        </ser>
        <ser>
          <idx val="1"/>
          <order val="1"/>
          <tx>
            <v>No-ocean control margin</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'Subsurface_Scenario_Data'!$A$2:$A$242</f>
            </numRef>
          </xVal>
          <yVal>
            <numRef>
              <f>'Subsurface_Scenario_Data'!$I$2:$I$242</f>
            </numRef>
          </yVal>
          <smooth val="0"/>
        </ser>
        <ser>
          <idx val="2"/>
          <order val="2"/>
          <tx>
            <v>Zero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'Subsurface_Scenario_Data'!$J$2:$J$242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crosses val="min"/>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Radargram-Style Return Timing With Clutter</a:t>
            </a:r>
          </a:p>
        </rich>
      </tx>
    </title>
    <plotArea>
      <scatterChart>
        <scatterStyle val="lineMarker"/>
        <ser>
          <idx val="0"/>
          <order val="0"/>
          <tx>
            <v>Surface clutter upper</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'Subsurface_Radargram_Data'!$A$2:$A$242</f>
            </numRef>
          </xVal>
          <yVal>
            <numRef>
              <f>'Subsurface_Radargram_Data'!$C$2:$C$242</f>
            </numRef>
          </yVal>
          <smooth val="0"/>
        </ser>
        <ser>
          <idx val="1"/>
          <order val="1"/>
          <tx>
            <v>Shallow ice return</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'Subsurface_Radargram_Data'!$A$2:$A$242</f>
            </numRef>
          </xVal>
          <yVal>
            <numRef>
              <f>'Subsurface_Radargram_Data'!$D$2:$D$242</f>
            </numRef>
          </yVal>
          <smooth val="0"/>
        </ser>
        <ser>
          <idx val="2"/>
          <order val="2"/>
          <tx>
            <v>Warm/briny lens return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'Subsurface_Radargram_Data'!$A$2:$A$242</f>
            </numRef>
          </xVal>
          <yVal>
            <numRef>
              <f>'Subsurface_Radargram_Data'!$E$2:$E$242</f>
            </numRef>
          </yVal>
          <smooth val="0"/>
        </ser>
        <ser>
          <idx val="3"/>
          <order val="3"/>
          <tx>
            <v>Ocean boundary return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'Subsurface_Radargram_Data'!$A$2:$A$242</f>
            </numRef>
          </xVal>
          <yVal>
            <numRef>
              <f>'Subsurface_Radargram_Data'!$F$2:$F$242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Two-way delay after surface return (us)</a:t>
                </a:r>
              </a:p>
            </rich>
          </tx>
        </title>
        <majorTickMark val="none"/>
        <minorTickMark val="none"/>
        <crossAx val="10"/>
        <crosses val="min"/>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Detectability Margin vs Threshold</a:t>
            </a:r>
          </a:p>
        </rich>
      </tx>
    </title>
    <plotArea>
      <scatterChart>
        <scatterStyle val="lineMarker"/>
        <ser>
          <idx val="0"/>
          <order val="0"/>
          <tx>
            <v>Lens echo margin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'Subsurface_Live_Data'!$X$2:$X$242</f>
            </numRef>
          </yVal>
          <smooth val="0"/>
        </ser>
        <ser>
          <idx val="1"/>
          <order val="1"/>
          <tx>
            <v>Ocean echo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'Subsurface_Live_Data'!$Y$2:$Y$242</f>
            </numRef>
          </yVal>
          <smooth val="0"/>
        </ser>
        <ser>
          <idx val="2"/>
          <order val="2"/>
          <tx>
            <v>Zero margin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'Subsurface_Live_Data'!$A$2:$A$242</f>
            </numRef>
          </xVal>
          <yVal>
            <numRef>
              <f>'Subsurface_Live_Data'!$AA$2:$AA$242</f>
            </numRef>
          </yVal>
          <smooth val="0"/>
        </ser>
        <axId val="10"/>
        <axId val="20"/>
      </scatterChart>
      <valAx>
        <axId val="10"/>
        <scaling>
          <orientation val="minMax"/>
          <max val="100"/>
          <min val="-100"/>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crosses val="min"/>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Reflection Strength by Material / Interface</a:t>
            </a:r>
          </a:p>
        </rich>
      </tx>
    </title>
    <plotArea>
      <scatterChart>
        <scatterStyle val="lineMarker"/>
        <ser>
          <idx val="0"/>
          <order val="0"/>
          <tx>
            <v>Material/interface strength</v>
          </tx>
          <spPr>
            <a:ln xmlns:a="http://schemas.openxmlformats.org/drawingml/2006/main" w="22000">
              <a:solidFill>
                <a:srgbClr val="2F6DB3"/>
              </a:solidFill>
              <a:prstDash val="solid"/>
            </a:ln>
          </spPr>
          <marker>
            <symbol val="none"/>
            <spPr>
              <a:ln xmlns:a="http://schemas.openxmlformats.org/drawingml/2006/main">
                <a:prstDash val="solid"/>
              </a:ln>
            </spPr>
          </marker>
          <xVal>
            <numRef>
              <f>'Subsurface_Materials_Evidence'!$G$2:$G$6</f>
            </numRef>
          </xVal>
          <yVal>
            <numRef>
              <f>'Subsurface_Materials_Evidence'!$H$2:$H$6</f>
            </numRef>
          </yVal>
          <smooth val="0"/>
        </ser>
        <axId val="10"/>
        <axId val="20"/>
      </scatterChart>
      <valAx>
        <axId val="10"/>
        <scaling>
          <orientation val="minMax"/>
          <max val="5"/>
          <min val="1"/>
        </scaling>
        <axPos val="l"/>
        <majorGridlines/>
        <title>
          <tx>
            <rich>
              <a:bodyPr xmlns:a="http://schemas.openxmlformats.org/drawingml/2006/main"/>
              <a:p xmlns:a="http://schemas.openxmlformats.org/drawingml/2006/main">
                <a:pPr>
                  <a:defRPr/>
                </a:pPr>
                <a:r>
                  <a:t>Material/interface index</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Reflection strength before depth loss (dB)</a:t>
                </a:r>
              </a:p>
            </rich>
          </tx>
        </title>
        <majorTickMark val="none"/>
        <minorTickMark val="none"/>
        <crossAx val="10"/>
        <crosses val="min"/>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Cross-Instrument Evidence Score</a:t>
            </a:r>
          </a:p>
        </rich>
      </tx>
    </title>
    <plotArea>
      <scatterChart>
        <scatterStyle val="lineMarker"/>
        <ser>
          <idx val="0"/>
          <order val="0"/>
          <tx>
            <v>Evidence support score</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'Subsurface_Materials_Evidence'!$I$10:$I$13</f>
            </numRef>
          </xVal>
          <yVal>
            <numRef>
              <f>'Subsurface_Materials_Evidence'!$J$10:$J$13</f>
            </numRef>
          </yVal>
          <smooth val="0"/>
        </ser>
        <axId val="10"/>
        <axId val="20"/>
      </scatterChart>
      <valAx>
        <axId val="10"/>
        <scaling>
          <orientation val="minMax"/>
          <max val="4"/>
          <min val="1"/>
        </scaling>
        <axPos val="l"/>
        <majorGridlines/>
        <title>
          <tx>
            <rich>
              <a:bodyPr xmlns:a="http://schemas.openxmlformats.org/drawingml/2006/main"/>
              <a:p xmlns:a="http://schemas.openxmlformats.org/drawingml/2006/main">
                <a:pPr>
                  <a:defRPr/>
                </a:pPr>
                <a:r>
                  <a:t>Evidence source index</a:t>
                </a:r>
              </a:p>
            </rich>
          </tx>
        </title>
        <majorTickMark val="none"/>
        <minorTickMark val="none"/>
        <crossAx val="20"/>
        <crosses val="min"/>
      </valAx>
      <valAx>
        <axId val="20"/>
        <scaling>
          <orientation val="minMax"/>
        </scaling>
        <axPos val="l"/>
        <majorGridlines/>
        <title>
          <tx>
            <rich>
              <a:bodyPr xmlns:a="http://schemas.openxmlformats.org/drawingml/2006/main"/>
              <a:p xmlns:a="http://schemas.openxmlformats.org/drawingml/2006/main">
                <a:pPr>
                  <a:defRPr/>
                </a:pPr>
                <a:r>
                  <a:t>Support score (%)</a:t>
                </a:r>
              </a:p>
            </rich>
          </tx>
        </title>
        <majorTickMark val="none"/>
        <minorTickMark val="none"/>
        <crossAx val="10"/>
        <crosses val="mi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 Type="http://schemas.openxmlformats.org/officeDocument/2006/relationships/chart" Target="/xl/charts/chart15.xml" Id="rId7"/><Relationship Type="http://schemas.openxmlformats.org/officeDocument/2006/relationships/chart" Target="/xl/charts/chart16.xml" Id="rId8"/></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28</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28</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49</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70</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70</row>
      <rowOff>0</rowOff>
    </from>
    <ext cx="540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91</row>
      <rowOff>0</rowOff>
    </from>
    <ext cx="540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91</row>
      <rowOff>0</rowOff>
    </from>
    <ext cx="540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31" customWidth="1" min="1" max="1"/>
    <col width="13" customWidth="1" min="2" max="2"/>
    <col width="9" customWidth="1" min="3" max="3"/>
    <col width="34" customWidth="1" min="4" max="4"/>
    <col width="14" customWidth="1" min="5" max="5"/>
    <col width="18" customWidth="1" min="6" max="6"/>
    <col width="14" customWidth="1" min="7" max="7"/>
    <col width="13" customWidth="1" min="8" max="8"/>
    <col width="28" customWidth="1" min="9" max="9"/>
    <col width="16"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21" customHeight="1">
      <c r="A1" s="53" t="inlineStr">
        <is>
          <t>Europa Ice Subsurface Interface</t>
        </is>
      </c>
    </row>
    <row r="2" ht="28" customHeight="1">
      <c r="A2" s="54" t="inlineStr">
        <is>
          <t>Live subsurface outputs from Subsurface_Inputs. The model is synthetic: it helps test what radar might see below icy topography, but it does not prove real Europa layers by itself.</t>
        </is>
      </c>
    </row>
    <row r="4" ht="15.75" customHeight="1">
      <c r="A4" s="66" t="inlineStr">
        <is>
          <t>Key Subsurface Results</t>
        </is>
      </c>
      <c r="F4" s="66" t="inlineStr">
        <is>
          <t>Realism / Proof Strength</t>
        </is>
      </c>
    </row>
    <row r="5">
      <c r="A5" s="46" t="inlineStr">
        <is>
          <t>Output</t>
        </is>
      </c>
      <c r="B5" s="46" t="inlineStr">
        <is>
          <t>Value</t>
        </is>
      </c>
      <c r="C5" s="46" t="inlineStr">
        <is>
          <t>Unit</t>
        </is>
      </c>
      <c r="D5" s="46" t="inlineStr">
        <is>
          <t>What it means</t>
        </is>
      </c>
      <c r="F5" s="46" t="inlineStr">
        <is>
          <t>Score</t>
        </is>
      </c>
      <c r="G5" s="46" t="inlineStr">
        <is>
          <t>Value</t>
        </is>
      </c>
      <c r="H5" s="46" t="inlineStr">
        <is>
          <t>Meaning</t>
        </is>
      </c>
      <c r="I5" s="46" t="inlineStr">
        <is>
          <t>Improve by</t>
        </is>
      </c>
    </row>
    <row r="6" ht="26.25" customHeight="1">
      <c r="A6" s="50" t="inlineStr">
        <is>
          <t>Average bottom depth</t>
        </is>
      </c>
      <c r="B6" s="47">
        <f>AVERAGE(Subsurface_Live_Data!K2:K242)</f>
        <v/>
      </c>
      <c r="C6" s="50" t="inlineStr">
        <is>
          <t>m</t>
        </is>
      </c>
      <c r="D6" s="50" t="inlineStr">
        <is>
          <t>Mean proposed ice-ocean boundary depth.</t>
        </is>
      </c>
      <c r="F6" s="50" t="inlineStr">
        <is>
          <t>Concept realism</t>
        </is>
      </c>
      <c r="G6" s="62" t="n">
        <v>0.7</v>
      </c>
      <c r="H6" s="50" t="inlineStr">
        <is>
          <t>Good for showing layered-ice radar behavior.</t>
        </is>
      </c>
      <c r="I6" s="50" t="inlineStr">
        <is>
          <t>Compare more scenarios.</t>
        </is>
      </c>
    </row>
    <row r="7" ht="26.25" customHeight="1">
      <c r="A7" s="50" t="inlineStr">
        <is>
          <t>Boundary uncertainty band</t>
        </is>
      </c>
      <c r="B7" s="47">
        <f>Subsurface_Inputs!$C$44</f>
        <v/>
      </c>
      <c r="C7" s="50" t="inlineStr">
        <is>
          <t>m</t>
        </is>
      </c>
      <c r="D7" s="50" t="inlineStr">
        <is>
          <t>Plus/minus range around bottom reflector.</t>
        </is>
      </c>
      <c r="F7" s="50" t="inlineStr">
        <is>
          <t>Europa prediction realism</t>
        </is>
      </c>
      <c r="G7" s="62">
        <f>MIN(0.75,0.25+Subsurface_Materials_Evidence!D14/100*0.45)</f>
        <v/>
      </c>
      <c r="H7" s="50" t="inlineStr">
        <is>
          <t>Plausible, but synthetic and not measured.</t>
        </is>
      </c>
      <c r="I7" s="50" t="inlineStr">
        <is>
          <t>Use published constraints or real mission data.</t>
        </is>
      </c>
    </row>
    <row r="8" ht="26.25" customHeight="1">
      <c r="A8" s="50" t="inlineStr">
        <is>
          <t>Best ocean echo margin</t>
        </is>
      </c>
      <c r="B8" s="47">
        <f>MAX(Subsurface_Live_Data!Y2:Y242)</f>
        <v/>
      </c>
      <c r="C8" s="50" t="inlineStr">
        <is>
          <t>dB</t>
        </is>
      </c>
      <c r="D8" s="50" t="inlineStr">
        <is>
          <t>How far deep reflector rises above/below threshold.</t>
        </is>
      </c>
      <c r="F8" s="50" t="inlineStr">
        <is>
          <t>Proof strength</t>
        </is>
      </c>
      <c r="G8" s="62">
        <f>MIN(0.60,0.15+Subsurface_Materials_Evidence!D14/100*0.35)</f>
        <v/>
      </c>
      <c r="H8" s="50" t="inlineStr">
        <is>
          <t>Supports a hypothesis; does not prove a real layer.</t>
        </is>
      </c>
      <c r="I8" s="50" t="inlineStr">
        <is>
          <t>Validate with radar, thermal, composition, and magnetic/plasma data.</t>
        </is>
      </c>
    </row>
    <row r="9" ht="26.25" customHeight="1">
      <c r="A9" s="50" t="inlineStr">
        <is>
          <t>Best lens echo margin</t>
        </is>
      </c>
      <c r="B9" s="47">
        <f>MAX(Subsurface_Live_Data!X2:X242)</f>
        <v/>
      </c>
      <c r="C9" s="50" t="inlineStr">
        <is>
          <t>dB</t>
        </is>
      </c>
      <c r="D9" s="50" t="inlineStr">
        <is>
          <t>How far internal lens return rises above/below threshold.</t>
        </is>
      </c>
    </row>
    <row r="10" ht="26.25" customHeight="1">
      <c r="A10" s="50" t="inlineStr">
        <is>
          <t>Likely visible ocean samples</t>
        </is>
      </c>
      <c r="B10" s="47">
        <f>COUNTIF(Subsurface_Live_Data!V2:V242,"Likely visible")</f>
        <v/>
      </c>
      <c r="C10" s="50" t="inlineStr">
        <is>
          <t>count</t>
        </is>
      </c>
      <c r="D10" s="50" t="inlineStr">
        <is>
          <t>Pass samples clearing the detection threshold.</t>
        </is>
      </c>
    </row>
    <row r="11" ht="26.25" customHeight="1">
      <c r="A11" s="50" t="inlineStr">
        <is>
          <t>Total evidence support</t>
        </is>
      </c>
      <c r="B11" s="47">
        <f>Subsurface_Materials_Evidence!D14</f>
        <v/>
      </c>
      <c r="C11" s="50" t="inlineStr">
        <is>
          <t>%</t>
        </is>
      </c>
      <c r="D11" s="50" t="inlineStr">
        <is>
          <t>Radar + thermal + composition + magnetic/plasma support.</t>
        </is>
      </c>
    </row>
    <row r="13" ht="15.75" customHeight="1">
      <c r="A13" s="66" t="inlineStr">
        <is>
          <t>Subsurface Graph Guide</t>
        </is>
      </c>
    </row>
    <row r="14" ht="26.25" customHeight="1">
      <c r="A14" s="46" t="inlineStr">
        <is>
          <t>Graph</t>
        </is>
      </c>
      <c r="B14" s="46" t="inlineStr">
        <is>
          <t>What it shows</t>
        </is>
      </c>
      <c r="C14" s="46" t="inlineStr">
        <is>
          <t>How to read it</t>
        </is>
      </c>
      <c r="D14" s="46" t="n"/>
      <c r="E14" s="46" t="n"/>
      <c r="F14" s="46" t="inlineStr">
        <is>
          <t>Graph</t>
        </is>
      </c>
      <c r="G14" s="46" t="inlineStr">
        <is>
          <t>What it shows</t>
        </is>
      </c>
      <c r="H14" s="46" t="inlineStr">
        <is>
          <t>How to read it</t>
        </is>
      </c>
      <c r="I14" s="46" t="n"/>
    </row>
    <row r="15" ht="26.25" customHeight="1">
      <c r="A15" s="50" t="inlineStr">
        <is>
          <t>Icy layers</t>
        </is>
      </c>
      <c r="B15" s="50" t="inlineStr">
        <is>
          <t>Top surface, internal ice, lens, and possible ocean boundary.</t>
        </is>
      </c>
      <c r="C15" s="50" t="inlineStr">
        <is>
          <t>Lower lines are deeper.</t>
        </is>
      </c>
      <c r="D15" s="50" t="n"/>
      <c r="E15" s="50" t="n"/>
      <c r="F15" s="50" t="inlineStr">
        <is>
          <t>Scenarios</t>
        </is>
      </c>
      <c r="G15" s="50" t="inlineStr">
        <is>
          <t>Thin / medium / thick ice shell cases.</t>
        </is>
      </c>
      <c r="H15" s="50" t="inlineStr">
        <is>
          <t>Different assumptions change boundary depth.</t>
        </is>
      </c>
      <c r="I15" s="50" t="n"/>
    </row>
    <row r="16" ht="26.25" customHeight="1">
      <c r="A16" s="50" t="inlineStr">
        <is>
          <t>Uncertainty</t>
        </is>
      </c>
      <c r="B16" s="50" t="inlineStr">
        <is>
          <t>Mean bottom boundary with lower/upper bounds.</t>
        </is>
      </c>
      <c r="C16" s="50" t="inlineStr">
        <is>
          <t>Band width comes from Subsurface_Inputs.</t>
        </is>
      </c>
      <c r="D16" s="50" t="n"/>
      <c r="E16" s="50" t="n"/>
      <c r="F16" s="50" t="inlineStr">
        <is>
          <t>Control</t>
        </is>
      </c>
      <c r="G16" s="50" t="inlineStr">
        <is>
          <t>Ocean model compared with no-ocean control.</t>
        </is>
      </c>
      <c r="H16" s="50" t="inlineStr">
        <is>
          <t>Positive margin clears threshold.</t>
        </is>
      </c>
      <c r="I16" s="50" t="n"/>
    </row>
    <row r="17">
      <c r="A17" s="50" t="inlineStr">
        <is>
          <t>Radargram timing</t>
        </is>
      </c>
      <c r="B17" s="50" t="inlineStr">
        <is>
          <t>Return delay with surface clutter and jitter.</t>
        </is>
      </c>
      <c r="C17" s="50" t="inlineStr">
        <is>
          <t>Later delay means deeper reflector.</t>
        </is>
      </c>
      <c r="D17" s="50" t="n"/>
      <c r="E17" s="50" t="n"/>
      <c r="F17" s="50" t="inlineStr">
        <is>
          <t>Detectability</t>
        </is>
      </c>
      <c r="G17" s="50" t="inlineStr">
        <is>
          <t>Lens/ocean echo margin above threshold.</t>
        </is>
      </c>
      <c r="H17" s="50" t="inlineStr">
        <is>
          <t>Above 0 dB is easier to detect.</t>
        </is>
      </c>
      <c r="I17" s="50" t="n"/>
    </row>
    <row r="18">
      <c r="A18" s="50" t="inlineStr">
        <is>
          <t>Materials</t>
        </is>
      </c>
      <c r="B18" s="50" t="inlineStr">
        <is>
          <t>Reflector strength by material/interface.</t>
        </is>
      </c>
      <c r="C18" s="50" t="inlineStr">
        <is>
          <t>Less negative is stronger.</t>
        </is>
      </c>
      <c r="D18" s="50" t="n"/>
      <c r="E18" s="50" t="n"/>
      <c r="F18" s="50" t="inlineStr">
        <is>
          <t>Evidence</t>
        </is>
      </c>
      <c r="G18" s="50" t="inlineStr">
        <is>
          <t>Radar, thermal, composition, magnetic/plasma support.</t>
        </is>
      </c>
      <c r="H18" s="50" t="inlineStr">
        <is>
          <t>Higher percent means stronger support.</t>
        </is>
      </c>
      <c r="I18" s="50" t="n"/>
    </row>
    <row r="19" ht="15.75" customHeight="1"/>
    <row r="20" ht="26.25" customHeight="1"/>
    <row r="21" ht="26.25" customHeight="1"/>
    <row r="22" ht="26.25" customHeight="1"/>
    <row r="23" ht="26.25" customHeight="1"/>
    <row r="25" ht="15.75" customHeight="1"/>
    <row r="26" ht="13.9" customHeight="1"/>
  </sheetData>
  <mergeCells count="5">
    <mergeCell ref="A4:D4"/>
    <mergeCell ref="A13:I13"/>
    <mergeCell ref="A2:H2"/>
    <mergeCell ref="F4:I4"/>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c r="E2" s="54" t="inlineStr">
        <is>
          <t>All editable values live on this tab. Subsurface_Dashboard is output-only.</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57" t="n">
        <v>1150</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57" t="n">
        <v>0.95</v>
      </c>
      <c r="D13" s="50" t="inlineStr">
        <is>
          <t>0-1</t>
        </is>
      </c>
      <c r="E13" s="50" t="inlineStr">
        <is>
          <t>Local possible warm/briny contrast, not proven.</t>
        </is>
      </c>
    </row>
    <row r="14">
      <c r="A14" s="50" t="inlineStr">
        <is>
          <t>Warm/briny lens</t>
        </is>
      </c>
      <c r="B14" s="50" t="inlineStr">
        <is>
          <t>Lens A center</t>
        </is>
      </c>
      <c r="C14" s="57" t="n">
        <v>-24</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57" t="n">
        <v>0.7</v>
      </c>
      <c r="D16" s="50" t="inlineStr">
        <is>
          <t>0-1</t>
        </is>
      </c>
      <c r="E16" s="50" t="inlineStr">
        <is>
          <t>Second possible lens.</t>
        </is>
      </c>
    </row>
    <row r="17">
      <c r="A17" s="50" t="inlineStr">
        <is>
          <t>Warm/briny lens</t>
        </is>
      </c>
      <c r="B17" s="50" t="inlineStr">
        <is>
          <t>Lens B center</t>
        </is>
      </c>
      <c r="C17" s="57" t="n">
        <v>30</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57" t="n">
        <v>5100</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57" t="n">
        <v>15000</v>
      </c>
      <c r="D25" s="50" t="inlineStr">
        <is>
          <t>m</t>
        </is>
      </c>
      <c r="E25" s="50" t="inlineStr">
        <is>
          <t>Possible bottom reflector depth.</t>
        </is>
      </c>
    </row>
    <row r="26">
      <c r="A26" s="50" t="inlineStr">
        <is>
          <t>Ice-ocean boundary</t>
        </is>
      </c>
      <c r="B26" s="50" t="inlineStr">
        <is>
          <t>Ocean boundary sine amplitude</t>
        </is>
      </c>
      <c r="C26" s="57" t="n">
        <v>760</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57">
        <f>Inputs!$C$12</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57" t="n">
        <v>0.9</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57" t="n">
        <v>0.18</v>
      </c>
      <c r="D42" s="50" t="inlineStr">
        <is>
          <t>0-1</t>
        </is>
      </c>
      <c r="E42" s="50" t="inlineStr">
        <is>
          <t>Below this, lens is treated as too weak for chart focus.</t>
        </is>
      </c>
    </row>
    <row r="43">
      <c r="A43" s="50" t="inlineStr">
        <is>
          <t>Radar</t>
        </is>
      </c>
      <c r="B43" s="50" t="inlineStr">
        <is>
          <t>Detection threshold</t>
        </is>
      </c>
      <c r="C43" s="57" t="n">
        <v>-45</v>
      </c>
      <c r="D43" s="50" t="inlineStr">
        <is>
          <t>dB</t>
        </is>
      </c>
      <c r="E43" s="50" t="inlineStr">
        <is>
          <t>Simple threshold for treating a return as easier to see.</t>
        </is>
      </c>
    </row>
    <row r="44">
      <c r="A44" s="50" t="inlineStr">
        <is>
          <t>Uncertainty</t>
        </is>
      </c>
      <c r="B44" s="50" t="inlineStr">
        <is>
          <t>Boundary uncertainty band</t>
        </is>
      </c>
      <c r="C44" s="57" t="n">
        <v>1500</v>
      </c>
      <c r="D44" s="50" t="inlineStr">
        <is>
          <t>m</t>
        </is>
      </c>
      <c r="E44" s="50" t="inlineStr">
        <is>
          <t>Plus/minus range around the possible ice-ocean boundary.</t>
        </is>
      </c>
    </row>
    <row r="45">
      <c r="A45" s="50" t="inlineStr">
        <is>
          <t>Scenario</t>
        </is>
      </c>
      <c r="B45" s="50" t="inlineStr">
        <is>
          <t>Thin shell multiplier</t>
        </is>
      </c>
      <c r="C45" s="57" t="n">
        <v>0.55</v>
      </c>
      <c r="D45" s="50" t="n"/>
      <c r="E45" s="50" t="inlineStr">
        <is>
          <t>Creates a thinner-shell scenario from the live depth.</t>
        </is>
      </c>
    </row>
    <row r="46">
      <c r="A46" s="50" t="inlineStr">
        <is>
          <t>Scenario</t>
        </is>
      </c>
      <c r="B46" s="50" t="inlineStr">
        <is>
          <t>Thick shell multiplier</t>
        </is>
      </c>
      <c r="C46" s="57" t="n">
        <v>1.75</v>
      </c>
      <c r="D46" s="50" t="n"/>
      <c r="E46" s="50" t="inlineStr">
        <is>
          <t>Creates a thicker-shell scenario from the live depth.</t>
        </is>
      </c>
    </row>
    <row r="47">
      <c r="A47" s="50" t="inlineStr">
        <is>
          <t>Scenario</t>
        </is>
      </c>
      <c r="B47" s="50" t="inlineStr">
        <is>
          <t>No-ocean control echo</t>
        </is>
      </c>
      <c r="C47" s="57" t="n">
        <v>-60</v>
      </c>
      <c r="D47" s="50" t="inlineStr">
        <is>
          <t>dB</t>
        </is>
      </c>
      <c r="E47" s="50" t="inlineStr">
        <is>
          <t>Weak baseline return for a no-bottom-reflector control case.</t>
        </is>
      </c>
    </row>
    <row r="48">
      <c r="A48" s="50" t="inlineStr">
        <is>
          <t>Evidence</t>
        </is>
      </c>
      <c r="B48" s="50" t="inlineStr">
        <is>
          <t>Radar support score</t>
        </is>
      </c>
      <c r="C48" s="57" t="n">
        <v>55</v>
      </c>
      <c r="D48" s="50" t="inlineStr">
        <is>
          <t>%</t>
        </is>
      </c>
      <c r="E48" s="50" t="inlineStr">
        <is>
          <t>How strongly radar outputs support the proposed subsurface.</t>
        </is>
      </c>
    </row>
    <row r="49">
      <c r="A49" s="50" t="inlineStr">
        <is>
          <t>Evidence</t>
        </is>
      </c>
      <c r="B49" s="50" t="inlineStr">
        <is>
          <t>Thermal support score</t>
        </is>
      </c>
      <c r="C49" s="57" t="n">
        <v>35</v>
      </c>
      <c r="D49" s="50" t="inlineStr">
        <is>
          <t>%</t>
        </is>
      </c>
      <c r="E49" s="50" t="inlineStr">
        <is>
          <t>Proxy for E-THEMIS-style warm-region support.</t>
        </is>
      </c>
    </row>
    <row r="50">
      <c r="A50" s="50" t="inlineStr">
        <is>
          <t>Evidence</t>
        </is>
      </c>
      <c r="B50" s="50" t="inlineStr">
        <is>
          <t>Composition support score</t>
        </is>
      </c>
      <c r="C50" s="57" t="n">
        <v>40</v>
      </c>
      <c r="D50" s="50" t="inlineStr">
        <is>
          <t>%</t>
        </is>
      </c>
      <c r="E50" s="50" t="inlineStr">
        <is>
          <t>Proxy for MISE-style salts/ice/organic context.</t>
        </is>
      </c>
    </row>
    <row r="51">
      <c r="A51" s="50" t="inlineStr">
        <is>
          <t>Evidence</t>
        </is>
      </c>
      <c r="B51" s="50" t="inlineStr">
        <is>
          <t>Magnetic/plasma support score</t>
        </is>
      </c>
      <c r="C51" s="57" t="n">
        <v>50</v>
      </c>
      <c r="D51" s="50" t="inlineStr">
        <is>
          <t>%</t>
        </is>
      </c>
      <c r="E51" s="50" t="inlineStr">
        <is>
          <t>Proxy for ECM/PIMS-style ocean support.</t>
        </is>
      </c>
    </row>
    <row r="52">
      <c r="A52" s="50" t="inlineStr">
        <is>
          <t>Evidence</t>
        </is>
      </c>
      <c r="B52" s="50" t="inlineStr">
        <is>
          <t>Radar evidence weight</t>
        </is>
      </c>
      <c r="C52" s="57" t="n">
        <v>40</v>
      </c>
      <c r="D52" s="50" t="inlineStr">
        <is>
          <t>%</t>
        </is>
      </c>
      <c r="E52" s="50" t="inlineStr">
        <is>
          <t>Radar should carry the most weight here.</t>
        </is>
      </c>
    </row>
    <row r="53">
      <c r="A53" s="50" t="inlineStr">
        <is>
          <t>Evidence</t>
        </is>
      </c>
      <c r="B53" s="50" t="inlineStr">
        <is>
          <t>Thermal evidence weight</t>
        </is>
      </c>
      <c r="C53" s="57" t="n">
        <v>20</v>
      </c>
      <c r="D53" s="50" t="inlineStr">
        <is>
          <t>%</t>
        </is>
      </c>
      <c r="E53" s="50" t="inlineStr">
        <is>
          <t>Thermal evidence is supporting context.</t>
        </is>
      </c>
    </row>
    <row r="54">
      <c r="A54" s="50" t="inlineStr">
        <is>
          <t>Evidence</t>
        </is>
      </c>
      <c r="B54" s="50" t="inlineStr">
        <is>
          <t>Composition evidence weight</t>
        </is>
      </c>
      <c r="C54" s="57" t="n">
        <v>20</v>
      </c>
      <c r="D54" s="50" t="inlineStr">
        <is>
          <t>%</t>
        </is>
      </c>
      <c r="E54" s="50" t="inlineStr">
        <is>
          <t>Surface composition is supporting context.</t>
        </is>
      </c>
    </row>
    <row r="55">
      <c r="A55" s="50" t="inlineStr">
        <is>
          <t>Evidence</t>
        </is>
      </c>
      <c r="B55" s="50" t="inlineStr">
        <is>
          <t>Magnetic/plasma evidence weight</t>
        </is>
      </c>
      <c r="C55" s="57" t="n">
        <v>20</v>
      </c>
      <c r="D55" s="50" t="inlineStr">
        <is>
          <t>%</t>
        </is>
      </c>
      <c r="E55" s="50" t="inlineStr">
        <is>
          <t>Interior/ocean support from non-radar instruments.</t>
        </is>
      </c>
    </row>
    <row r="56">
      <c r="A56" s="50" t="inlineStr">
        <is>
          <t>Radargram</t>
        </is>
      </c>
      <c r="B56" s="50" t="inlineStr">
        <is>
          <t>Radargram timing jitter</t>
        </is>
      </c>
      <c r="C56" s="57" t="n">
        <v>1.5</v>
      </c>
      <c r="D56" s="50" t="inlineStr">
        <is>
          <t>us</t>
        </is>
      </c>
      <c r="E56" s="50" t="inlineStr">
        <is>
          <t>Adds deterministic timing wiggle to radargram-style chart.</t>
        </is>
      </c>
    </row>
    <row r="57">
      <c r="A57" s="50" t="inlineStr">
        <is>
          <t>Radargram</t>
        </is>
      </c>
      <c r="B57" s="50" t="inlineStr">
        <is>
          <t>Surface clutter band</t>
        </is>
      </c>
      <c r="C57" s="57" t="n">
        <v>12</v>
      </c>
      <c r="D57" s="50" t="inlineStr">
        <is>
          <t>us</t>
        </is>
      </c>
      <c r="E57" s="50" t="inlineStr">
        <is>
          <t>Approximate near-surface clutter window.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1" customWidth="1" min="23" max="23"/>
    <col width="21" customWidth="1" min="24" max="24"/>
    <col width="21" customWidth="1" min="25" max="25"/>
    <col width="21" customWidth="1" min="26" max="26"/>
    <col width="21" customWidth="1" min="27" max="27"/>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c r="W1" s="46" t="inlineStr">
        <is>
          <t>detection_threshold_db</t>
        </is>
      </c>
      <c r="X1" s="46" t="inlineStr">
        <is>
          <t>lens_echo_margin_db</t>
        </is>
      </c>
      <c r="Y1" s="46" t="inlineStr">
        <is>
          <t>ocean_echo_margin_db</t>
        </is>
      </c>
      <c r="Z1" s="46" t="inlineStr">
        <is>
          <t>best_deep_return_margin_db</t>
        </is>
      </c>
      <c r="AA1" s="46" t="inlineStr">
        <is>
          <t>zero_margin_reference</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IF(R2&gt;=W2,"Likely visible","Weak")</f>
        <v/>
      </c>
      <c r="W2" s="47">
        <f>Subsurface_Inputs!$C$43</f>
        <v/>
      </c>
      <c r="X2" s="47">
        <f>Q2-W2</f>
        <v/>
      </c>
      <c r="Y2" s="47">
        <f>R2-W2</f>
        <v/>
      </c>
      <c r="Z2" s="47">
        <f>MAX(Q2,R2)-W2</f>
        <v/>
      </c>
      <c r="AA2" s="47" t="n">
        <v>0</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IF(R3&gt;=W3,"Likely visible","Weak")</f>
        <v/>
      </c>
      <c r="W3" s="47">
        <f>Subsurface_Inputs!$C$43</f>
        <v/>
      </c>
      <c r="X3" s="47">
        <f>Q3-W3</f>
        <v/>
      </c>
      <c r="Y3" s="47">
        <f>R3-W3</f>
        <v/>
      </c>
      <c r="Z3" s="47">
        <f>MAX(Q3,R3)-W3</f>
        <v/>
      </c>
      <c r="AA3" s="47" t="n">
        <v>0</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IF(R4&gt;=W4,"Likely visible","Weak")</f>
        <v/>
      </c>
      <c r="W4" s="47">
        <f>Subsurface_Inputs!$C$43</f>
        <v/>
      </c>
      <c r="X4" s="47">
        <f>Q4-W4</f>
        <v/>
      </c>
      <c r="Y4" s="47">
        <f>R4-W4</f>
        <v/>
      </c>
      <c r="Z4" s="47">
        <f>MAX(Q4,R4)-W4</f>
        <v/>
      </c>
      <c r="AA4" s="47" t="n">
        <v>0</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IF(R5&gt;=W5,"Likely visible","Weak")</f>
        <v/>
      </c>
      <c r="W5" s="47">
        <f>Subsurface_Inputs!$C$43</f>
        <v/>
      </c>
      <c r="X5" s="47">
        <f>Q5-W5</f>
        <v/>
      </c>
      <c r="Y5" s="47">
        <f>R5-W5</f>
        <v/>
      </c>
      <c r="Z5" s="47">
        <f>MAX(Q5,R5)-W5</f>
        <v/>
      </c>
      <c r="AA5" s="47" t="n">
        <v>0</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IF(R6&gt;=W6,"Likely visible","Weak")</f>
        <v/>
      </c>
      <c r="W6" s="47">
        <f>Subsurface_Inputs!$C$43</f>
        <v/>
      </c>
      <c r="X6" s="47">
        <f>Q6-W6</f>
        <v/>
      </c>
      <c r="Y6" s="47">
        <f>R6-W6</f>
        <v/>
      </c>
      <c r="Z6" s="47">
        <f>MAX(Q6,R6)-W6</f>
        <v/>
      </c>
      <c r="AA6" s="47" t="n">
        <v>0</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IF(R7&gt;=W7,"Likely visible","Weak")</f>
        <v/>
      </c>
      <c r="W7" s="47">
        <f>Subsurface_Inputs!$C$43</f>
        <v/>
      </c>
      <c r="X7" s="47">
        <f>Q7-W7</f>
        <v/>
      </c>
      <c r="Y7" s="47">
        <f>R7-W7</f>
        <v/>
      </c>
      <c r="Z7" s="47">
        <f>MAX(Q7,R7)-W7</f>
        <v/>
      </c>
      <c r="AA7" s="47" t="n">
        <v>0</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IF(R8&gt;=W8,"Likely visible","Weak")</f>
        <v/>
      </c>
      <c r="W8" s="47">
        <f>Subsurface_Inputs!$C$43</f>
        <v/>
      </c>
      <c r="X8" s="47">
        <f>Q8-W8</f>
        <v/>
      </c>
      <c r="Y8" s="47">
        <f>R8-W8</f>
        <v/>
      </c>
      <c r="Z8" s="47">
        <f>MAX(Q8,R8)-W8</f>
        <v/>
      </c>
      <c r="AA8" s="47" t="n">
        <v>0</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IF(R9&gt;=W9,"Likely visible","Weak")</f>
        <v/>
      </c>
      <c r="W9" s="47">
        <f>Subsurface_Inputs!$C$43</f>
        <v/>
      </c>
      <c r="X9" s="47">
        <f>Q9-W9</f>
        <v/>
      </c>
      <c r="Y9" s="47">
        <f>R9-W9</f>
        <v/>
      </c>
      <c r="Z9" s="47">
        <f>MAX(Q9,R9)-W9</f>
        <v/>
      </c>
      <c r="AA9" s="47" t="n">
        <v>0</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IF(R10&gt;=W10,"Likely visible","Weak")</f>
        <v/>
      </c>
      <c r="W10" s="47">
        <f>Subsurface_Inputs!$C$43</f>
        <v/>
      </c>
      <c r="X10" s="47">
        <f>Q10-W10</f>
        <v/>
      </c>
      <c r="Y10" s="47">
        <f>R10-W10</f>
        <v/>
      </c>
      <c r="Z10" s="47">
        <f>MAX(Q10,R10)-W10</f>
        <v/>
      </c>
      <c r="AA10" s="47" t="n">
        <v>0</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IF(R11&gt;=W11,"Likely visible","Weak")</f>
        <v/>
      </c>
      <c r="W11" s="47">
        <f>Subsurface_Inputs!$C$43</f>
        <v/>
      </c>
      <c r="X11" s="47">
        <f>Q11-W11</f>
        <v/>
      </c>
      <c r="Y11" s="47">
        <f>R11-W11</f>
        <v/>
      </c>
      <c r="Z11" s="47">
        <f>MAX(Q11,R11)-W11</f>
        <v/>
      </c>
      <c r="AA11" s="47" t="n">
        <v>0</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IF(R12&gt;=W12,"Likely visible","Weak")</f>
        <v/>
      </c>
      <c r="W12" s="47">
        <f>Subsurface_Inputs!$C$43</f>
        <v/>
      </c>
      <c r="X12" s="47">
        <f>Q12-W12</f>
        <v/>
      </c>
      <c r="Y12" s="47">
        <f>R12-W12</f>
        <v/>
      </c>
      <c r="Z12" s="47">
        <f>MAX(Q12,R12)-W12</f>
        <v/>
      </c>
      <c r="AA12" s="47" t="n">
        <v>0</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IF(R13&gt;=W13,"Likely visible","Weak")</f>
        <v/>
      </c>
      <c r="W13" s="47">
        <f>Subsurface_Inputs!$C$43</f>
        <v/>
      </c>
      <c r="X13" s="47">
        <f>Q13-W13</f>
        <v/>
      </c>
      <c r="Y13" s="47">
        <f>R13-W13</f>
        <v/>
      </c>
      <c r="Z13" s="47">
        <f>MAX(Q13,R13)-W13</f>
        <v/>
      </c>
      <c r="AA13" s="47" t="n">
        <v>0</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IF(R14&gt;=W14,"Likely visible","Weak")</f>
        <v/>
      </c>
      <c r="W14" s="47">
        <f>Subsurface_Inputs!$C$43</f>
        <v/>
      </c>
      <c r="X14" s="47">
        <f>Q14-W14</f>
        <v/>
      </c>
      <c r="Y14" s="47">
        <f>R14-W14</f>
        <v/>
      </c>
      <c r="Z14" s="47">
        <f>MAX(Q14,R14)-W14</f>
        <v/>
      </c>
      <c r="AA14" s="47" t="n">
        <v>0</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IF(R15&gt;=W15,"Likely visible","Weak")</f>
        <v/>
      </c>
      <c r="W15" s="47">
        <f>Subsurface_Inputs!$C$43</f>
        <v/>
      </c>
      <c r="X15" s="47">
        <f>Q15-W15</f>
        <v/>
      </c>
      <c r="Y15" s="47">
        <f>R15-W15</f>
        <v/>
      </c>
      <c r="Z15" s="47">
        <f>MAX(Q15,R15)-W15</f>
        <v/>
      </c>
      <c r="AA15" s="47" t="n">
        <v>0</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IF(R16&gt;=W16,"Likely visible","Weak")</f>
        <v/>
      </c>
      <c r="W16" s="47">
        <f>Subsurface_Inputs!$C$43</f>
        <v/>
      </c>
      <c r="X16" s="47">
        <f>Q16-W16</f>
        <v/>
      </c>
      <c r="Y16" s="47">
        <f>R16-W16</f>
        <v/>
      </c>
      <c r="Z16" s="47">
        <f>MAX(Q16,R16)-W16</f>
        <v/>
      </c>
      <c r="AA16" s="47" t="n">
        <v>0</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IF(R17&gt;=W17,"Likely visible","Weak")</f>
        <v/>
      </c>
      <c r="W17" s="47">
        <f>Subsurface_Inputs!$C$43</f>
        <v/>
      </c>
      <c r="X17" s="47">
        <f>Q17-W17</f>
        <v/>
      </c>
      <c r="Y17" s="47">
        <f>R17-W17</f>
        <v/>
      </c>
      <c r="Z17" s="47">
        <f>MAX(Q17,R17)-W17</f>
        <v/>
      </c>
      <c r="AA17" s="47" t="n">
        <v>0</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IF(R18&gt;=W18,"Likely visible","Weak")</f>
        <v/>
      </c>
      <c r="W18" s="47">
        <f>Subsurface_Inputs!$C$43</f>
        <v/>
      </c>
      <c r="X18" s="47">
        <f>Q18-W18</f>
        <v/>
      </c>
      <c r="Y18" s="47">
        <f>R18-W18</f>
        <v/>
      </c>
      <c r="Z18" s="47">
        <f>MAX(Q18,R18)-W18</f>
        <v/>
      </c>
      <c r="AA18" s="47" t="n">
        <v>0</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IF(R19&gt;=W19,"Likely visible","Weak")</f>
        <v/>
      </c>
      <c r="W19" s="47">
        <f>Subsurface_Inputs!$C$43</f>
        <v/>
      </c>
      <c r="X19" s="47">
        <f>Q19-W19</f>
        <v/>
      </c>
      <c r="Y19" s="47">
        <f>R19-W19</f>
        <v/>
      </c>
      <c r="Z19" s="47">
        <f>MAX(Q19,R19)-W19</f>
        <v/>
      </c>
      <c r="AA19" s="47" t="n">
        <v>0</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IF(R20&gt;=W20,"Likely visible","Weak")</f>
        <v/>
      </c>
      <c r="W20" s="47">
        <f>Subsurface_Inputs!$C$43</f>
        <v/>
      </c>
      <c r="X20" s="47">
        <f>Q20-W20</f>
        <v/>
      </c>
      <c r="Y20" s="47">
        <f>R20-W20</f>
        <v/>
      </c>
      <c r="Z20" s="47">
        <f>MAX(Q20,R20)-W20</f>
        <v/>
      </c>
      <c r="AA20" s="47" t="n">
        <v>0</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IF(R21&gt;=W21,"Likely visible","Weak")</f>
        <v/>
      </c>
      <c r="W21" s="47">
        <f>Subsurface_Inputs!$C$43</f>
        <v/>
      </c>
      <c r="X21" s="47">
        <f>Q21-W21</f>
        <v/>
      </c>
      <c r="Y21" s="47">
        <f>R21-W21</f>
        <v/>
      </c>
      <c r="Z21" s="47">
        <f>MAX(Q21,R21)-W21</f>
        <v/>
      </c>
      <c r="AA21" s="47" t="n">
        <v>0</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IF(R22&gt;=W22,"Likely visible","Weak")</f>
        <v/>
      </c>
      <c r="W22" s="47">
        <f>Subsurface_Inputs!$C$43</f>
        <v/>
      </c>
      <c r="X22" s="47">
        <f>Q22-W22</f>
        <v/>
      </c>
      <c r="Y22" s="47">
        <f>R22-W22</f>
        <v/>
      </c>
      <c r="Z22" s="47">
        <f>MAX(Q22,R22)-W22</f>
        <v/>
      </c>
      <c r="AA22" s="47" t="n">
        <v>0</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IF(R23&gt;=W23,"Likely visible","Weak")</f>
        <v/>
      </c>
      <c r="W23" s="47">
        <f>Subsurface_Inputs!$C$43</f>
        <v/>
      </c>
      <c r="X23" s="47">
        <f>Q23-W23</f>
        <v/>
      </c>
      <c r="Y23" s="47">
        <f>R23-W23</f>
        <v/>
      </c>
      <c r="Z23" s="47">
        <f>MAX(Q23,R23)-W23</f>
        <v/>
      </c>
      <c r="AA23" s="47" t="n">
        <v>0</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IF(R24&gt;=W24,"Likely visible","Weak")</f>
        <v/>
      </c>
      <c r="W24" s="47">
        <f>Subsurface_Inputs!$C$43</f>
        <v/>
      </c>
      <c r="X24" s="47">
        <f>Q24-W24</f>
        <v/>
      </c>
      <c r="Y24" s="47">
        <f>R24-W24</f>
        <v/>
      </c>
      <c r="Z24" s="47">
        <f>MAX(Q24,R24)-W24</f>
        <v/>
      </c>
      <c r="AA24" s="47" t="n">
        <v>0</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IF(R25&gt;=W25,"Likely visible","Weak")</f>
        <v/>
      </c>
      <c r="W25" s="47">
        <f>Subsurface_Inputs!$C$43</f>
        <v/>
      </c>
      <c r="X25" s="47">
        <f>Q25-W25</f>
        <v/>
      </c>
      <c r="Y25" s="47">
        <f>R25-W25</f>
        <v/>
      </c>
      <c r="Z25" s="47">
        <f>MAX(Q25,R25)-W25</f>
        <v/>
      </c>
      <c r="AA25" s="47" t="n">
        <v>0</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IF(R26&gt;=W26,"Likely visible","Weak")</f>
        <v/>
      </c>
      <c r="W26" s="47">
        <f>Subsurface_Inputs!$C$43</f>
        <v/>
      </c>
      <c r="X26" s="47">
        <f>Q26-W26</f>
        <v/>
      </c>
      <c r="Y26" s="47">
        <f>R26-W26</f>
        <v/>
      </c>
      <c r="Z26" s="47">
        <f>MAX(Q26,R26)-W26</f>
        <v/>
      </c>
      <c r="AA26" s="47" t="n">
        <v>0</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IF(R27&gt;=W27,"Likely visible","Weak")</f>
        <v/>
      </c>
      <c r="W27" s="47">
        <f>Subsurface_Inputs!$C$43</f>
        <v/>
      </c>
      <c r="X27" s="47">
        <f>Q27-W27</f>
        <v/>
      </c>
      <c r="Y27" s="47">
        <f>R27-W27</f>
        <v/>
      </c>
      <c r="Z27" s="47">
        <f>MAX(Q27,R27)-W27</f>
        <v/>
      </c>
      <c r="AA27" s="47" t="n">
        <v>0</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IF(R28&gt;=W28,"Likely visible","Weak")</f>
        <v/>
      </c>
      <c r="W28" s="47">
        <f>Subsurface_Inputs!$C$43</f>
        <v/>
      </c>
      <c r="X28" s="47">
        <f>Q28-W28</f>
        <v/>
      </c>
      <c r="Y28" s="47">
        <f>R28-W28</f>
        <v/>
      </c>
      <c r="Z28" s="47">
        <f>MAX(Q28,R28)-W28</f>
        <v/>
      </c>
      <c r="AA28" s="47" t="n">
        <v>0</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IF(R29&gt;=W29,"Likely visible","Weak")</f>
        <v/>
      </c>
      <c r="W29" s="47">
        <f>Subsurface_Inputs!$C$43</f>
        <v/>
      </c>
      <c r="X29" s="47">
        <f>Q29-W29</f>
        <v/>
      </c>
      <c r="Y29" s="47">
        <f>R29-W29</f>
        <v/>
      </c>
      <c r="Z29" s="47">
        <f>MAX(Q29,R29)-W29</f>
        <v/>
      </c>
      <c r="AA29" s="47" t="n">
        <v>0</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IF(R30&gt;=W30,"Likely visible","Weak")</f>
        <v/>
      </c>
      <c r="W30" s="47">
        <f>Subsurface_Inputs!$C$43</f>
        <v/>
      </c>
      <c r="X30" s="47">
        <f>Q30-W30</f>
        <v/>
      </c>
      <c r="Y30" s="47">
        <f>R30-W30</f>
        <v/>
      </c>
      <c r="Z30" s="47">
        <f>MAX(Q30,R30)-W30</f>
        <v/>
      </c>
      <c r="AA30" s="47" t="n">
        <v>0</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IF(R31&gt;=W31,"Likely visible","Weak")</f>
        <v/>
      </c>
      <c r="W31" s="47">
        <f>Subsurface_Inputs!$C$43</f>
        <v/>
      </c>
      <c r="X31" s="47">
        <f>Q31-W31</f>
        <v/>
      </c>
      <c r="Y31" s="47">
        <f>R31-W31</f>
        <v/>
      </c>
      <c r="Z31" s="47">
        <f>MAX(Q31,R31)-W31</f>
        <v/>
      </c>
      <c r="AA31" s="47" t="n">
        <v>0</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IF(R32&gt;=W32,"Likely visible","Weak")</f>
        <v/>
      </c>
      <c r="W32" s="47">
        <f>Subsurface_Inputs!$C$43</f>
        <v/>
      </c>
      <c r="X32" s="47">
        <f>Q32-W32</f>
        <v/>
      </c>
      <c r="Y32" s="47">
        <f>R32-W32</f>
        <v/>
      </c>
      <c r="Z32" s="47">
        <f>MAX(Q32,R32)-W32</f>
        <v/>
      </c>
      <c r="AA32" s="47" t="n">
        <v>0</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IF(R33&gt;=W33,"Likely visible","Weak")</f>
        <v/>
      </c>
      <c r="W33" s="47">
        <f>Subsurface_Inputs!$C$43</f>
        <v/>
      </c>
      <c r="X33" s="47">
        <f>Q33-W33</f>
        <v/>
      </c>
      <c r="Y33" s="47">
        <f>R33-W33</f>
        <v/>
      </c>
      <c r="Z33" s="47">
        <f>MAX(Q33,R33)-W33</f>
        <v/>
      </c>
      <c r="AA33" s="47" t="n">
        <v>0</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IF(R34&gt;=W34,"Likely visible","Weak")</f>
        <v/>
      </c>
      <c r="W34" s="47">
        <f>Subsurface_Inputs!$C$43</f>
        <v/>
      </c>
      <c r="X34" s="47">
        <f>Q34-W34</f>
        <v/>
      </c>
      <c r="Y34" s="47">
        <f>R34-W34</f>
        <v/>
      </c>
      <c r="Z34" s="47">
        <f>MAX(Q34,R34)-W34</f>
        <v/>
      </c>
      <c r="AA34" s="47" t="n">
        <v>0</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IF(R35&gt;=W35,"Likely visible","Weak")</f>
        <v/>
      </c>
      <c r="W35" s="47">
        <f>Subsurface_Inputs!$C$43</f>
        <v/>
      </c>
      <c r="X35" s="47">
        <f>Q35-W35</f>
        <v/>
      </c>
      <c r="Y35" s="47">
        <f>R35-W35</f>
        <v/>
      </c>
      <c r="Z35" s="47">
        <f>MAX(Q35,R35)-W35</f>
        <v/>
      </c>
      <c r="AA35" s="47" t="n">
        <v>0</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IF(R36&gt;=W36,"Likely visible","Weak")</f>
        <v/>
      </c>
      <c r="W36" s="47">
        <f>Subsurface_Inputs!$C$43</f>
        <v/>
      </c>
      <c r="X36" s="47">
        <f>Q36-W36</f>
        <v/>
      </c>
      <c r="Y36" s="47">
        <f>R36-W36</f>
        <v/>
      </c>
      <c r="Z36" s="47">
        <f>MAX(Q36,R36)-W36</f>
        <v/>
      </c>
      <c r="AA36" s="47" t="n">
        <v>0</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IF(R37&gt;=W37,"Likely visible","Weak")</f>
        <v/>
      </c>
      <c r="W37" s="47">
        <f>Subsurface_Inputs!$C$43</f>
        <v/>
      </c>
      <c r="X37" s="47">
        <f>Q37-W37</f>
        <v/>
      </c>
      <c r="Y37" s="47">
        <f>R37-W37</f>
        <v/>
      </c>
      <c r="Z37" s="47">
        <f>MAX(Q37,R37)-W37</f>
        <v/>
      </c>
      <c r="AA37" s="47" t="n">
        <v>0</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IF(R38&gt;=W38,"Likely visible","Weak")</f>
        <v/>
      </c>
      <c r="W38" s="47">
        <f>Subsurface_Inputs!$C$43</f>
        <v/>
      </c>
      <c r="X38" s="47">
        <f>Q38-W38</f>
        <v/>
      </c>
      <c r="Y38" s="47">
        <f>R38-W38</f>
        <v/>
      </c>
      <c r="Z38" s="47">
        <f>MAX(Q38,R38)-W38</f>
        <v/>
      </c>
      <c r="AA38" s="47" t="n">
        <v>0</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IF(R39&gt;=W39,"Likely visible","Weak")</f>
        <v/>
      </c>
      <c r="W39" s="47">
        <f>Subsurface_Inputs!$C$43</f>
        <v/>
      </c>
      <c r="X39" s="47">
        <f>Q39-W39</f>
        <v/>
      </c>
      <c r="Y39" s="47">
        <f>R39-W39</f>
        <v/>
      </c>
      <c r="Z39" s="47">
        <f>MAX(Q39,R39)-W39</f>
        <v/>
      </c>
      <c r="AA39" s="47" t="n">
        <v>0</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IF(R40&gt;=W40,"Likely visible","Weak")</f>
        <v/>
      </c>
      <c r="W40" s="47">
        <f>Subsurface_Inputs!$C$43</f>
        <v/>
      </c>
      <c r="X40" s="47">
        <f>Q40-W40</f>
        <v/>
      </c>
      <c r="Y40" s="47">
        <f>R40-W40</f>
        <v/>
      </c>
      <c r="Z40" s="47">
        <f>MAX(Q40,R40)-W40</f>
        <v/>
      </c>
      <c r="AA40" s="47" t="n">
        <v>0</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IF(R41&gt;=W41,"Likely visible","Weak")</f>
        <v/>
      </c>
      <c r="W41" s="47">
        <f>Subsurface_Inputs!$C$43</f>
        <v/>
      </c>
      <c r="X41" s="47">
        <f>Q41-W41</f>
        <v/>
      </c>
      <c r="Y41" s="47">
        <f>R41-W41</f>
        <v/>
      </c>
      <c r="Z41" s="47">
        <f>MAX(Q41,R41)-W41</f>
        <v/>
      </c>
      <c r="AA41" s="47" t="n">
        <v>0</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IF(R42&gt;=W42,"Likely visible","Weak")</f>
        <v/>
      </c>
      <c r="W42" s="47">
        <f>Subsurface_Inputs!$C$43</f>
        <v/>
      </c>
      <c r="X42" s="47">
        <f>Q42-W42</f>
        <v/>
      </c>
      <c r="Y42" s="47">
        <f>R42-W42</f>
        <v/>
      </c>
      <c r="Z42" s="47">
        <f>MAX(Q42,R42)-W42</f>
        <v/>
      </c>
      <c r="AA42" s="47" t="n">
        <v>0</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IF(R43&gt;=W43,"Likely visible","Weak")</f>
        <v/>
      </c>
      <c r="W43" s="47">
        <f>Subsurface_Inputs!$C$43</f>
        <v/>
      </c>
      <c r="X43" s="47">
        <f>Q43-W43</f>
        <v/>
      </c>
      <c r="Y43" s="47">
        <f>R43-W43</f>
        <v/>
      </c>
      <c r="Z43" s="47">
        <f>MAX(Q43,R43)-W43</f>
        <v/>
      </c>
      <c r="AA43" s="47" t="n">
        <v>0</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IF(R44&gt;=W44,"Likely visible","Weak")</f>
        <v/>
      </c>
      <c r="W44" s="47">
        <f>Subsurface_Inputs!$C$43</f>
        <v/>
      </c>
      <c r="X44" s="47">
        <f>Q44-W44</f>
        <v/>
      </c>
      <c r="Y44" s="47">
        <f>R44-W44</f>
        <v/>
      </c>
      <c r="Z44" s="47">
        <f>MAX(Q44,R44)-W44</f>
        <v/>
      </c>
      <c r="AA44" s="47" t="n">
        <v>0</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IF(R45&gt;=W45,"Likely visible","Weak")</f>
        <v/>
      </c>
      <c r="W45" s="47">
        <f>Subsurface_Inputs!$C$43</f>
        <v/>
      </c>
      <c r="X45" s="47">
        <f>Q45-W45</f>
        <v/>
      </c>
      <c r="Y45" s="47">
        <f>R45-W45</f>
        <v/>
      </c>
      <c r="Z45" s="47">
        <f>MAX(Q45,R45)-W45</f>
        <v/>
      </c>
      <c r="AA45" s="47" t="n">
        <v>0</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IF(R46&gt;=W46,"Likely visible","Weak")</f>
        <v/>
      </c>
      <c r="W46" s="47">
        <f>Subsurface_Inputs!$C$43</f>
        <v/>
      </c>
      <c r="X46" s="47">
        <f>Q46-W46</f>
        <v/>
      </c>
      <c r="Y46" s="47">
        <f>R46-W46</f>
        <v/>
      </c>
      <c r="Z46" s="47">
        <f>MAX(Q46,R46)-W46</f>
        <v/>
      </c>
      <c r="AA46" s="47" t="n">
        <v>0</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IF(R47&gt;=W47,"Likely visible","Weak")</f>
        <v/>
      </c>
      <c r="W47" s="47">
        <f>Subsurface_Inputs!$C$43</f>
        <v/>
      </c>
      <c r="X47" s="47">
        <f>Q47-W47</f>
        <v/>
      </c>
      <c r="Y47" s="47">
        <f>R47-W47</f>
        <v/>
      </c>
      <c r="Z47" s="47">
        <f>MAX(Q47,R47)-W47</f>
        <v/>
      </c>
      <c r="AA47" s="47" t="n">
        <v>0</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IF(R48&gt;=W48,"Likely visible","Weak")</f>
        <v/>
      </c>
      <c r="W48" s="47">
        <f>Subsurface_Inputs!$C$43</f>
        <v/>
      </c>
      <c r="X48" s="47">
        <f>Q48-W48</f>
        <v/>
      </c>
      <c r="Y48" s="47">
        <f>R48-W48</f>
        <v/>
      </c>
      <c r="Z48" s="47">
        <f>MAX(Q48,R48)-W48</f>
        <v/>
      </c>
      <c r="AA48" s="47" t="n">
        <v>0</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IF(R49&gt;=W49,"Likely visible","Weak")</f>
        <v/>
      </c>
      <c r="W49" s="47">
        <f>Subsurface_Inputs!$C$43</f>
        <v/>
      </c>
      <c r="X49" s="47">
        <f>Q49-W49</f>
        <v/>
      </c>
      <c r="Y49" s="47">
        <f>R49-W49</f>
        <v/>
      </c>
      <c r="Z49" s="47">
        <f>MAX(Q49,R49)-W49</f>
        <v/>
      </c>
      <c r="AA49" s="47" t="n">
        <v>0</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IF(R50&gt;=W50,"Likely visible","Weak")</f>
        <v/>
      </c>
      <c r="W50" s="47">
        <f>Subsurface_Inputs!$C$43</f>
        <v/>
      </c>
      <c r="X50" s="47">
        <f>Q50-W50</f>
        <v/>
      </c>
      <c r="Y50" s="47">
        <f>R50-W50</f>
        <v/>
      </c>
      <c r="Z50" s="47">
        <f>MAX(Q50,R50)-W50</f>
        <v/>
      </c>
      <c r="AA50" s="47" t="n">
        <v>0</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IF(R51&gt;=W51,"Likely visible","Weak")</f>
        <v/>
      </c>
      <c r="W51" s="47">
        <f>Subsurface_Inputs!$C$43</f>
        <v/>
      </c>
      <c r="X51" s="47">
        <f>Q51-W51</f>
        <v/>
      </c>
      <c r="Y51" s="47">
        <f>R51-W51</f>
        <v/>
      </c>
      <c r="Z51" s="47">
        <f>MAX(Q51,R51)-W51</f>
        <v/>
      </c>
      <c r="AA51" s="47" t="n">
        <v>0</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IF(R52&gt;=W52,"Likely visible","Weak")</f>
        <v/>
      </c>
      <c r="W52" s="47">
        <f>Subsurface_Inputs!$C$43</f>
        <v/>
      </c>
      <c r="X52" s="47">
        <f>Q52-W52</f>
        <v/>
      </c>
      <c r="Y52" s="47">
        <f>R52-W52</f>
        <v/>
      </c>
      <c r="Z52" s="47">
        <f>MAX(Q52,R52)-W52</f>
        <v/>
      </c>
      <c r="AA52" s="47" t="n">
        <v>0</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IF(R53&gt;=W53,"Likely visible","Weak")</f>
        <v/>
      </c>
      <c r="W53" s="47">
        <f>Subsurface_Inputs!$C$43</f>
        <v/>
      </c>
      <c r="X53" s="47">
        <f>Q53-W53</f>
        <v/>
      </c>
      <c r="Y53" s="47">
        <f>R53-W53</f>
        <v/>
      </c>
      <c r="Z53" s="47">
        <f>MAX(Q53,R53)-W53</f>
        <v/>
      </c>
      <c r="AA53" s="47" t="n">
        <v>0</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IF(R54&gt;=W54,"Likely visible","Weak")</f>
        <v/>
      </c>
      <c r="W54" s="47">
        <f>Subsurface_Inputs!$C$43</f>
        <v/>
      </c>
      <c r="X54" s="47">
        <f>Q54-W54</f>
        <v/>
      </c>
      <c r="Y54" s="47">
        <f>R54-W54</f>
        <v/>
      </c>
      <c r="Z54" s="47">
        <f>MAX(Q54,R54)-W54</f>
        <v/>
      </c>
      <c r="AA54" s="47" t="n">
        <v>0</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IF(R55&gt;=W55,"Likely visible","Weak")</f>
        <v/>
      </c>
      <c r="W55" s="47">
        <f>Subsurface_Inputs!$C$43</f>
        <v/>
      </c>
      <c r="X55" s="47">
        <f>Q55-W55</f>
        <v/>
      </c>
      <c r="Y55" s="47">
        <f>R55-W55</f>
        <v/>
      </c>
      <c r="Z55" s="47">
        <f>MAX(Q55,R55)-W55</f>
        <v/>
      </c>
      <c r="AA55" s="47" t="n">
        <v>0</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IF(R56&gt;=W56,"Likely visible","Weak")</f>
        <v/>
      </c>
      <c r="W56" s="47">
        <f>Subsurface_Inputs!$C$43</f>
        <v/>
      </c>
      <c r="X56" s="47">
        <f>Q56-W56</f>
        <v/>
      </c>
      <c r="Y56" s="47">
        <f>R56-W56</f>
        <v/>
      </c>
      <c r="Z56" s="47">
        <f>MAX(Q56,R56)-W56</f>
        <v/>
      </c>
      <c r="AA56" s="47" t="n">
        <v>0</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IF(R57&gt;=W57,"Likely visible","Weak")</f>
        <v/>
      </c>
      <c r="W57" s="47">
        <f>Subsurface_Inputs!$C$43</f>
        <v/>
      </c>
      <c r="X57" s="47">
        <f>Q57-W57</f>
        <v/>
      </c>
      <c r="Y57" s="47">
        <f>R57-W57</f>
        <v/>
      </c>
      <c r="Z57" s="47">
        <f>MAX(Q57,R57)-W57</f>
        <v/>
      </c>
      <c r="AA57" s="47" t="n">
        <v>0</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IF(R58&gt;=W58,"Likely visible","Weak")</f>
        <v/>
      </c>
      <c r="W58" s="47">
        <f>Subsurface_Inputs!$C$43</f>
        <v/>
      </c>
      <c r="X58" s="47">
        <f>Q58-W58</f>
        <v/>
      </c>
      <c r="Y58" s="47">
        <f>R58-W58</f>
        <v/>
      </c>
      <c r="Z58" s="47">
        <f>MAX(Q58,R58)-W58</f>
        <v/>
      </c>
      <c r="AA58" s="47" t="n">
        <v>0</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IF(R59&gt;=W59,"Likely visible","Weak")</f>
        <v/>
      </c>
      <c r="W59" s="47">
        <f>Subsurface_Inputs!$C$43</f>
        <v/>
      </c>
      <c r="X59" s="47">
        <f>Q59-W59</f>
        <v/>
      </c>
      <c r="Y59" s="47">
        <f>R59-W59</f>
        <v/>
      </c>
      <c r="Z59" s="47">
        <f>MAX(Q59,R59)-W59</f>
        <v/>
      </c>
      <c r="AA59" s="47" t="n">
        <v>0</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IF(R60&gt;=W60,"Likely visible","Weak")</f>
        <v/>
      </c>
      <c r="W60" s="47">
        <f>Subsurface_Inputs!$C$43</f>
        <v/>
      </c>
      <c r="X60" s="47">
        <f>Q60-W60</f>
        <v/>
      </c>
      <c r="Y60" s="47">
        <f>R60-W60</f>
        <v/>
      </c>
      <c r="Z60" s="47">
        <f>MAX(Q60,R60)-W60</f>
        <v/>
      </c>
      <c r="AA60" s="47" t="n">
        <v>0</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IF(R61&gt;=W61,"Likely visible","Weak")</f>
        <v/>
      </c>
      <c r="W61" s="47">
        <f>Subsurface_Inputs!$C$43</f>
        <v/>
      </c>
      <c r="X61" s="47">
        <f>Q61-W61</f>
        <v/>
      </c>
      <c r="Y61" s="47">
        <f>R61-W61</f>
        <v/>
      </c>
      <c r="Z61" s="47">
        <f>MAX(Q61,R61)-W61</f>
        <v/>
      </c>
      <c r="AA61" s="47" t="n">
        <v>0</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IF(R62&gt;=W62,"Likely visible","Weak")</f>
        <v/>
      </c>
      <c r="W62" s="47">
        <f>Subsurface_Inputs!$C$43</f>
        <v/>
      </c>
      <c r="X62" s="47">
        <f>Q62-W62</f>
        <v/>
      </c>
      <c r="Y62" s="47">
        <f>R62-W62</f>
        <v/>
      </c>
      <c r="Z62" s="47">
        <f>MAX(Q62,R62)-W62</f>
        <v/>
      </c>
      <c r="AA62" s="47" t="n">
        <v>0</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IF(R63&gt;=W63,"Likely visible","Weak")</f>
        <v/>
      </c>
      <c r="W63" s="47">
        <f>Subsurface_Inputs!$C$43</f>
        <v/>
      </c>
      <c r="X63" s="47">
        <f>Q63-W63</f>
        <v/>
      </c>
      <c r="Y63" s="47">
        <f>R63-W63</f>
        <v/>
      </c>
      <c r="Z63" s="47">
        <f>MAX(Q63,R63)-W63</f>
        <v/>
      </c>
      <c r="AA63" s="47" t="n">
        <v>0</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IF(R64&gt;=W64,"Likely visible","Weak")</f>
        <v/>
      </c>
      <c r="W64" s="47">
        <f>Subsurface_Inputs!$C$43</f>
        <v/>
      </c>
      <c r="X64" s="47">
        <f>Q64-W64</f>
        <v/>
      </c>
      <c r="Y64" s="47">
        <f>R64-W64</f>
        <v/>
      </c>
      <c r="Z64" s="47">
        <f>MAX(Q64,R64)-W64</f>
        <v/>
      </c>
      <c r="AA64" s="47" t="n">
        <v>0</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IF(R65&gt;=W65,"Likely visible","Weak")</f>
        <v/>
      </c>
      <c r="W65" s="47">
        <f>Subsurface_Inputs!$C$43</f>
        <v/>
      </c>
      <c r="X65" s="47">
        <f>Q65-W65</f>
        <v/>
      </c>
      <c r="Y65" s="47">
        <f>R65-W65</f>
        <v/>
      </c>
      <c r="Z65" s="47">
        <f>MAX(Q65,R65)-W65</f>
        <v/>
      </c>
      <c r="AA65" s="47" t="n">
        <v>0</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IF(R66&gt;=W66,"Likely visible","Weak")</f>
        <v/>
      </c>
      <c r="W66" s="47">
        <f>Subsurface_Inputs!$C$43</f>
        <v/>
      </c>
      <c r="X66" s="47">
        <f>Q66-W66</f>
        <v/>
      </c>
      <c r="Y66" s="47">
        <f>R66-W66</f>
        <v/>
      </c>
      <c r="Z66" s="47">
        <f>MAX(Q66,R66)-W66</f>
        <v/>
      </c>
      <c r="AA66" s="47" t="n">
        <v>0</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IF(R67&gt;=W67,"Likely visible","Weak")</f>
        <v/>
      </c>
      <c r="W67" s="47">
        <f>Subsurface_Inputs!$C$43</f>
        <v/>
      </c>
      <c r="X67" s="47">
        <f>Q67-W67</f>
        <v/>
      </c>
      <c r="Y67" s="47">
        <f>R67-W67</f>
        <v/>
      </c>
      <c r="Z67" s="47">
        <f>MAX(Q67,R67)-W67</f>
        <v/>
      </c>
      <c r="AA67" s="47" t="n">
        <v>0</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IF(R68&gt;=W68,"Likely visible","Weak")</f>
        <v/>
      </c>
      <c r="W68" s="47">
        <f>Subsurface_Inputs!$C$43</f>
        <v/>
      </c>
      <c r="X68" s="47">
        <f>Q68-W68</f>
        <v/>
      </c>
      <c r="Y68" s="47">
        <f>R68-W68</f>
        <v/>
      </c>
      <c r="Z68" s="47">
        <f>MAX(Q68,R68)-W68</f>
        <v/>
      </c>
      <c r="AA68" s="47" t="n">
        <v>0</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IF(R69&gt;=W69,"Likely visible","Weak")</f>
        <v/>
      </c>
      <c r="W69" s="47">
        <f>Subsurface_Inputs!$C$43</f>
        <v/>
      </c>
      <c r="X69" s="47">
        <f>Q69-W69</f>
        <v/>
      </c>
      <c r="Y69" s="47">
        <f>R69-W69</f>
        <v/>
      </c>
      <c r="Z69" s="47">
        <f>MAX(Q69,R69)-W69</f>
        <v/>
      </c>
      <c r="AA69" s="47" t="n">
        <v>0</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IF(R70&gt;=W70,"Likely visible","Weak")</f>
        <v/>
      </c>
      <c r="W70" s="47">
        <f>Subsurface_Inputs!$C$43</f>
        <v/>
      </c>
      <c r="X70" s="47">
        <f>Q70-W70</f>
        <v/>
      </c>
      <c r="Y70" s="47">
        <f>R70-W70</f>
        <v/>
      </c>
      <c r="Z70" s="47">
        <f>MAX(Q70,R70)-W70</f>
        <v/>
      </c>
      <c r="AA70" s="47" t="n">
        <v>0</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IF(R71&gt;=W71,"Likely visible","Weak")</f>
        <v/>
      </c>
      <c r="W71" s="47">
        <f>Subsurface_Inputs!$C$43</f>
        <v/>
      </c>
      <c r="X71" s="47">
        <f>Q71-W71</f>
        <v/>
      </c>
      <c r="Y71" s="47">
        <f>R71-W71</f>
        <v/>
      </c>
      <c r="Z71" s="47">
        <f>MAX(Q71,R71)-W71</f>
        <v/>
      </c>
      <c r="AA71" s="47" t="n">
        <v>0</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IF(R72&gt;=W72,"Likely visible","Weak")</f>
        <v/>
      </c>
      <c r="W72" s="47">
        <f>Subsurface_Inputs!$C$43</f>
        <v/>
      </c>
      <c r="X72" s="47">
        <f>Q72-W72</f>
        <v/>
      </c>
      <c r="Y72" s="47">
        <f>R72-W72</f>
        <v/>
      </c>
      <c r="Z72" s="47">
        <f>MAX(Q72,R72)-W72</f>
        <v/>
      </c>
      <c r="AA72" s="47" t="n">
        <v>0</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IF(R73&gt;=W73,"Likely visible","Weak")</f>
        <v/>
      </c>
      <c r="W73" s="47">
        <f>Subsurface_Inputs!$C$43</f>
        <v/>
      </c>
      <c r="X73" s="47">
        <f>Q73-W73</f>
        <v/>
      </c>
      <c r="Y73" s="47">
        <f>R73-W73</f>
        <v/>
      </c>
      <c r="Z73" s="47">
        <f>MAX(Q73,R73)-W73</f>
        <v/>
      </c>
      <c r="AA73" s="47" t="n">
        <v>0</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IF(R74&gt;=W74,"Likely visible","Weak")</f>
        <v/>
      </c>
      <c r="W74" s="47">
        <f>Subsurface_Inputs!$C$43</f>
        <v/>
      </c>
      <c r="X74" s="47">
        <f>Q74-W74</f>
        <v/>
      </c>
      <c r="Y74" s="47">
        <f>R74-W74</f>
        <v/>
      </c>
      <c r="Z74" s="47">
        <f>MAX(Q74,R74)-W74</f>
        <v/>
      </c>
      <c r="AA74" s="47" t="n">
        <v>0</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IF(R75&gt;=W75,"Likely visible","Weak")</f>
        <v/>
      </c>
      <c r="W75" s="47">
        <f>Subsurface_Inputs!$C$43</f>
        <v/>
      </c>
      <c r="X75" s="47">
        <f>Q75-W75</f>
        <v/>
      </c>
      <c r="Y75" s="47">
        <f>R75-W75</f>
        <v/>
      </c>
      <c r="Z75" s="47">
        <f>MAX(Q75,R75)-W75</f>
        <v/>
      </c>
      <c r="AA75" s="47" t="n">
        <v>0</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IF(R76&gt;=W76,"Likely visible","Weak")</f>
        <v/>
      </c>
      <c r="W76" s="47">
        <f>Subsurface_Inputs!$C$43</f>
        <v/>
      </c>
      <c r="X76" s="47">
        <f>Q76-W76</f>
        <v/>
      </c>
      <c r="Y76" s="47">
        <f>R76-W76</f>
        <v/>
      </c>
      <c r="Z76" s="47">
        <f>MAX(Q76,R76)-W76</f>
        <v/>
      </c>
      <c r="AA76" s="47" t="n">
        <v>0</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IF(R77&gt;=W77,"Likely visible","Weak")</f>
        <v/>
      </c>
      <c r="W77" s="47">
        <f>Subsurface_Inputs!$C$43</f>
        <v/>
      </c>
      <c r="X77" s="47">
        <f>Q77-W77</f>
        <v/>
      </c>
      <c r="Y77" s="47">
        <f>R77-W77</f>
        <v/>
      </c>
      <c r="Z77" s="47">
        <f>MAX(Q77,R77)-W77</f>
        <v/>
      </c>
      <c r="AA77" s="47" t="n">
        <v>0</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IF(R78&gt;=W78,"Likely visible","Weak")</f>
        <v/>
      </c>
      <c r="W78" s="47">
        <f>Subsurface_Inputs!$C$43</f>
        <v/>
      </c>
      <c r="X78" s="47">
        <f>Q78-W78</f>
        <v/>
      </c>
      <c r="Y78" s="47">
        <f>R78-W78</f>
        <v/>
      </c>
      <c r="Z78" s="47">
        <f>MAX(Q78,R78)-W78</f>
        <v/>
      </c>
      <c r="AA78" s="47" t="n">
        <v>0</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IF(R79&gt;=W79,"Likely visible","Weak")</f>
        <v/>
      </c>
      <c r="W79" s="47">
        <f>Subsurface_Inputs!$C$43</f>
        <v/>
      </c>
      <c r="X79" s="47">
        <f>Q79-W79</f>
        <v/>
      </c>
      <c r="Y79" s="47">
        <f>R79-W79</f>
        <v/>
      </c>
      <c r="Z79" s="47">
        <f>MAX(Q79,R79)-W79</f>
        <v/>
      </c>
      <c r="AA79" s="47" t="n">
        <v>0</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IF(R80&gt;=W80,"Likely visible","Weak")</f>
        <v/>
      </c>
      <c r="W80" s="47">
        <f>Subsurface_Inputs!$C$43</f>
        <v/>
      </c>
      <c r="X80" s="47">
        <f>Q80-W80</f>
        <v/>
      </c>
      <c r="Y80" s="47">
        <f>R80-W80</f>
        <v/>
      </c>
      <c r="Z80" s="47">
        <f>MAX(Q80,R80)-W80</f>
        <v/>
      </c>
      <c r="AA80" s="47" t="n">
        <v>0</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IF(R81&gt;=W81,"Likely visible","Weak")</f>
        <v/>
      </c>
      <c r="W81" s="47">
        <f>Subsurface_Inputs!$C$43</f>
        <v/>
      </c>
      <c r="X81" s="47">
        <f>Q81-W81</f>
        <v/>
      </c>
      <c r="Y81" s="47">
        <f>R81-W81</f>
        <v/>
      </c>
      <c r="Z81" s="47">
        <f>MAX(Q81,R81)-W81</f>
        <v/>
      </c>
      <c r="AA81" s="47" t="n">
        <v>0</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IF(R82&gt;=W82,"Likely visible","Weak")</f>
        <v/>
      </c>
      <c r="W82" s="47">
        <f>Subsurface_Inputs!$C$43</f>
        <v/>
      </c>
      <c r="X82" s="47">
        <f>Q82-W82</f>
        <v/>
      </c>
      <c r="Y82" s="47">
        <f>R82-W82</f>
        <v/>
      </c>
      <c r="Z82" s="47">
        <f>MAX(Q82,R82)-W82</f>
        <v/>
      </c>
      <c r="AA82" s="47" t="n">
        <v>0</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IF(R83&gt;=W83,"Likely visible","Weak")</f>
        <v/>
      </c>
      <c r="W83" s="47">
        <f>Subsurface_Inputs!$C$43</f>
        <v/>
      </c>
      <c r="X83" s="47">
        <f>Q83-W83</f>
        <v/>
      </c>
      <c r="Y83" s="47">
        <f>R83-W83</f>
        <v/>
      </c>
      <c r="Z83" s="47">
        <f>MAX(Q83,R83)-W83</f>
        <v/>
      </c>
      <c r="AA83" s="47" t="n">
        <v>0</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IF(R84&gt;=W84,"Likely visible","Weak")</f>
        <v/>
      </c>
      <c r="W84" s="47">
        <f>Subsurface_Inputs!$C$43</f>
        <v/>
      </c>
      <c r="X84" s="47">
        <f>Q84-W84</f>
        <v/>
      </c>
      <c r="Y84" s="47">
        <f>R84-W84</f>
        <v/>
      </c>
      <c r="Z84" s="47">
        <f>MAX(Q84,R84)-W84</f>
        <v/>
      </c>
      <c r="AA84" s="47" t="n">
        <v>0</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IF(R85&gt;=W85,"Likely visible","Weak")</f>
        <v/>
      </c>
      <c r="W85" s="47">
        <f>Subsurface_Inputs!$C$43</f>
        <v/>
      </c>
      <c r="X85" s="47">
        <f>Q85-W85</f>
        <v/>
      </c>
      <c r="Y85" s="47">
        <f>R85-W85</f>
        <v/>
      </c>
      <c r="Z85" s="47">
        <f>MAX(Q85,R85)-W85</f>
        <v/>
      </c>
      <c r="AA85" s="47" t="n">
        <v>0</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IF(R86&gt;=W86,"Likely visible","Weak")</f>
        <v/>
      </c>
      <c r="W86" s="47">
        <f>Subsurface_Inputs!$C$43</f>
        <v/>
      </c>
      <c r="X86" s="47">
        <f>Q86-W86</f>
        <v/>
      </c>
      <c r="Y86" s="47">
        <f>R86-W86</f>
        <v/>
      </c>
      <c r="Z86" s="47">
        <f>MAX(Q86,R86)-W86</f>
        <v/>
      </c>
      <c r="AA86" s="47" t="n">
        <v>0</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IF(R87&gt;=W87,"Likely visible","Weak")</f>
        <v/>
      </c>
      <c r="W87" s="47">
        <f>Subsurface_Inputs!$C$43</f>
        <v/>
      </c>
      <c r="X87" s="47">
        <f>Q87-W87</f>
        <v/>
      </c>
      <c r="Y87" s="47">
        <f>R87-W87</f>
        <v/>
      </c>
      <c r="Z87" s="47">
        <f>MAX(Q87,R87)-W87</f>
        <v/>
      </c>
      <c r="AA87" s="47" t="n">
        <v>0</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IF(R88&gt;=W88,"Likely visible","Weak")</f>
        <v/>
      </c>
      <c r="W88" s="47">
        <f>Subsurface_Inputs!$C$43</f>
        <v/>
      </c>
      <c r="X88" s="47">
        <f>Q88-W88</f>
        <v/>
      </c>
      <c r="Y88" s="47">
        <f>R88-W88</f>
        <v/>
      </c>
      <c r="Z88" s="47">
        <f>MAX(Q88,R88)-W88</f>
        <v/>
      </c>
      <c r="AA88" s="47" t="n">
        <v>0</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IF(R89&gt;=W89,"Likely visible","Weak")</f>
        <v/>
      </c>
      <c r="W89" s="47">
        <f>Subsurface_Inputs!$C$43</f>
        <v/>
      </c>
      <c r="X89" s="47">
        <f>Q89-W89</f>
        <v/>
      </c>
      <c r="Y89" s="47">
        <f>R89-W89</f>
        <v/>
      </c>
      <c r="Z89" s="47">
        <f>MAX(Q89,R89)-W89</f>
        <v/>
      </c>
      <c r="AA89" s="47" t="n">
        <v>0</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IF(R90&gt;=W90,"Likely visible","Weak")</f>
        <v/>
      </c>
      <c r="W90" s="47">
        <f>Subsurface_Inputs!$C$43</f>
        <v/>
      </c>
      <c r="X90" s="47">
        <f>Q90-W90</f>
        <v/>
      </c>
      <c r="Y90" s="47">
        <f>R90-W90</f>
        <v/>
      </c>
      <c r="Z90" s="47">
        <f>MAX(Q90,R90)-W90</f>
        <v/>
      </c>
      <c r="AA90" s="47" t="n">
        <v>0</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IF(R91&gt;=W91,"Likely visible","Weak")</f>
        <v/>
      </c>
      <c r="W91" s="47">
        <f>Subsurface_Inputs!$C$43</f>
        <v/>
      </c>
      <c r="X91" s="47">
        <f>Q91-W91</f>
        <v/>
      </c>
      <c r="Y91" s="47">
        <f>R91-W91</f>
        <v/>
      </c>
      <c r="Z91" s="47">
        <f>MAX(Q91,R91)-W91</f>
        <v/>
      </c>
      <c r="AA91" s="47" t="n">
        <v>0</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IF(R92&gt;=W92,"Likely visible","Weak")</f>
        <v/>
      </c>
      <c r="W92" s="47">
        <f>Subsurface_Inputs!$C$43</f>
        <v/>
      </c>
      <c r="X92" s="47">
        <f>Q92-W92</f>
        <v/>
      </c>
      <c r="Y92" s="47">
        <f>R92-W92</f>
        <v/>
      </c>
      <c r="Z92" s="47">
        <f>MAX(Q92,R92)-W92</f>
        <v/>
      </c>
      <c r="AA92" s="47" t="n">
        <v>0</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IF(R93&gt;=W93,"Likely visible","Weak")</f>
        <v/>
      </c>
      <c r="W93" s="47">
        <f>Subsurface_Inputs!$C$43</f>
        <v/>
      </c>
      <c r="X93" s="47">
        <f>Q93-W93</f>
        <v/>
      </c>
      <c r="Y93" s="47">
        <f>R93-W93</f>
        <v/>
      </c>
      <c r="Z93" s="47">
        <f>MAX(Q93,R93)-W93</f>
        <v/>
      </c>
      <c r="AA93" s="47" t="n">
        <v>0</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IF(R94&gt;=W94,"Likely visible","Weak")</f>
        <v/>
      </c>
      <c r="W94" s="47">
        <f>Subsurface_Inputs!$C$43</f>
        <v/>
      </c>
      <c r="X94" s="47">
        <f>Q94-W94</f>
        <v/>
      </c>
      <c r="Y94" s="47">
        <f>R94-W94</f>
        <v/>
      </c>
      <c r="Z94" s="47">
        <f>MAX(Q94,R94)-W94</f>
        <v/>
      </c>
      <c r="AA94" s="47" t="n">
        <v>0</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IF(R95&gt;=W95,"Likely visible","Weak")</f>
        <v/>
      </c>
      <c r="W95" s="47">
        <f>Subsurface_Inputs!$C$43</f>
        <v/>
      </c>
      <c r="X95" s="47">
        <f>Q95-W95</f>
        <v/>
      </c>
      <c r="Y95" s="47">
        <f>R95-W95</f>
        <v/>
      </c>
      <c r="Z95" s="47">
        <f>MAX(Q95,R95)-W95</f>
        <v/>
      </c>
      <c r="AA95" s="47" t="n">
        <v>0</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IF(R96&gt;=W96,"Likely visible","Weak")</f>
        <v/>
      </c>
      <c r="W96" s="47">
        <f>Subsurface_Inputs!$C$43</f>
        <v/>
      </c>
      <c r="X96" s="47">
        <f>Q96-W96</f>
        <v/>
      </c>
      <c r="Y96" s="47">
        <f>R96-W96</f>
        <v/>
      </c>
      <c r="Z96" s="47">
        <f>MAX(Q96,R96)-W96</f>
        <v/>
      </c>
      <c r="AA96" s="47" t="n">
        <v>0</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IF(R97&gt;=W97,"Likely visible","Weak")</f>
        <v/>
      </c>
      <c r="W97" s="47">
        <f>Subsurface_Inputs!$C$43</f>
        <v/>
      </c>
      <c r="X97" s="47">
        <f>Q97-W97</f>
        <v/>
      </c>
      <c r="Y97" s="47">
        <f>R97-W97</f>
        <v/>
      </c>
      <c r="Z97" s="47">
        <f>MAX(Q97,R97)-W97</f>
        <v/>
      </c>
      <c r="AA97" s="47" t="n">
        <v>0</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IF(R98&gt;=W98,"Likely visible","Weak")</f>
        <v/>
      </c>
      <c r="W98" s="47">
        <f>Subsurface_Inputs!$C$43</f>
        <v/>
      </c>
      <c r="X98" s="47">
        <f>Q98-W98</f>
        <v/>
      </c>
      <c r="Y98" s="47">
        <f>R98-W98</f>
        <v/>
      </c>
      <c r="Z98" s="47">
        <f>MAX(Q98,R98)-W98</f>
        <v/>
      </c>
      <c r="AA98" s="47" t="n">
        <v>0</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IF(R99&gt;=W99,"Likely visible","Weak")</f>
        <v/>
      </c>
      <c r="W99" s="47">
        <f>Subsurface_Inputs!$C$43</f>
        <v/>
      </c>
      <c r="X99" s="47">
        <f>Q99-W99</f>
        <v/>
      </c>
      <c r="Y99" s="47">
        <f>R99-W99</f>
        <v/>
      </c>
      <c r="Z99" s="47">
        <f>MAX(Q99,R99)-W99</f>
        <v/>
      </c>
      <c r="AA99" s="47" t="n">
        <v>0</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IF(R100&gt;=W100,"Likely visible","Weak")</f>
        <v/>
      </c>
      <c r="W100" s="47">
        <f>Subsurface_Inputs!$C$43</f>
        <v/>
      </c>
      <c r="X100" s="47">
        <f>Q100-W100</f>
        <v/>
      </c>
      <c r="Y100" s="47">
        <f>R100-W100</f>
        <v/>
      </c>
      <c r="Z100" s="47">
        <f>MAX(Q100,R100)-W100</f>
        <v/>
      </c>
      <c r="AA100" s="47" t="n">
        <v>0</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IF(R101&gt;=W101,"Likely visible","Weak")</f>
        <v/>
      </c>
      <c r="W101" s="47">
        <f>Subsurface_Inputs!$C$43</f>
        <v/>
      </c>
      <c r="X101" s="47">
        <f>Q101-W101</f>
        <v/>
      </c>
      <c r="Y101" s="47">
        <f>R101-W101</f>
        <v/>
      </c>
      <c r="Z101" s="47">
        <f>MAX(Q101,R101)-W101</f>
        <v/>
      </c>
      <c r="AA101" s="47" t="n">
        <v>0</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IF(R102&gt;=W102,"Likely visible","Weak")</f>
        <v/>
      </c>
      <c r="W102" s="47">
        <f>Subsurface_Inputs!$C$43</f>
        <v/>
      </c>
      <c r="X102" s="47">
        <f>Q102-W102</f>
        <v/>
      </c>
      <c r="Y102" s="47">
        <f>R102-W102</f>
        <v/>
      </c>
      <c r="Z102" s="47">
        <f>MAX(Q102,R102)-W102</f>
        <v/>
      </c>
      <c r="AA102" s="47" t="n">
        <v>0</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IF(R103&gt;=W103,"Likely visible","Weak")</f>
        <v/>
      </c>
      <c r="W103" s="47">
        <f>Subsurface_Inputs!$C$43</f>
        <v/>
      </c>
      <c r="X103" s="47">
        <f>Q103-W103</f>
        <v/>
      </c>
      <c r="Y103" s="47">
        <f>R103-W103</f>
        <v/>
      </c>
      <c r="Z103" s="47">
        <f>MAX(Q103,R103)-W103</f>
        <v/>
      </c>
      <c r="AA103" s="47" t="n">
        <v>0</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IF(R104&gt;=W104,"Likely visible","Weak")</f>
        <v/>
      </c>
      <c r="W104" s="47">
        <f>Subsurface_Inputs!$C$43</f>
        <v/>
      </c>
      <c r="X104" s="47">
        <f>Q104-W104</f>
        <v/>
      </c>
      <c r="Y104" s="47">
        <f>R104-W104</f>
        <v/>
      </c>
      <c r="Z104" s="47">
        <f>MAX(Q104,R104)-W104</f>
        <v/>
      </c>
      <c r="AA104" s="47" t="n">
        <v>0</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IF(R105&gt;=W105,"Likely visible","Weak")</f>
        <v/>
      </c>
      <c r="W105" s="47">
        <f>Subsurface_Inputs!$C$43</f>
        <v/>
      </c>
      <c r="X105" s="47">
        <f>Q105-W105</f>
        <v/>
      </c>
      <c r="Y105" s="47">
        <f>R105-W105</f>
        <v/>
      </c>
      <c r="Z105" s="47">
        <f>MAX(Q105,R105)-W105</f>
        <v/>
      </c>
      <c r="AA105" s="47" t="n">
        <v>0</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IF(R106&gt;=W106,"Likely visible","Weak")</f>
        <v/>
      </c>
      <c r="W106" s="47">
        <f>Subsurface_Inputs!$C$43</f>
        <v/>
      </c>
      <c r="X106" s="47">
        <f>Q106-W106</f>
        <v/>
      </c>
      <c r="Y106" s="47">
        <f>R106-W106</f>
        <v/>
      </c>
      <c r="Z106" s="47">
        <f>MAX(Q106,R106)-W106</f>
        <v/>
      </c>
      <c r="AA106" s="47" t="n">
        <v>0</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IF(R107&gt;=W107,"Likely visible","Weak")</f>
        <v/>
      </c>
      <c r="W107" s="47">
        <f>Subsurface_Inputs!$C$43</f>
        <v/>
      </c>
      <c r="X107" s="47">
        <f>Q107-W107</f>
        <v/>
      </c>
      <c r="Y107" s="47">
        <f>R107-W107</f>
        <v/>
      </c>
      <c r="Z107" s="47">
        <f>MAX(Q107,R107)-W107</f>
        <v/>
      </c>
      <c r="AA107" s="47" t="n">
        <v>0</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IF(R108&gt;=W108,"Likely visible","Weak")</f>
        <v/>
      </c>
      <c r="W108" s="47">
        <f>Subsurface_Inputs!$C$43</f>
        <v/>
      </c>
      <c r="X108" s="47">
        <f>Q108-W108</f>
        <v/>
      </c>
      <c r="Y108" s="47">
        <f>R108-W108</f>
        <v/>
      </c>
      <c r="Z108" s="47">
        <f>MAX(Q108,R108)-W108</f>
        <v/>
      </c>
      <c r="AA108" s="47" t="n">
        <v>0</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IF(R109&gt;=W109,"Likely visible","Weak")</f>
        <v/>
      </c>
      <c r="W109" s="47">
        <f>Subsurface_Inputs!$C$43</f>
        <v/>
      </c>
      <c r="X109" s="47">
        <f>Q109-W109</f>
        <v/>
      </c>
      <c r="Y109" s="47">
        <f>R109-W109</f>
        <v/>
      </c>
      <c r="Z109" s="47">
        <f>MAX(Q109,R109)-W109</f>
        <v/>
      </c>
      <c r="AA109" s="47" t="n">
        <v>0</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IF(R110&gt;=W110,"Likely visible","Weak")</f>
        <v/>
      </c>
      <c r="W110" s="47">
        <f>Subsurface_Inputs!$C$43</f>
        <v/>
      </c>
      <c r="X110" s="47">
        <f>Q110-W110</f>
        <v/>
      </c>
      <c r="Y110" s="47">
        <f>R110-W110</f>
        <v/>
      </c>
      <c r="Z110" s="47">
        <f>MAX(Q110,R110)-W110</f>
        <v/>
      </c>
      <c r="AA110" s="47" t="n">
        <v>0</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IF(R111&gt;=W111,"Likely visible","Weak")</f>
        <v/>
      </c>
      <c r="W111" s="47">
        <f>Subsurface_Inputs!$C$43</f>
        <v/>
      </c>
      <c r="X111" s="47">
        <f>Q111-W111</f>
        <v/>
      </c>
      <c r="Y111" s="47">
        <f>R111-W111</f>
        <v/>
      </c>
      <c r="Z111" s="47">
        <f>MAX(Q111,R111)-W111</f>
        <v/>
      </c>
      <c r="AA111" s="47" t="n">
        <v>0</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IF(R112&gt;=W112,"Likely visible","Weak")</f>
        <v/>
      </c>
      <c r="W112" s="47">
        <f>Subsurface_Inputs!$C$43</f>
        <v/>
      </c>
      <c r="X112" s="47">
        <f>Q112-W112</f>
        <v/>
      </c>
      <c r="Y112" s="47">
        <f>R112-W112</f>
        <v/>
      </c>
      <c r="Z112" s="47">
        <f>MAX(Q112,R112)-W112</f>
        <v/>
      </c>
      <c r="AA112" s="47" t="n">
        <v>0</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IF(R113&gt;=W113,"Likely visible","Weak")</f>
        <v/>
      </c>
      <c r="W113" s="47">
        <f>Subsurface_Inputs!$C$43</f>
        <v/>
      </c>
      <c r="X113" s="47">
        <f>Q113-W113</f>
        <v/>
      </c>
      <c r="Y113" s="47">
        <f>R113-W113</f>
        <v/>
      </c>
      <c r="Z113" s="47">
        <f>MAX(Q113,R113)-W113</f>
        <v/>
      </c>
      <c r="AA113" s="47" t="n">
        <v>0</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IF(R114&gt;=W114,"Likely visible","Weak")</f>
        <v/>
      </c>
      <c r="W114" s="47">
        <f>Subsurface_Inputs!$C$43</f>
        <v/>
      </c>
      <c r="X114" s="47">
        <f>Q114-W114</f>
        <v/>
      </c>
      <c r="Y114" s="47">
        <f>R114-W114</f>
        <v/>
      </c>
      <c r="Z114" s="47">
        <f>MAX(Q114,R114)-W114</f>
        <v/>
      </c>
      <c r="AA114" s="47" t="n">
        <v>0</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IF(R115&gt;=W115,"Likely visible","Weak")</f>
        <v/>
      </c>
      <c r="W115" s="47">
        <f>Subsurface_Inputs!$C$43</f>
        <v/>
      </c>
      <c r="X115" s="47">
        <f>Q115-W115</f>
        <v/>
      </c>
      <c r="Y115" s="47">
        <f>R115-W115</f>
        <v/>
      </c>
      <c r="Z115" s="47">
        <f>MAX(Q115,R115)-W115</f>
        <v/>
      </c>
      <c r="AA115" s="47" t="n">
        <v>0</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IF(R116&gt;=W116,"Likely visible","Weak")</f>
        <v/>
      </c>
      <c r="W116" s="47">
        <f>Subsurface_Inputs!$C$43</f>
        <v/>
      </c>
      <c r="X116" s="47">
        <f>Q116-W116</f>
        <v/>
      </c>
      <c r="Y116" s="47">
        <f>R116-W116</f>
        <v/>
      </c>
      <c r="Z116" s="47">
        <f>MAX(Q116,R116)-W116</f>
        <v/>
      </c>
      <c r="AA116" s="47" t="n">
        <v>0</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IF(R117&gt;=W117,"Likely visible","Weak")</f>
        <v/>
      </c>
      <c r="W117" s="47">
        <f>Subsurface_Inputs!$C$43</f>
        <v/>
      </c>
      <c r="X117" s="47">
        <f>Q117-W117</f>
        <v/>
      </c>
      <c r="Y117" s="47">
        <f>R117-W117</f>
        <v/>
      </c>
      <c r="Z117" s="47">
        <f>MAX(Q117,R117)-W117</f>
        <v/>
      </c>
      <c r="AA117" s="47" t="n">
        <v>0</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IF(R118&gt;=W118,"Likely visible","Weak")</f>
        <v/>
      </c>
      <c r="W118" s="47">
        <f>Subsurface_Inputs!$C$43</f>
        <v/>
      </c>
      <c r="X118" s="47">
        <f>Q118-W118</f>
        <v/>
      </c>
      <c r="Y118" s="47">
        <f>R118-W118</f>
        <v/>
      </c>
      <c r="Z118" s="47">
        <f>MAX(Q118,R118)-W118</f>
        <v/>
      </c>
      <c r="AA118" s="47" t="n">
        <v>0</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IF(R119&gt;=W119,"Likely visible","Weak")</f>
        <v/>
      </c>
      <c r="W119" s="47">
        <f>Subsurface_Inputs!$C$43</f>
        <v/>
      </c>
      <c r="X119" s="47">
        <f>Q119-W119</f>
        <v/>
      </c>
      <c r="Y119" s="47">
        <f>R119-W119</f>
        <v/>
      </c>
      <c r="Z119" s="47">
        <f>MAX(Q119,R119)-W119</f>
        <v/>
      </c>
      <c r="AA119" s="47" t="n">
        <v>0</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IF(R120&gt;=W120,"Likely visible","Weak")</f>
        <v/>
      </c>
      <c r="W120" s="47">
        <f>Subsurface_Inputs!$C$43</f>
        <v/>
      </c>
      <c r="X120" s="47">
        <f>Q120-W120</f>
        <v/>
      </c>
      <c r="Y120" s="47">
        <f>R120-W120</f>
        <v/>
      </c>
      <c r="Z120" s="47">
        <f>MAX(Q120,R120)-W120</f>
        <v/>
      </c>
      <c r="AA120" s="47" t="n">
        <v>0</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IF(R121&gt;=W121,"Likely visible","Weak")</f>
        <v/>
      </c>
      <c r="W121" s="47">
        <f>Subsurface_Inputs!$C$43</f>
        <v/>
      </c>
      <c r="X121" s="47">
        <f>Q121-W121</f>
        <v/>
      </c>
      <c r="Y121" s="47">
        <f>R121-W121</f>
        <v/>
      </c>
      <c r="Z121" s="47">
        <f>MAX(Q121,R121)-W121</f>
        <v/>
      </c>
      <c r="AA121" s="47" t="n">
        <v>0</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IF(R122&gt;=W122,"Likely visible","Weak")</f>
        <v/>
      </c>
      <c r="W122" s="47">
        <f>Subsurface_Inputs!$C$43</f>
        <v/>
      </c>
      <c r="X122" s="47">
        <f>Q122-W122</f>
        <v/>
      </c>
      <c r="Y122" s="47">
        <f>R122-W122</f>
        <v/>
      </c>
      <c r="Z122" s="47">
        <f>MAX(Q122,R122)-W122</f>
        <v/>
      </c>
      <c r="AA122" s="47" t="n">
        <v>0</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IF(R123&gt;=W123,"Likely visible","Weak")</f>
        <v/>
      </c>
      <c r="W123" s="47">
        <f>Subsurface_Inputs!$C$43</f>
        <v/>
      </c>
      <c r="X123" s="47">
        <f>Q123-W123</f>
        <v/>
      </c>
      <c r="Y123" s="47">
        <f>R123-W123</f>
        <v/>
      </c>
      <c r="Z123" s="47">
        <f>MAX(Q123,R123)-W123</f>
        <v/>
      </c>
      <c r="AA123" s="47" t="n">
        <v>0</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IF(R124&gt;=W124,"Likely visible","Weak")</f>
        <v/>
      </c>
      <c r="W124" s="47">
        <f>Subsurface_Inputs!$C$43</f>
        <v/>
      </c>
      <c r="X124" s="47">
        <f>Q124-W124</f>
        <v/>
      </c>
      <c r="Y124" s="47">
        <f>R124-W124</f>
        <v/>
      </c>
      <c r="Z124" s="47">
        <f>MAX(Q124,R124)-W124</f>
        <v/>
      </c>
      <c r="AA124" s="47" t="n">
        <v>0</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IF(R125&gt;=W125,"Likely visible","Weak")</f>
        <v/>
      </c>
      <c r="W125" s="47">
        <f>Subsurface_Inputs!$C$43</f>
        <v/>
      </c>
      <c r="X125" s="47">
        <f>Q125-W125</f>
        <v/>
      </c>
      <c r="Y125" s="47">
        <f>R125-W125</f>
        <v/>
      </c>
      <c r="Z125" s="47">
        <f>MAX(Q125,R125)-W125</f>
        <v/>
      </c>
      <c r="AA125" s="47" t="n">
        <v>0</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IF(R126&gt;=W126,"Likely visible","Weak")</f>
        <v/>
      </c>
      <c r="W126" s="47">
        <f>Subsurface_Inputs!$C$43</f>
        <v/>
      </c>
      <c r="X126" s="47">
        <f>Q126-W126</f>
        <v/>
      </c>
      <c r="Y126" s="47">
        <f>R126-W126</f>
        <v/>
      </c>
      <c r="Z126" s="47">
        <f>MAX(Q126,R126)-W126</f>
        <v/>
      </c>
      <c r="AA126" s="47" t="n">
        <v>0</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IF(R127&gt;=W127,"Likely visible","Weak")</f>
        <v/>
      </c>
      <c r="W127" s="47">
        <f>Subsurface_Inputs!$C$43</f>
        <v/>
      </c>
      <c r="X127" s="47">
        <f>Q127-W127</f>
        <v/>
      </c>
      <c r="Y127" s="47">
        <f>R127-W127</f>
        <v/>
      </c>
      <c r="Z127" s="47">
        <f>MAX(Q127,R127)-W127</f>
        <v/>
      </c>
      <c r="AA127" s="47" t="n">
        <v>0</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IF(R128&gt;=W128,"Likely visible","Weak")</f>
        <v/>
      </c>
      <c r="W128" s="47">
        <f>Subsurface_Inputs!$C$43</f>
        <v/>
      </c>
      <c r="X128" s="47">
        <f>Q128-W128</f>
        <v/>
      </c>
      <c r="Y128" s="47">
        <f>R128-W128</f>
        <v/>
      </c>
      <c r="Z128" s="47">
        <f>MAX(Q128,R128)-W128</f>
        <v/>
      </c>
      <c r="AA128" s="47" t="n">
        <v>0</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IF(R129&gt;=W129,"Likely visible","Weak")</f>
        <v/>
      </c>
      <c r="W129" s="47">
        <f>Subsurface_Inputs!$C$43</f>
        <v/>
      </c>
      <c r="X129" s="47">
        <f>Q129-W129</f>
        <v/>
      </c>
      <c r="Y129" s="47">
        <f>R129-W129</f>
        <v/>
      </c>
      <c r="Z129" s="47">
        <f>MAX(Q129,R129)-W129</f>
        <v/>
      </c>
      <c r="AA129" s="47" t="n">
        <v>0</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IF(R130&gt;=W130,"Likely visible","Weak")</f>
        <v/>
      </c>
      <c r="W130" s="47">
        <f>Subsurface_Inputs!$C$43</f>
        <v/>
      </c>
      <c r="X130" s="47">
        <f>Q130-W130</f>
        <v/>
      </c>
      <c r="Y130" s="47">
        <f>R130-W130</f>
        <v/>
      </c>
      <c r="Z130" s="47">
        <f>MAX(Q130,R130)-W130</f>
        <v/>
      </c>
      <c r="AA130" s="47" t="n">
        <v>0</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IF(R131&gt;=W131,"Likely visible","Weak")</f>
        <v/>
      </c>
      <c r="W131" s="47">
        <f>Subsurface_Inputs!$C$43</f>
        <v/>
      </c>
      <c r="X131" s="47">
        <f>Q131-W131</f>
        <v/>
      </c>
      <c r="Y131" s="47">
        <f>R131-W131</f>
        <v/>
      </c>
      <c r="Z131" s="47">
        <f>MAX(Q131,R131)-W131</f>
        <v/>
      </c>
      <c r="AA131" s="47" t="n">
        <v>0</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IF(R132&gt;=W132,"Likely visible","Weak")</f>
        <v/>
      </c>
      <c r="W132" s="47">
        <f>Subsurface_Inputs!$C$43</f>
        <v/>
      </c>
      <c r="X132" s="47">
        <f>Q132-W132</f>
        <v/>
      </c>
      <c r="Y132" s="47">
        <f>R132-W132</f>
        <v/>
      </c>
      <c r="Z132" s="47">
        <f>MAX(Q132,R132)-W132</f>
        <v/>
      </c>
      <c r="AA132" s="47" t="n">
        <v>0</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IF(R133&gt;=W133,"Likely visible","Weak")</f>
        <v/>
      </c>
      <c r="W133" s="47">
        <f>Subsurface_Inputs!$C$43</f>
        <v/>
      </c>
      <c r="X133" s="47">
        <f>Q133-W133</f>
        <v/>
      </c>
      <c r="Y133" s="47">
        <f>R133-W133</f>
        <v/>
      </c>
      <c r="Z133" s="47">
        <f>MAX(Q133,R133)-W133</f>
        <v/>
      </c>
      <c r="AA133" s="47" t="n">
        <v>0</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IF(R134&gt;=W134,"Likely visible","Weak")</f>
        <v/>
      </c>
      <c r="W134" s="47">
        <f>Subsurface_Inputs!$C$43</f>
        <v/>
      </c>
      <c r="X134" s="47">
        <f>Q134-W134</f>
        <v/>
      </c>
      <c r="Y134" s="47">
        <f>R134-W134</f>
        <v/>
      </c>
      <c r="Z134" s="47">
        <f>MAX(Q134,R134)-W134</f>
        <v/>
      </c>
      <c r="AA134" s="47" t="n">
        <v>0</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IF(R135&gt;=W135,"Likely visible","Weak")</f>
        <v/>
      </c>
      <c r="W135" s="47">
        <f>Subsurface_Inputs!$C$43</f>
        <v/>
      </c>
      <c r="X135" s="47">
        <f>Q135-W135</f>
        <v/>
      </c>
      <c r="Y135" s="47">
        <f>R135-W135</f>
        <v/>
      </c>
      <c r="Z135" s="47">
        <f>MAX(Q135,R135)-W135</f>
        <v/>
      </c>
      <c r="AA135" s="47" t="n">
        <v>0</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IF(R136&gt;=W136,"Likely visible","Weak")</f>
        <v/>
      </c>
      <c r="W136" s="47">
        <f>Subsurface_Inputs!$C$43</f>
        <v/>
      </c>
      <c r="X136" s="47">
        <f>Q136-W136</f>
        <v/>
      </c>
      <c r="Y136" s="47">
        <f>R136-W136</f>
        <v/>
      </c>
      <c r="Z136" s="47">
        <f>MAX(Q136,R136)-W136</f>
        <v/>
      </c>
      <c r="AA136" s="47" t="n">
        <v>0</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IF(R137&gt;=W137,"Likely visible","Weak")</f>
        <v/>
      </c>
      <c r="W137" s="47">
        <f>Subsurface_Inputs!$C$43</f>
        <v/>
      </c>
      <c r="X137" s="47">
        <f>Q137-W137</f>
        <v/>
      </c>
      <c r="Y137" s="47">
        <f>R137-W137</f>
        <v/>
      </c>
      <c r="Z137" s="47">
        <f>MAX(Q137,R137)-W137</f>
        <v/>
      </c>
      <c r="AA137" s="47" t="n">
        <v>0</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IF(R138&gt;=W138,"Likely visible","Weak")</f>
        <v/>
      </c>
      <c r="W138" s="47">
        <f>Subsurface_Inputs!$C$43</f>
        <v/>
      </c>
      <c r="X138" s="47">
        <f>Q138-W138</f>
        <v/>
      </c>
      <c r="Y138" s="47">
        <f>R138-W138</f>
        <v/>
      </c>
      <c r="Z138" s="47">
        <f>MAX(Q138,R138)-W138</f>
        <v/>
      </c>
      <c r="AA138" s="47" t="n">
        <v>0</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IF(R139&gt;=W139,"Likely visible","Weak")</f>
        <v/>
      </c>
      <c r="W139" s="47">
        <f>Subsurface_Inputs!$C$43</f>
        <v/>
      </c>
      <c r="X139" s="47">
        <f>Q139-W139</f>
        <v/>
      </c>
      <c r="Y139" s="47">
        <f>R139-W139</f>
        <v/>
      </c>
      <c r="Z139" s="47">
        <f>MAX(Q139,R139)-W139</f>
        <v/>
      </c>
      <c r="AA139" s="47" t="n">
        <v>0</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IF(R140&gt;=W140,"Likely visible","Weak")</f>
        <v/>
      </c>
      <c r="W140" s="47">
        <f>Subsurface_Inputs!$C$43</f>
        <v/>
      </c>
      <c r="X140" s="47">
        <f>Q140-W140</f>
        <v/>
      </c>
      <c r="Y140" s="47">
        <f>R140-W140</f>
        <v/>
      </c>
      <c r="Z140" s="47">
        <f>MAX(Q140,R140)-W140</f>
        <v/>
      </c>
      <c r="AA140" s="47" t="n">
        <v>0</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IF(R141&gt;=W141,"Likely visible","Weak")</f>
        <v/>
      </c>
      <c r="W141" s="47">
        <f>Subsurface_Inputs!$C$43</f>
        <v/>
      </c>
      <c r="X141" s="47">
        <f>Q141-W141</f>
        <v/>
      </c>
      <c r="Y141" s="47">
        <f>R141-W141</f>
        <v/>
      </c>
      <c r="Z141" s="47">
        <f>MAX(Q141,R141)-W141</f>
        <v/>
      </c>
      <c r="AA141" s="47" t="n">
        <v>0</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IF(R142&gt;=W142,"Likely visible","Weak")</f>
        <v/>
      </c>
      <c r="W142" s="47">
        <f>Subsurface_Inputs!$C$43</f>
        <v/>
      </c>
      <c r="X142" s="47">
        <f>Q142-W142</f>
        <v/>
      </c>
      <c r="Y142" s="47">
        <f>R142-W142</f>
        <v/>
      </c>
      <c r="Z142" s="47">
        <f>MAX(Q142,R142)-W142</f>
        <v/>
      </c>
      <c r="AA142" s="47" t="n">
        <v>0</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IF(R143&gt;=W143,"Likely visible","Weak")</f>
        <v/>
      </c>
      <c r="W143" s="47">
        <f>Subsurface_Inputs!$C$43</f>
        <v/>
      </c>
      <c r="X143" s="47">
        <f>Q143-W143</f>
        <v/>
      </c>
      <c r="Y143" s="47">
        <f>R143-W143</f>
        <v/>
      </c>
      <c r="Z143" s="47">
        <f>MAX(Q143,R143)-W143</f>
        <v/>
      </c>
      <c r="AA143" s="47" t="n">
        <v>0</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IF(R144&gt;=W144,"Likely visible","Weak")</f>
        <v/>
      </c>
      <c r="W144" s="47">
        <f>Subsurface_Inputs!$C$43</f>
        <v/>
      </c>
      <c r="X144" s="47">
        <f>Q144-W144</f>
        <v/>
      </c>
      <c r="Y144" s="47">
        <f>R144-W144</f>
        <v/>
      </c>
      <c r="Z144" s="47">
        <f>MAX(Q144,R144)-W144</f>
        <v/>
      </c>
      <c r="AA144" s="47" t="n">
        <v>0</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IF(R145&gt;=W145,"Likely visible","Weak")</f>
        <v/>
      </c>
      <c r="W145" s="47">
        <f>Subsurface_Inputs!$C$43</f>
        <v/>
      </c>
      <c r="X145" s="47">
        <f>Q145-W145</f>
        <v/>
      </c>
      <c r="Y145" s="47">
        <f>R145-W145</f>
        <v/>
      </c>
      <c r="Z145" s="47">
        <f>MAX(Q145,R145)-W145</f>
        <v/>
      </c>
      <c r="AA145" s="47" t="n">
        <v>0</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IF(R146&gt;=W146,"Likely visible","Weak")</f>
        <v/>
      </c>
      <c r="W146" s="47">
        <f>Subsurface_Inputs!$C$43</f>
        <v/>
      </c>
      <c r="X146" s="47">
        <f>Q146-W146</f>
        <v/>
      </c>
      <c r="Y146" s="47">
        <f>R146-W146</f>
        <v/>
      </c>
      <c r="Z146" s="47">
        <f>MAX(Q146,R146)-W146</f>
        <v/>
      </c>
      <c r="AA146" s="47" t="n">
        <v>0</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IF(R147&gt;=W147,"Likely visible","Weak")</f>
        <v/>
      </c>
      <c r="W147" s="47">
        <f>Subsurface_Inputs!$C$43</f>
        <v/>
      </c>
      <c r="X147" s="47">
        <f>Q147-W147</f>
        <v/>
      </c>
      <c r="Y147" s="47">
        <f>R147-W147</f>
        <v/>
      </c>
      <c r="Z147" s="47">
        <f>MAX(Q147,R147)-W147</f>
        <v/>
      </c>
      <c r="AA147" s="47" t="n">
        <v>0</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IF(R148&gt;=W148,"Likely visible","Weak")</f>
        <v/>
      </c>
      <c r="W148" s="47">
        <f>Subsurface_Inputs!$C$43</f>
        <v/>
      </c>
      <c r="X148" s="47">
        <f>Q148-W148</f>
        <v/>
      </c>
      <c r="Y148" s="47">
        <f>R148-W148</f>
        <v/>
      </c>
      <c r="Z148" s="47">
        <f>MAX(Q148,R148)-W148</f>
        <v/>
      </c>
      <c r="AA148" s="47" t="n">
        <v>0</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IF(R149&gt;=W149,"Likely visible","Weak")</f>
        <v/>
      </c>
      <c r="W149" s="47">
        <f>Subsurface_Inputs!$C$43</f>
        <v/>
      </c>
      <c r="X149" s="47">
        <f>Q149-W149</f>
        <v/>
      </c>
      <c r="Y149" s="47">
        <f>R149-W149</f>
        <v/>
      </c>
      <c r="Z149" s="47">
        <f>MAX(Q149,R149)-W149</f>
        <v/>
      </c>
      <c r="AA149" s="47" t="n">
        <v>0</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IF(R150&gt;=W150,"Likely visible","Weak")</f>
        <v/>
      </c>
      <c r="W150" s="47">
        <f>Subsurface_Inputs!$C$43</f>
        <v/>
      </c>
      <c r="X150" s="47">
        <f>Q150-W150</f>
        <v/>
      </c>
      <c r="Y150" s="47">
        <f>R150-W150</f>
        <v/>
      </c>
      <c r="Z150" s="47">
        <f>MAX(Q150,R150)-W150</f>
        <v/>
      </c>
      <c r="AA150" s="47" t="n">
        <v>0</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IF(R151&gt;=W151,"Likely visible","Weak")</f>
        <v/>
      </c>
      <c r="W151" s="47">
        <f>Subsurface_Inputs!$C$43</f>
        <v/>
      </c>
      <c r="X151" s="47">
        <f>Q151-W151</f>
        <v/>
      </c>
      <c r="Y151" s="47">
        <f>R151-W151</f>
        <v/>
      </c>
      <c r="Z151" s="47">
        <f>MAX(Q151,R151)-W151</f>
        <v/>
      </c>
      <c r="AA151" s="47" t="n">
        <v>0</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IF(R152&gt;=W152,"Likely visible","Weak")</f>
        <v/>
      </c>
      <c r="W152" s="47">
        <f>Subsurface_Inputs!$C$43</f>
        <v/>
      </c>
      <c r="X152" s="47">
        <f>Q152-W152</f>
        <v/>
      </c>
      <c r="Y152" s="47">
        <f>R152-W152</f>
        <v/>
      </c>
      <c r="Z152" s="47">
        <f>MAX(Q152,R152)-W152</f>
        <v/>
      </c>
      <c r="AA152" s="47" t="n">
        <v>0</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IF(R153&gt;=W153,"Likely visible","Weak")</f>
        <v/>
      </c>
      <c r="W153" s="47">
        <f>Subsurface_Inputs!$C$43</f>
        <v/>
      </c>
      <c r="X153" s="47">
        <f>Q153-W153</f>
        <v/>
      </c>
      <c r="Y153" s="47">
        <f>R153-W153</f>
        <v/>
      </c>
      <c r="Z153" s="47">
        <f>MAX(Q153,R153)-W153</f>
        <v/>
      </c>
      <c r="AA153" s="47" t="n">
        <v>0</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IF(R154&gt;=W154,"Likely visible","Weak")</f>
        <v/>
      </c>
      <c r="W154" s="47">
        <f>Subsurface_Inputs!$C$43</f>
        <v/>
      </c>
      <c r="X154" s="47">
        <f>Q154-W154</f>
        <v/>
      </c>
      <c r="Y154" s="47">
        <f>R154-W154</f>
        <v/>
      </c>
      <c r="Z154" s="47">
        <f>MAX(Q154,R154)-W154</f>
        <v/>
      </c>
      <c r="AA154" s="47" t="n">
        <v>0</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IF(R155&gt;=W155,"Likely visible","Weak")</f>
        <v/>
      </c>
      <c r="W155" s="47">
        <f>Subsurface_Inputs!$C$43</f>
        <v/>
      </c>
      <c r="X155" s="47">
        <f>Q155-W155</f>
        <v/>
      </c>
      <c r="Y155" s="47">
        <f>R155-W155</f>
        <v/>
      </c>
      <c r="Z155" s="47">
        <f>MAX(Q155,R155)-W155</f>
        <v/>
      </c>
      <c r="AA155" s="47" t="n">
        <v>0</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IF(R156&gt;=W156,"Likely visible","Weak")</f>
        <v/>
      </c>
      <c r="W156" s="47">
        <f>Subsurface_Inputs!$C$43</f>
        <v/>
      </c>
      <c r="X156" s="47">
        <f>Q156-W156</f>
        <v/>
      </c>
      <c r="Y156" s="47">
        <f>R156-W156</f>
        <v/>
      </c>
      <c r="Z156" s="47">
        <f>MAX(Q156,R156)-W156</f>
        <v/>
      </c>
      <c r="AA156" s="47" t="n">
        <v>0</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IF(R157&gt;=W157,"Likely visible","Weak")</f>
        <v/>
      </c>
      <c r="W157" s="47">
        <f>Subsurface_Inputs!$C$43</f>
        <v/>
      </c>
      <c r="X157" s="47">
        <f>Q157-W157</f>
        <v/>
      </c>
      <c r="Y157" s="47">
        <f>R157-W157</f>
        <v/>
      </c>
      <c r="Z157" s="47">
        <f>MAX(Q157,R157)-W157</f>
        <v/>
      </c>
      <c r="AA157" s="47" t="n">
        <v>0</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IF(R158&gt;=W158,"Likely visible","Weak")</f>
        <v/>
      </c>
      <c r="W158" s="47">
        <f>Subsurface_Inputs!$C$43</f>
        <v/>
      </c>
      <c r="X158" s="47">
        <f>Q158-W158</f>
        <v/>
      </c>
      <c r="Y158" s="47">
        <f>R158-W158</f>
        <v/>
      </c>
      <c r="Z158" s="47">
        <f>MAX(Q158,R158)-W158</f>
        <v/>
      </c>
      <c r="AA158" s="47" t="n">
        <v>0</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IF(R159&gt;=W159,"Likely visible","Weak")</f>
        <v/>
      </c>
      <c r="W159" s="47">
        <f>Subsurface_Inputs!$C$43</f>
        <v/>
      </c>
      <c r="X159" s="47">
        <f>Q159-W159</f>
        <v/>
      </c>
      <c r="Y159" s="47">
        <f>R159-W159</f>
        <v/>
      </c>
      <c r="Z159" s="47">
        <f>MAX(Q159,R159)-W159</f>
        <v/>
      </c>
      <c r="AA159" s="47" t="n">
        <v>0</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IF(R160&gt;=W160,"Likely visible","Weak")</f>
        <v/>
      </c>
      <c r="W160" s="47">
        <f>Subsurface_Inputs!$C$43</f>
        <v/>
      </c>
      <c r="X160" s="47">
        <f>Q160-W160</f>
        <v/>
      </c>
      <c r="Y160" s="47">
        <f>R160-W160</f>
        <v/>
      </c>
      <c r="Z160" s="47">
        <f>MAX(Q160,R160)-W160</f>
        <v/>
      </c>
      <c r="AA160" s="47" t="n">
        <v>0</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IF(R161&gt;=W161,"Likely visible","Weak")</f>
        <v/>
      </c>
      <c r="W161" s="47">
        <f>Subsurface_Inputs!$C$43</f>
        <v/>
      </c>
      <c r="X161" s="47">
        <f>Q161-W161</f>
        <v/>
      </c>
      <c r="Y161" s="47">
        <f>R161-W161</f>
        <v/>
      </c>
      <c r="Z161" s="47">
        <f>MAX(Q161,R161)-W161</f>
        <v/>
      </c>
      <c r="AA161" s="47" t="n">
        <v>0</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IF(R162&gt;=W162,"Likely visible","Weak")</f>
        <v/>
      </c>
      <c r="W162" s="47">
        <f>Subsurface_Inputs!$C$43</f>
        <v/>
      </c>
      <c r="X162" s="47">
        <f>Q162-W162</f>
        <v/>
      </c>
      <c r="Y162" s="47">
        <f>R162-W162</f>
        <v/>
      </c>
      <c r="Z162" s="47">
        <f>MAX(Q162,R162)-W162</f>
        <v/>
      </c>
      <c r="AA162" s="47" t="n">
        <v>0</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IF(R163&gt;=W163,"Likely visible","Weak")</f>
        <v/>
      </c>
      <c r="W163" s="47">
        <f>Subsurface_Inputs!$C$43</f>
        <v/>
      </c>
      <c r="X163" s="47">
        <f>Q163-W163</f>
        <v/>
      </c>
      <c r="Y163" s="47">
        <f>R163-W163</f>
        <v/>
      </c>
      <c r="Z163" s="47">
        <f>MAX(Q163,R163)-W163</f>
        <v/>
      </c>
      <c r="AA163" s="47" t="n">
        <v>0</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IF(R164&gt;=W164,"Likely visible","Weak")</f>
        <v/>
      </c>
      <c r="W164" s="47">
        <f>Subsurface_Inputs!$C$43</f>
        <v/>
      </c>
      <c r="X164" s="47">
        <f>Q164-W164</f>
        <v/>
      </c>
      <c r="Y164" s="47">
        <f>R164-W164</f>
        <v/>
      </c>
      <c r="Z164" s="47">
        <f>MAX(Q164,R164)-W164</f>
        <v/>
      </c>
      <c r="AA164" s="47" t="n">
        <v>0</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IF(R165&gt;=W165,"Likely visible","Weak")</f>
        <v/>
      </c>
      <c r="W165" s="47">
        <f>Subsurface_Inputs!$C$43</f>
        <v/>
      </c>
      <c r="X165" s="47">
        <f>Q165-W165</f>
        <v/>
      </c>
      <c r="Y165" s="47">
        <f>R165-W165</f>
        <v/>
      </c>
      <c r="Z165" s="47">
        <f>MAX(Q165,R165)-W165</f>
        <v/>
      </c>
      <c r="AA165" s="47" t="n">
        <v>0</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IF(R166&gt;=W166,"Likely visible","Weak")</f>
        <v/>
      </c>
      <c r="W166" s="47">
        <f>Subsurface_Inputs!$C$43</f>
        <v/>
      </c>
      <c r="X166" s="47">
        <f>Q166-W166</f>
        <v/>
      </c>
      <c r="Y166" s="47">
        <f>R166-W166</f>
        <v/>
      </c>
      <c r="Z166" s="47">
        <f>MAX(Q166,R166)-W166</f>
        <v/>
      </c>
      <c r="AA166" s="47" t="n">
        <v>0</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IF(R167&gt;=W167,"Likely visible","Weak")</f>
        <v/>
      </c>
      <c r="W167" s="47">
        <f>Subsurface_Inputs!$C$43</f>
        <v/>
      </c>
      <c r="X167" s="47">
        <f>Q167-W167</f>
        <v/>
      </c>
      <c r="Y167" s="47">
        <f>R167-W167</f>
        <v/>
      </c>
      <c r="Z167" s="47">
        <f>MAX(Q167,R167)-W167</f>
        <v/>
      </c>
      <c r="AA167" s="47" t="n">
        <v>0</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IF(R168&gt;=W168,"Likely visible","Weak")</f>
        <v/>
      </c>
      <c r="W168" s="47">
        <f>Subsurface_Inputs!$C$43</f>
        <v/>
      </c>
      <c r="X168" s="47">
        <f>Q168-W168</f>
        <v/>
      </c>
      <c r="Y168" s="47">
        <f>R168-W168</f>
        <v/>
      </c>
      <c r="Z168" s="47">
        <f>MAX(Q168,R168)-W168</f>
        <v/>
      </c>
      <c r="AA168" s="47" t="n">
        <v>0</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IF(R169&gt;=W169,"Likely visible","Weak")</f>
        <v/>
      </c>
      <c r="W169" s="47">
        <f>Subsurface_Inputs!$C$43</f>
        <v/>
      </c>
      <c r="X169" s="47">
        <f>Q169-W169</f>
        <v/>
      </c>
      <c r="Y169" s="47">
        <f>R169-W169</f>
        <v/>
      </c>
      <c r="Z169" s="47">
        <f>MAX(Q169,R169)-W169</f>
        <v/>
      </c>
      <c r="AA169" s="47" t="n">
        <v>0</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IF(R170&gt;=W170,"Likely visible","Weak")</f>
        <v/>
      </c>
      <c r="W170" s="47">
        <f>Subsurface_Inputs!$C$43</f>
        <v/>
      </c>
      <c r="X170" s="47">
        <f>Q170-W170</f>
        <v/>
      </c>
      <c r="Y170" s="47">
        <f>R170-W170</f>
        <v/>
      </c>
      <c r="Z170" s="47">
        <f>MAX(Q170,R170)-W170</f>
        <v/>
      </c>
      <c r="AA170" s="47" t="n">
        <v>0</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IF(R171&gt;=W171,"Likely visible","Weak")</f>
        <v/>
      </c>
      <c r="W171" s="47">
        <f>Subsurface_Inputs!$C$43</f>
        <v/>
      </c>
      <c r="X171" s="47">
        <f>Q171-W171</f>
        <v/>
      </c>
      <c r="Y171" s="47">
        <f>R171-W171</f>
        <v/>
      </c>
      <c r="Z171" s="47">
        <f>MAX(Q171,R171)-W171</f>
        <v/>
      </c>
      <c r="AA171" s="47" t="n">
        <v>0</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IF(R172&gt;=W172,"Likely visible","Weak")</f>
        <v/>
      </c>
      <c r="W172" s="47">
        <f>Subsurface_Inputs!$C$43</f>
        <v/>
      </c>
      <c r="X172" s="47">
        <f>Q172-W172</f>
        <v/>
      </c>
      <c r="Y172" s="47">
        <f>R172-W172</f>
        <v/>
      </c>
      <c r="Z172" s="47">
        <f>MAX(Q172,R172)-W172</f>
        <v/>
      </c>
      <c r="AA172" s="47" t="n">
        <v>0</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IF(R173&gt;=W173,"Likely visible","Weak")</f>
        <v/>
      </c>
      <c r="W173" s="47">
        <f>Subsurface_Inputs!$C$43</f>
        <v/>
      </c>
      <c r="X173" s="47">
        <f>Q173-W173</f>
        <v/>
      </c>
      <c r="Y173" s="47">
        <f>R173-W173</f>
        <v/>
      </c>
      <c r="Z173" s="47">
        <f>MAX(Q173,R173)-W173</f>
        <v/>
      </c>
      <c r="AA173" s="47" t="n">
        <v>0</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IF(R174&gt;=W174,"Likely visible","Weak")</f>
        <v/>
      </c>
      <c r="W174" s="47">
        <f>Subsurface_Inputs!$C$43</f>
        <v/>
      </c>
      <c r="X174" s="47">
        <f>Q174-W174</f>
        <v/>
      </c>
      <c r="Y174" s="47">
        <f>R174-W174</f>
        <v/>
      </c>
      <c r="Z174" s="47">
        <f>MAX(Q174,R174)-W174</f>
        <v/>
      </c>
      <c r="AA174" s="47" t="n">
        <v>0</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IF(R175&gt;=W175,"Likely visible","Weak")</f>
        <v/>
      </c>
      <c r="W175" s="47">
        <f>Subsurface_Inputs!$C$43</f>
        <v/>
      </c>
      <c r="X175" s="47">
        <f>Q175-W175</f>
        <v/>
      </c>
      <c r="Y175" s="47">
        <f>R175-W175</f>
        <v/>
      </c>
      <c r="Z175" s="47">
        <f>MAX(Q175,R175)-W175</f>
        <v/>
      </c>
      <c r="AA175" s="47" t="n">
        <v>0</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IF(R176&gt;=W176,"Likely visible","Weak")</f>
        <v/>
      </c>
      <c r="W176" s="47">
        <f>Subsurface_Inputs!$C$43</f>
        <v/>
      </c>
      <c r="X176" s="47">
        <f>Q176-W176</f>
        <v/>
      </c>
      <c r="Y176" s="47">
        <f>R176-W176</f>
        <v/>
      </c>
      <c r="Z176" s="47">
        <f>MAX(Q176,R176)-W176</f>
        <v/>
      </c>
      <c r="AA176" s="47" t="n">
        <v>0</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IF(R177&gt;=W177,"Likely visible","Weak")</f>
        <v/>
      </c>
      <c r="W177" s="47">
        <f>Subsurface_Inputs!$C$43</f>
        <v/>
      </c>
      <c r="X177" s="47">
        <f>Q177-W177</f>
        <v/>
      </c>
      <c r="Y177" s="47">
        <f>R177-W177</f>
        <v/>
      </c>
      <c r="Z177" s="47">
        <f>MAX(Q177,R177)-W177</f>
        <v/>
      </c>
      <c r="AA177" s="47" t="n">
        <v>0</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IF(R178&gt;=W178,"Likely visible","Weak")</f>
        <v/>
      </c>
      <c r="W178" s="47">
        <f>Subsurface_Inputs!$C$43</f>
        <v/>
      </c>
      <c r="X178" s="47">
        <f>Q178-W178</f>
        <v/>
      </c>
      <c r="Y178" s="47">
        <f>R178-W178</f>
        <v/>
      </c>
      <c r="Z178" s="47">
        <f>MAX(Q178,R178)-W178</f>
        <v/>
      </c>
      <c r="AA178" s="47" t="n">
        <v>0</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IF(R179&gt;=W179,"Likely visible","Weak")</f>
        <v/>
      </c>
      <c r="W179" s="47">
        <f>Subsurface_Inputs!$C$43</f>
        <v/>
      </c>
      <c r="X179" s="47">
        <f>Q179-W179</f>
        <v/>
      </c>
      <c r="Y179" s="47">
        <f>R179-W179</f>
        <v/>
      </c>
      <c r="Z179" s="47">
        <f>MAX(Q179,R179)-W179</f>
        <v/>
      </c>
      <c r="AA179" s="47" t="n">
        <v>0</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IF(R180&gt;=W180,"Likely visible","Weak")</f>
        <v/>
      </c>
      <c r="W180" s="47">
        <f>Subsurface_Inputs!$C$43</f>
        <v/>
      </c>
      <c r="X180" s="47">
        <f>Q180-W180</f>
        <v/>
      </c>
      <c r="Y180" s="47">
        <f>R180-W180</f>
        <v/>
      </c>
      <c r="Z180" s="47">
        <f>MAX(Q180,R180)-W180</f>
        <v/>
      </c>
      <c r="AA180" s="47" t="n">
        <v>0</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IF(R181&gt;=W181,"Likely visible","Weak")</f>
        <v/>
      </c>
      <c r="W181" s="47">
        <f>Subsurface_Inputs!$C$43</f>
        <v/>
      </c>
      <c r="X181" s="47">
        <f>Q181-W181</f>
        <v/>
      </c>
      <c r="Y181" s="47">
        <f>R181-W181</f>
        <v/>
      </c>
      <c r="Z181" s="47">
        <f>MAX(Q181,R181)-W181</f>
        <v/>
      </c>
      <c r="AA181" s="47" t="n">
        <v>0</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IF(R182&gt;=W182,"Likely visible","Weak")</f>
        <v/>
      </c>
      <c r="W182" s="47">
        <f>Subsurface_Inputs!$C$43</f>
        <v/>
      </c>
      <c r="X182" s="47">
        <f>Q182-W182</f>
        <v/>
      </c>
      <c r="Y182" s="47">
        <f>R182-W182</f>
        <v/>
      </c>
      <c r="Z182" s="47">
        <f>MAX(Q182,R182)-W182</f>
        <v/>
      </c>
      <c r="AA182" s="47" t="n">
        <v>0</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IF(R183&gt;=W183,"Likely visible","Weak")</f>
        <v/>
      </c>
      <c r="W183" s="47">
        <f>Subsurface_Inputs!$C$43</f>
        <v/>
      </c>
      <c r="X183" s="47">
        <f>Q183-W183</f>
        <v/>
      </c>
      <c r="Y183" s="47">
        <f>R183-W183</f>
        <v/>
      </c>
      <c r="Z183" s="47">
        <f>MAX(Q183,R183)-W183</f>
        <v/>
      </c>
      <c r="AA183" s="47" t="n">
        <v>0</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IF(R184&gt;=W184,"Likely visible","Weak")</f>
        <v/>
      </c>
      <c r="W184" s="47">
        <f>Subsurface_Inputs!$C$43</f>
        <v/>
      </c>
      <c r="X184" s="47">
        <f>Q184-W184</f>
        <v/>
      </c>
      <c r="Y184" s="47">
        <f>R184-W184</f>
        <v/>
      </c>
      <c r="Z184" s="47">
        <f>MAX(Q184,R184)-W184</f>
        <v/>
      </c>
      <c r="AA184" s="47" t="n">
        <v>0</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IF(R185&gt;=W185,"Likely visible","Weak")</f>
        <v/>
      </c>
      <c r="W185" s="47">
        <f>Subsurface_Inputs!$C$43</f>
        <v/>
      </c>
      <c r="X185" s="47">
        <f>Q185-W185</f>
        <v/>
      </c>
      <c r="Y185" s="47">
        <f>R185-W185</f>
        <v/>
      </c>
      <c r="Z185" s="47">
        <f>MAX(Q185,R185)-W185</f>
        <v/>
      </c>
      <c r="AA185" s="47" t="n">
        <v>0</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IF(R186&gt;=W186,"Likely visible","Weak")</f>
        <v/>
      </c>
      <c r="W186" s="47">
        <f>Subsurface_Inputs!$C$43</f>
        <v/>
      </c>
      <c r="X186" s="47">
        <f>Q186-W186</f>
        <v/>
      </c>
      <c r="Y186" s="47">
        <f>R186-W186</f>
        <v/>
      </c>
      <c r="Z186" s="47">
        <f>MAX(Q186,R186)-W186</f>
        <v/>
      </c>
      <c r="AA186" s="47" t="n">
        <v>0</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IF(R187&gt;=W187,"Likely visible","Weak")</f>
        <v/>
      </c>
      <c r="W187" s="47">
        <f>Subsurface_Inputs!$C$43</f>
        <v/>
      </c>
      <c r="X187" s="47">
        <f>Q187-W187</f>
        <v/>
      </c>
      <c r="Y187" s="47">
        <f>R187-W187</f>
        <v/>
      </c>
      <c r="Z187" s="47">
        <f>MAX(Q187,R187)-W187</f>
        <v/>
      </c>
      <c r="AA187" s="47" t="n">
        <v>0</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IF(R188&gt;=W188,"Likely visible","Weak")</f>
        <v/>
      </c>
      <c r="W188" s="47">
        <f>Subsurface_Inputs!$C$43</f>
        <v/>
      </c>
      <c r="X188" s="47">
        <f>Q188-W188</f>
        <v/>
      </c>
      <c r="Y188" s="47">
        <f>R188-W188</f>
        <v/>
      </c>
      <c r="Z188" s="47">
        <f>MAX(Q188,R188)-W188</f>
        <v/>
      </c>
      <c r="AA188" s="47" t="n">
        <v>0</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IF(R189&gt;=W189,"Likely visible","Weak")</f>
        <v/>
      </c>
      <c r="W189" s="47">
        <f>Subsurface_Inputs!$C$43</f>
        <v/>
      </c>
      <c r="X189" s="47">
        <f>Q189-W189</f>
        <v/>
      </c>
      <c r="Y189" s="47">
        <f>R189-W189</f>
        <v/>
      </c>
      <c r="Z189" s="47">
        <f>MAX(Q189,R189)-W189</f>
        <v/>
      </c>
      <c r="AA189" s="47" t="n">
        <v>0</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IF(R190&gt;=W190,"Likely visible","Weak")</f>
        <v/>
      </c>
      <c r="W190" s="47">
        <f>Subsurface_Inputs!$C$43</f>
        <v/>
      </c>
      <c r="X190" s="47">
        <f>Q190-W190</f>
        <v/>
      </c>
      <c r="Y190" s="47">
        <f>R190-W190</f>
        <v/>
      </c>
      <c r="Z190" s="47">
        <f>MAX(Q190,R190)-W190</f>
        <v/>
      </c>
      <c r="AA190" s="47" t="n">
        <v>0</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IF(R191&gt;=W191,"Likely visible","Weak")</f>
        <v/>
      </c>
      <c r="W191" s="47">
        <f>Subsurface_Inputs!$C$43</f>
        <v/>
      </c>
      <c r="X191" s="47">
        <f>Q191-W191</f>
        <v/>
      </c>
      <c r="Y191" s="47">
        <f>R191-W191</f>
        <v/>
      </c>
      <c r="Z191" s="47">
        <f>MAX(Q191,R191)-W191</f>
        <v/>
      </c>
      <c r="AA191" s="47" t="n">
        <v>0</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IF(R192&gt;=W192,"Likely visible","Weak")</f>
        <v/>
      </c>
      <c r="W192" s="47">
        <f>Subsurface_Inputs!$C$43</f>
        <v/>
      </c>
      <c r="X192" s="47">
        <f>Q192-W192</f>
        <v/>
      </c>
      <c r="Y192" s="47">
        <f>R192-W192</f>
        <v/>
      </c>
      <c r="Z192" s="47">
        <f>MAX(Q192,R192)-W192</f>
        <v/>
      </c>
      <c r="AA192" s="47" t="n">
        <v>0</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IF(R193&gt;=W193,"Likely visible","Weak")</f>
        <v/>
      </c>
      <c r="W193" s="47">
        <f>Subsurface_Inputs!$C$43</f>
        <v/>
      </c>
      <c r="X193" s="47">
        <f>Q193-W193</f>
        <v/>
      </c>
      <c r="Y193" s="47">
        <f>R193-W193</f>
        <v/>
      </c>
      <c r="Z193" s="47">
        <f>MAX(Q193,R193)-W193</f>
        <v/>
      </c>
      <c r="AA193" s="47" t="n">
        <v>0</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IF(R194&gt;=W194,"Likely visible","Weak")</f>
        <v/>
      </c>
      <c r="W194" s="47">
        <f>Subsurface_Inputs!$C$43</f>
        <v/>
      </c>
      <c r="X194" s="47">
        <f>Q194-W194</f>
        <v/>
      </c>
      <c r="Y194" s="47">
        <f>R194-W194</f>
        <v/>
      </c>
      <c r="Z194" s="47">
        <f>MAX(Q194,R194)-W194</f>
        <v/>
      </c>
      <c r="AA194" s="47" t="n">
        <v>0</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IF(R195&gt;=W195,"Likely visible","Weak")</f>
        <v/>
      </c>
      <c r="W195" s="47">
        <f>Subsurface_Inputs!$C$43</f>
        <v/>
      </c>
      <c r="X195" s="47">
        <f>Q195-W195</f>
        <v/>
      </c>
      <c r="Y195" s="47">
        <f>R195-W195</f>
        <v/>
      </c>
      <c r="Z195" s="47">
        <f>MAX(Q195,R195)-W195</f>
        <v/>
      </c>
      <c r="AA195" s="47" t="n">
        <v>0</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IF(R196&gt;=W196,"Likely visible","Weak")</f>
        <v/>
      </c>
      <c r="W196" s="47">
        <f>Subsurface_Inputs!$C$43</f>
        <v/>
      </c>
      <c r="X196" s="47">
        <f>Q196-W196</f>
        <v/>
      </c>
      <c r="Y196" s="47">
        <f>R196-W196</f>
        <v/>
      </c>
      <c r="Z196" s="47">
        <f>MAX(Q196,R196)-W196</f>
        <v/>
      </c>
      <c r="AA196" s="47" t="n">
        <v>0</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IF(R197&gt;=W197,"Likely visible","Weak")</f>
        <v/>
      </c>
      <c r="W197" s="47">
        <f>Subsurface_Inputs!$C$43</f>
        <v/>
      </c>
      <c r="X197" s="47">
        <f>Q197-W197</f>
        <v/>
      </c>
      <c r="Y197" s="47">
        <f>R197-W197</f>
        <v/>
      </c>
      <c r="Z197" s="47">
        <f>MAX(Q197,R197)-W197</f>
        <v/>
      </c>
      <c r="AA197" s="47" t="n">
        <v>0</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IF(R198&gt;=W198,"Likely visible","Weak")</f>
        <v/>
      </c>
      <c r="W198" s="47">
        <f>Subsurface_Inputs!$C$43</f>
        <v/>
      </c>
      <c r="X198" s="47">
        <f>Q198-W198</f>
        <v/>
      </c>
      <c r="Y198" s="47">
        <f>R198-W198</f>
        <v/>
      </c>
      <c r="Z198" s="47">
        <f>MAX(Q198,R198)-W198</f>
        <v/>
      </c>
      <c r="AA198" s="47" t="n">
        <v>0</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IF(R199&gt;=W199,"Likely visible","Weak")</f>
        <v/>
      </c>
      <c r="W199" s="47">
        <f>Subsurface_Inputs!$C$43</f>
        <v/>
      </c>
      <c r="X199" s="47">
        <f>Q199-W199</f>
        <v/>
      </c>
      <c r="Y199" s="47">
        <f>R199-W199</f>
        <v/>
      </c>
      <c r="Z199" s="47">
        <f>MAX(Q199,R199)-W199</f>
        <v/>
      </c>
      <c r="AA199" s="47" t="n">
        <v>0</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IF(R200&gt;=W200,"Likely visible","Weak")</f>
        <v/>
      </c>
      <c r="W200" s="47">
        <f>Subsurface_Inputs!$C$43</f>
        <v/>
      </c>
      <c r="X200" s="47">
        <f>Q200-W200</f>
        <v/>
      </c>
      <c r="Y200" s="47">
        <f>R200-W200</f>
        <v/>
      </c>
      <c r="Z200" s="47">
        <f>MAX(Q200,R200)-W200</f>
        <v/>
      </c>
      <c r="AA200" s="47" t="n">
        <v>0</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IF(R201&gt;=W201,"Likely visible","Weak")</f>
        <v/>
      </c>
      <c r="W201" s="47">
        <f>Subsurface_Inputs!$C$43</f>
        <v/>
      </c>
      <c r="X201" s="47">
        <f>Q201-W201</f>
        <v/>
      </c>
      <c r="Y201" s="47">
        <f>R201-W201</f>
        <v/>
      </c>
      <c r="Z201" s="47">
        <f>MAX(Q201,R201)-W201</f>
        <v/>
      </c>
      <c r="AA201" s="47" t="n">
        <v>0</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IF(R202&gt;=W202,"Likely visible","Weak")</f>
        <v/>
      </c>
      <c r="W202" s="47">
        <f>Subsurface_Inputs!$C$43</f>
        <v/>
      </c>
      <c r="X202" s="47">
        <f>Q202-W202</f>
        <v/>
      </c>
      <c r="Y202" s="47">
        <f>R202-W202</f>
        <v/>
      </c>
      <c r="Z202" s="47">
        <f>MAX(Q202,R202)-W202</f>
        <v/>
      </c>
      <c r="AA202" s="47" t="n">
        <v>0</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IF(R203&gt;=W203,"Likely visible","Weak")</f>
        <v/>
      </c>
      <c r="W203" s="47">
        <f>Subsurface_Inputs!$C$43</f>
        <v/>
      </c>
      <c r="X203" s="47">
        <f>Q203-W203</f>
        <v/>
      </c>
      <c r="Y203" s="47">
        <f>R203-W203</f>
        <v/>
      </c>
      <c r="Z203" s="47">
        <f>MAX(Q203,R203)-W203</f>
        <v/>
      </c>
      <c r="AA203" s="47" t="n">
        <v>0</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IF(R204&gt;=W204,"Likely visible","Weak")</f>
        <v/>
      </c>
      <c r="W204" s="47">
        <f>Subsurface_Inputs!$C$43</f>
        <v/>
      </c>
      <c r="X204" s="47">
        <f>Q204-W204</f>
        <v/>
      </c>
      <c r="Y204" s="47">
        <f>R204-W204</f>
        <v/>
      </c>
      <c r="Z204" s="47">
        <f>MAX(Q204,R204)-W204</f>
        <v/>
      </c>
      <c r="AA204" s="47" t="n">
        <v>0</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IF(R205&gt;=W205,"Likely visible","Weak")</f>
        <v/>
      </c>
      <c r="W205" s="47">
        <f>Subsurface_Inputs!$C$43</f>
        <v/>
      </c>
      <c r="X205" s="47">
        <f>Q205-W205</f>
        <v/>
      </c>
      <c r="Y205" s="47">
        <f>R205-W205</f>
        <v/>
      </c>
      <c r="Z205" s="47">
        <f>MAX(Q205,R205)-W205</f>
        <v/>
      </c>
      <c r="AA205" s="47" t="n">
        <v>0</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IF(R206&gt;=W206,"Likely visible","Weak")</f>
        <v/>
      </c>
      <c r="W206" s="47">
        <f>Subsurface_Inputs!$C$43</f>
        <v/>
      </c>
      <c r="X206" s="47">
        <f>Q206-W206</f>
        <v/>
      </c>
      <c r="Y206" s="47">
        <f>R206-W206</f>
        <v/>
      </c>
      <c r="Z206" s="47">
        <f>MAX(Q206,R206)-W206</f>
        <v/>
      </c>
      <c r="AA206" s="47" t="n">
        <v>0</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IF(R207&gt;=W207,"Likely visible","Weak")</f>
        <v/>
      </c>
      <c r="W207" s="47">
        <f>Subsurface_Inputs!$C$43</f>
        <v/>
      </c>
      <c r="X207" s="47">
        <f>Q207-W207</f>
        <v/>
      </c>
      <c r="Y207" s="47">
        <f>R207-W207</f>
        <v/>
      </c>
      <c r="Z207" s="47">
        <f>MAX(Q207,R207)-W207</f>
        <v/>
      </c>
      <c r="AA207" s="47" t="n">
        <v>0</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IF(R208&gt;=W208,"Likely visible","Weak")</f>
        <v/>
      </c>
      <c r="W208" s="47">
        <f>Subsurface_Inputs!$C$43</f>
        <v/>
      </c>
      <c r="X208" s="47">
        <f>Q208-W208</f>
        <v/>
      </c>
      <c r="Y208" s="47">
        <f>R208-W208</f>
        <v/>
      </c>
      <c r="Z208" s="47">
        <f>MAX(Q208,R208)-W208</f>
        <v/>
      </c>
      <c r="AA208" s="47" t="n">
        <v>0</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IF(R209&gt;=W209,"Likely visible","Weak")</f>
        <v/>
      </c>
      <c r="W209" s="47">
        <f>Subsurface_Inputs!$C$43</f>
        <v/>
      </c>
      <c r="X209" s="47">
        <f>Q209-W209</f>
        <v/>
      </c>
      <c r="Y209" s="47">
        <f>R209-W209</f>
        <v/>
      </c>
      <c r="Z209" s="47">
        <f>MAX(Q209,R209)-W209</f>
        <v/>
      </c>
      <c r="AA209" s="47" t="n">
        <v>0</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IF(R210&gt;=W210,"Likely visible","Weak")</f>
        <v/>
      </c>
      <c r="W210" s="47">
        <f>Subsurface_Inputs!$C$43</f>
        <v/>
      </c>
      <c r="X210" s="47">
        <f>Q210-W210</f>
        <v/>
      </c>
      <c r="Y210" s="47">
        <f>R210-W210</f>
        <v/>
      </c>
      <c r="Z210" s="47">
        <f>MAX(Q210,R210)-W210</f>
        <v/>
      </c>
      <c r="AA210" s="47" t="n">
        <v>0</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IF(R211&gt;=W211,"Likely visible","Weak")</f>
        <v/>
      </c>
      <c r="W211" s="47">
        <f>Subsurface_Inputs!$C$43</f>
        <v/>
      </c>
      <c r="X211" s="47">
        <f>Q211-W211</f>
        <v/>
      </c>
      <c r="Y211" s="47">
        <f>R211-W211</f>
        <v/>
      </c>
      <c r="Z211" s="47">
        <f>MAX(Q211,R211)-W211</f>
        <v/>
      </c>
      <c r="AA211" s="47" t="n">
        <v>0</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IF(R212&gt;=W212,"Likely visible","Weak")</f>
        <v/>
      </c>
      <c r="W212" s="47">
        <f>Subsurface_Inputs!$C$43</f>
        <v/>
      </c>
      <c r="X212" s="47">
        <f>Q212-W212</f>
        <v/>
      </c>
      <c r="Y212" s="47">
        <f>R212-W212</f>
        <v/>
      </c>
      <c r="Z212" s="47">
        <f>MAX(Q212,R212)-W212</f>
        <v/>
      </c>
      <c r="AA212" s="47" t="n">
        <v>0</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IF(R213&gt;=W213,"Likely visible","Weak")</f>
        <v/>
      </c>
      <c r="W213" s="47">
        <f>Subsurface_Inputs!$C$43</f>
        <v/>
      </c>
      <c r="X213" s="47">
        <f>Q213-W213</f>
        <v/>
      </c>
      <c r="Y213" s="47">
        <f>R213-W213</f>
        <v/>
      </c>
      <c r="Z213" s="47">
        <f>MAX(Q213,R213)-W213</f>
        <v/>
      </c>
      <c r="AA213" s="47" t="n">
        <v>0</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IF(R214&gt;=W214,"Likely visible","Weak")</f>
        <v/>
      </c>
      <c r="W214" s="47">
        <f>Subsurface_Inputs!$C$43</f>
        <v/>
      </c>
      <c r="X214" s="47">
        <f>Q214-W214</f>
        <v/>
      </c>
      <c r="Y214" s="47">
        <f>R214-W214</f>
        <v/>
      </c>
      <c r="Z214" s="47">
        <f>MAX(Q214,R214)-W214</f>
        <v/>
      </c>
      <c r="AA214" s="47" t="n">
        <v>0</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IF(R215&gt;=W215,"Likely visible","Weak")</f>
        <v/>
      </c>
      <c r="W215" s="47">
        <f>Subsurface_Inputs!$C$43</f>
        <v/>
      </c>
      <c r="X215" s="47">
        <f>Q215-W215</f>
        <v/>
      </c>
      <c r="Y215" s="47">
        <f>R215-W215</f>
        <v/>
      </c>
      <c r="Z215" s="47">
        <f>MAX(Q215,R215)-W215</f>
        <v/>
      </c>
      <c r="AA215" s="47" t="n">
        <v>0</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IF(R216&gt;=W216,"Likely visible","Weak")</f>
        <v/>
      </c>
      <c r="W216" s="47">
        <f>Subsurface_Inputs!$C$43</f>
        <v/>
      </c>
      <c r="X216" s="47">
        <f>Q216-W216</f>
        <v/>
      </c>
      <c r="Y216" s="47">
        <f>R216-W216</f>
        <v/>
      </c>
      <c r="Z216" s="47">
        <f>MAX(Q216,R216)-W216</f>
        <v/>
      </c>
      <c r="AA216" s="47" t="n">
        <v>0</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IF(R217&gt;=W217,"Likely visible","Weak")</f>
        <v/>
      </c>
      <c r="W217" s="47">
        <f>Subsurface_Inputs!$C$43</f>
        <v/>
      </c>
      <c r="X217" s="47">
        <f>Q217-W217</f>
        <v/>
      </c>
      <c r="Y217" s="47">
        <f>R217-W217</f>
        <v/>
      </c>
      <c r="Z217" s="47">
        <f>MAX(Q217,R217)-W217</f>
        <v/>
      </c>
      <c r="AA217" s="47" t="n">
        <v>0</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IF(R218&gt;=W218,"Likely visible","Weak")</f>
        <v/>
      </c>
      <c r="W218" s="47">
        <f>Subsurface_Inputs!$C$43</f>
        <v/>
      </c>
      <c r="X218" s="47">
        <f>Q218-W218</f>
        <v/>
      </c>
      <c r="Y218" s="47">
        <f>R218-W218</f>
        <v/>
      </c>
      <c r="Z218" s="47">
        <f>MAX(Q218,R218)-W218</f>
        <v/>
      </c>
      <c r="AA218" s="47" t="n">
        <v>0</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IF(R219&gt;=W219,"Likely visible","Weak")</f>
        <v/>
      </c>
      <c r="W219" s="47">
        <f>Subsurface_Inputs!$C$43</f>
        <v/>
      </c>
      <c r="X219" s="47">
        <f>Q219-W219</f>
        <v/>
      </c>
      <c r="Y219" s="47">
        <f>R219-W219</f>
        <v/>
      </c>
      <c r="Z219" s="47">
        <f>MAX(Q219,R219)-W219</f>
        <v/>
      </c>
      <c r="AA219" s="47" t="n">
        <v>0</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IF(R220&gt;=W220,"Likely visible","Weak")</f>
        <v/>
      </c>
      <c r="W220" s="47">
        <f>Subsurface_Inputs!$C$43</f>
        <v/>
      </c>
      <c r="X220" s="47">
        <f>Q220-W220</f>
        <v/>
      </c>
      <c r="Y220" s="47">
        <f>R220-W220</f>
        <v/>
      </c>
      <c r="Z220" s="47">
        <f>MAX(Q220,R220)-W220</f>
        <v/>
      </c>
      <c r="AA220" s="47" t="n">
        <v>0</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IF(R221&gt;=W221,"Likely visible","Weak")</f>
        <v/>
      </c>
      <c r="W221" s="47">
        <f>Subsurface_Inputs!$C$43</f>
        <v/>
      </c>
      <c r="X221" s="47">
        <f>Q221-W221</f>
        <v/>
      </c>
      <c r="Y221" s="47">
        <f>R221-W221</f>
        <v/>
      </c>
      <c r="Z221" s="47">
        <f>MAX(Q221,R221)-W221</f>
        <v/>
      </c>
      <c r="AA221" s="47" t="n">
        <v>0</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IF(R222&gt;=W222,"Likely visible","Weak")</f>
        <v/>
      </c>
      <c r="W222" s="47">
        <f>Subsurface_Inputs!$C$43</f>
        <v/>
      </c>
      <c r="X222" s="47">
        <f>Q222-W222</f>
        <v/>
      </c>
      <c r="Y222" s="47">
        <f>R222-W222</f>
        <v/>
      </c>
      <c r="Z222" s="47">
        <f>MAX(Q222,R222)-W222</f>
        <v/>
      </c>
      <c r="AA222" s="47" t="n">
        <v>0</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IF(R223&gt;=W223,"Likely visible","Weak")</f>
        <v/>
      </c>
      <c r="W223" s="47">
        <f>Subsurface_Inputs!$C$43</f>
        <v/>
      </c>
      <c r="X223" s="47">
        <f>Q223-W223</f>
        <v/>
      </c>
      <c r="Y223" s="47">
        <f>R223-W223</f>
        <v/>
      </c>
      <c r="Z223" s="47">
        <f>MAX(Q223,R223)-W223</f>
        <v/>
      </c>
      <c r="AA223" s="47" t="n">
        <v>0</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IF(R224&gt;=W224,"Likely visible","Weak")</f>
        <v/>
      </c>
      <c r="W224" s="47">
        <f>Subsurface_Inputs!$C$43</f>
        <v/>
      </c>
      <c r="X224" s="47">
        <f>Q224-W224</f>
        <v/>
      </c>
      <c r="Y224" s="47">
        <f>R224-W224</f>
        <v/>
      </c>
      <c r="Z224" s="47">
        <f>MAX(Q224,R224)-W224</f>
        <v/>
      </c>
      <c r="AA224" s="47" t="n">
        <v>0</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IF(R225&gt;=W225,"Likely visible","Weak")</f>
        <v/>
      </c>
      <c r="W225" s="47">
        <f>Subsurface_Inputs!$C$43</f>
        <v/>
      </c>
      <c r="X225" s="47">
        <f>Q225-W225</f>
        <v/>
      </c>
      <c r="Y225" s="47">
        <f>R225-W225</f>
        <v/>
      </c>
      <c r="Z225" s="47">
        <f>MAX(Q225,R225)-W225</f>
        <v/>
      </c>
      <c r="AA225" s="47" t="n">
        <v>0</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IF(R226&gt;=W226,"Likely visible","Weak")</f>
        <v/>
      </c>
      <c r="W226" s="47">
        <f>Subsurface_Inputs!$C$43</f>
        <v/>
      </c>
      <c r="X226" s="47">
        <f>Q226-W226</f>
        <v/>
      </c>
      <c r="Y226" s="47">
        <f>R226-W226</f>
        <v/>
      </c>
      <c r="Z226" s="47">
        <f>MAX(Q226,R226)-W226</f>
        <v/>
      </c>
      <c r="AA226" s="47" t="n">
        <v>0</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IF(R227&gt;=W227,"Likely visible","Weak")</f>
        <v/>
      </c>
      <c r="W227" s="47">
        <f>Subsurface_Inputs!$C$43</f>
        <v/>
      </c>
      <c r="X227" s="47">
        <f>Q227-W227</f>
        <v/>
      </c>
      <c r="Y227" s="47">
        <f>R227-W227</f>
        <v/>
      </c>
      <c r="Z227" s="47">
        <f>MAX(Q227,R227)-W227</f>
        <v/>
      </c>
      <c r="AA227" s="47" t="n">
        <v>0</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IF(R228&gt;=W228,"Likely visible","Weak")</f>
        <v/>
      </c>
      <c r="W228" s="47">
        <f>Subsurface_Inputs!$C$43</f>
        <v/>
      </c>
      <c r="X228" s="47">
        <f>Q228-W228</f>
        <v/>
      </c>
      <c r="Y228" s="47">
        <f>R228-W228</f>
        <v/>
      </c>
      <c r="Z228" s="47">
        <f>MAX(Q228,R228)-W228</f>
        <v/>
      </c>
      <c r="AA228" s="47" t="n">
        <v>0</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IF(R229&gt;=W229,"Likely visible","Weak")</f>
        <v/>
      </c>
      <c r="W229" s="47">
        <f>Subsurface_Inputs!$C$43</f>
        <v/>
      </c>
      <c r="X229" s="47">
        <f>Q229-W229</f>
        <v/>
      </c>
      <c r="Y229" s="47">
        <f>R229-W229</f>
        <v/>
      </c>
      <c r="Z229" s="47">
        <f>MAX(Q229,R229)-W229</f>
        <v/>
      </c>
      <c r="AA229" s="47" t="n">
        <v>0</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IF(R230&gt;=W230,"Likely visible","Weak")</f>
        <v/>
      </c>
      <c r="W230" s="47">
        <f>Subsurface_Inputs!$C$43</f>
        <v/>
      </c>
      <c r="X230" s="47">
        <f>Q230-W230</f>
        <v/>
      </c>
      <c r="Y230" s="47">
        <f>R230-W230</f>
        <v/>
      </c>
      <c r="Z230" s="47">
        <f>MAX(Q230,R230)-W230</f>
        <v/>
      </c>
      <c r="AA230" s="47" t="n">
        <v>0</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IF(R231&gt;=W231,"Likely visible","Weak")</f>
        <v/>
      </c>
      <c r="W231" s="47">
        <f>Subsurface_Inputs!$C$43</f>
        <v/>
      </c>
      <c r="X231" s="47">
        <f>Q231-W231</f>
        <v/>
      </c>
      <c r="Y231" s="47">
        <f>R231-W231</f>
        <v/>
      </c>
      <c r="Z231" s="47">
        <f>MAX(Q231,R231)-W231</f>
        <v/>
      </c>
      <c r="AA231" s="47" t="n">
        <v>0</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IF(R232&gt;=W232,"Likely visible","Weak")</f>
        <v/>
      </c>
      <c r="W232" s="47">
        <f>Subsurface_Inputs!$C$43</f>
        <v/>
      </c>
      <c r="X232" s="47">
        <f>Q232-W232</f>
        <v/>
      </c>
      <c r="Y232" s="47">
        <f>R232-W232</f>
        <v/>
      </c>
      <c r="Z232" s="47">
        <f>MAX(Q232,R232)-W232</f>
        <v/>
      </c>
      <c r="AA232" s="47" t="n">
        <v>0</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IF(R233&gt;=W233,"Likely visible","Weak")</f>
        <v/>
      </c>
      <c r="W233" s="47">
        <f>Subsurface_Inputs!$C$43</f>
        <v/>
      </c>
      <c r="X233" s="47">
        <f>Q233-W233</f>
        <v/>
      </c>
      <c r="Y233" s="47">
        <f>R233-W233</f>
        <v/>
      </c>
      <c r="Z233" s="47">
        <f>MAX(Q233,R233)-W233</f>
        <v/>
      </c>
      <c r="AA233" s="47" t="n">
        <v>0</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IF(R234&gt;=W234,"Likely visible","Weak")</f>
        <v/>
      </c>
      <c r="W234" s="47">
        <f>Subsurface_Inputs!$C$43</f>
        <v/>
      </c>
      <c r="X234" s="47">
        <f>Q234-W234</f>
        <v/>
      </c>
      <c r="Y234" s="47">
        <f>R234-W234</f>
        <v/>
      </c>
      <c r="Z234" s="47">
        <f>MAX(Q234,R234)-W234</f>
        <v/>
      </c>
      <c r="AA234" s="47" t="n">
        <v>0</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IF(R235&gt;=W235,"Likely visible","Weak")</f>
        <v/>
      </c>
      <c r="W235" s="47">
        <f>Subsurface_Inputs!$C$43</f>
        <v/>
      </c>
      <c r="X235" s="47">
        <f>Q235-W235</f>
        <v/>
      </c>
      <c r="Y235" s="47">
        <f>R235-W235</f>
        <v/>
      </c>
      <c r="Z235" s="47">
        <f>MAX(Q235,R235)-W235</f>
        <v/>
      </c>
      <c r="AA235" s="47" t="n">
        <v>0</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IF(R236&gt;=W236,"Likely visible","Weak")</f>
        <v/>
      </c>
      <c r="W236" s="47">
        <f>Subsurface_Inputs!$C$43</f>
        <v/>
      </c>
      <c r="X236" s="47">
        <f>Q236-W236</f>
        <v/>
      </c>
      <c r="Y236" s="47">
        <f>R236-W236</f>
        <v/>
      </c>
      <c r="Z236" s="47">
        <f>MAX(Q236,R236)-W236</f>
        <v/>
      </c>
      <c r="AA236" s="47" t="n">
        <v>0</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IF(R237&gt;=W237,"Likely visible","Weak")</f>
        <v/>
      </c>
      <c r="W237" s="47">
        <f>Subsurface_Inputs!$C$43</f>
        <v/>
      </c>
      <c r="X237" s="47">
        <f>Q237-W237</f>
        <v/>
      </c>
      <c r="Y237" s="47">
        <f>R237-W237</f>
        <v/>
      </c>
      <c r="Z237" s="47">
        <f>MAX(Q237,R237)-W237</f>
        <v/>
      </c>
      <c r="AA237" s="47" t="n">
        <v>0</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IF(R238&gt;=W238,"Likely visible","Weak")</f>
        <v/>
      </c>
      <c r="W238" s="47">
        <f>Subsurface_Inputs!$C$43</f>
        <v/>
      </c>
      <c r="X238" s="47">
        <f>Q238-W238</f>
        <v/>
      </c>
      <c r="Y238" s="47">
        <f>R238-W238</f>
        <v/>
      </c>
      <c r="Z238" s="47">
        <f>MAX(Q238,R238)-W238</f>
        <v/>
      </c>
      <c r="AA238" s="47" t="n">
        <v>0</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IF(R239&gt;=W239,"Likely visible","Weak")</f>
        <v/>
      </c>
      <c r="W239" s="47">
        <f>Subsurface_Inputs!$C$43</f>
        <v/>
      </c>
      <c r="X239" s="47">
        <f>Q239-W239</f>
        <v/>
      </c>
      <c r="Y239" s="47">
        <f>R239-W239</f>
        <v/>
      </c>
      <c r="Z239" s="47">
        <f>MAX(Q239,R239)-W239</f>
        <v/>
      </c>
      <c r="AA239" s="47" t="n">
        <v>0</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IF(R240&gt;=W240,"Likely visible","Weak")</f>
        <v/>
      </c>
      <c r="W240" s="47">
        <f>Subsurface_Inputs!$C$43</f>
        <v/>
      </c>
      <c r="X240" s="47">
        <f>Q240-W240</f>
        <v/>
      </c>
      <c r="Y240" s="47">
        <f>R240-W240</f>
        <v/>
      </c>
      <c r="Z240" s="47">
        <f>MAX(Q240,R240)-W240</f>
        <v/>
      </c>
      <c r="AA240" s="47" t="n">
        <v>0</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IF(R241&gt;=W241,"Likely visible","Weak")</f>
        <v/>
      </c>
      <c r="W241" s="47">
        <f>Subsurface_Inputs!$C$43</f>
        <v/>
      </c>
      <c r="X241" s="47">
        <f>Q241-W241</f>
        <v/>
      </c>
      <c r="Y241" s="47">
        <f>R241-W241</f>
        <v/>
      </c>
      <c r="Z241" s="47">
        <f>MAX(Q241,R241)-W241</f>
        <v/>
      </c>
      <c r="AA241" s="47" t="n">
        <v>0</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IF(R242&gt;=W242,"Likely visible","Weak")</f>
        <v/>
      </c>
      <c r="W242" s="47">
        <f>Subsurface_Inputs!$C$43</f>
        <v/>
      </c>
      <c r="X242" s="47">
        <f>Q242-W242</f>
        <v/>
      </c>
      <c r="Y242" s="47">
        <f>R242-W242</f>
        <v/>
      </c>
      <c r="Z242" s="47">
        <f>MAX(Q242,R242)-W242</f>
        <v/>
      </c>
      <c r="AA242" s="47" t="n">
        <v>0</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46" t="inlineStr">
        <is>
          <t>x_km</t>
        </is>
      </c>
      <c r="B1" s="46" t="inlineStr">
        <is>
          <t>mean_boundary_depth_m</t>
        </is>
      </c>
      <c r="C1" s="46" t="inlineStr">
        <is>
          <t>boundary_low_m</t>
        </is>
      </c>
      <c r="D1" s="46" t="inlineStr">
        <is>
          <t>boundary_high_m</t>
        </is>
      </c>
      <c r="E1" s="46" t="inlineStr">
        <is>
          <t>thin_shell_depth_m</t>
        </is>
      </c>
      <c r="F1" s="46" t="inlineStr">
        <is>
          <t>medium_shell_depth_m</t>
        </is>
      </c>
      <c r="G1" s="46" t="inlineStr">
        <is>
          <t>thick_shell_depth_m</t>
        </is>
      </c>
      <c r="H1" s="46" t="inlineStr">
        <is>
          <t>ocean_model_margin_db</t>
        </is>
      </c>
      <c r="I1" s="46" t="inlineStr">
        <is>
          <t>no_ocean_control_margin_db</t>
        </is>
      </c>
      <c r="J1" s="46" t="inlineStr">
        <is>
          <t>zero_margin_reference</t>
        </is>
      </c>
    </row>
    <row r="2">
      <c r="A2" s="50">
        <f>Subsurface_Live_Data!A2</f>
        <v/>
      </c>
      <c r="B2" s="50">
        <f>Subsurface_Live_Data!K2</f>
        <v/>
      </c>
      <c r="C2" s="50">
        <f>MAX(0,B2-Subsurface_Inputs!$C$44)</f>
        <v/>
      </c>
      <c r="D2" s="50">
        <f>B2+Subsurface_Inputs!$C$44</f>
        <v/>
      </c>
      <c r="E2" s="50">
        <f>B2*Subsurface_Inputs!$C$45</f>
        <v/>
      </c>
      <c r="F2" s="50">
        <f>B2</f>
        <v/>
      </c>
      <c r="G2" s="50">
        <f>B2*Subsurface_Inputs!$C$46</f>
        <v/>
      </c>
      <c r="H2" s="50">
        <f>Subsurface_Live_Data!Y2</f>
        <v/>
      </c>
      <c r="I2" s="50">
        <f>Subsurface_Inputs!$C$47-Subsurface_Inputs!$C$43+2*SIN(2*PI()*A2/42)</f>
        <v/>
      </c>
      <c r="J2" s="50" t="n">
        <v>0</v>
      </c>
    </row>
    <row r="3">
      <c r="A3" s="50">
        <f>Subsurface_Live_Data!A3</f>
        <v/>
      </c>
      <c r="B3" s="50">
        <f>Subsurface_Live_Data!K3</f>
        <v/>
      </c>
      <c r="C3" s="50">
        <f>MAX(0,B3-Subsurface_Inputs!$C$44)</f>
        <v/>
      </c>
      <c r="D3" s="50">
        <f>B3+Subsurface_Inputs!$C$44</f>
        <v/>
      </c>
      <c r="E3" s="50">
        <f>B3*Subsurface_Inputs!$C$45</f>
        <v/>
      </c>
      <c r="F3" s="50">
        <f>B3</f>
        <v/>
      </c>
      <c r="G3" s="50">
        <f>B3*Subsurface_Inputs!$C$46</f>
        <v/>
      </c>
      <c r="H3" s="50">
        <f>Subsurface_Live_Data!Y3</f>
        <v/>
      </c>
      <c r="I3" s="50">
        <f>Subsurface_Inputs!$C$47-Subsurface_Inputs!$C$43+2*SIN(2*PI()*A3/42)</f>
        <v/>
      </c>
      <c r="J3" s="50" t="n">
        <v>0</v>
      </c>
    </row>
    <row r="4">
      <c r="A4" s="50">
        <f>Subsurface_Live_Data!A4</f>
        <v/>
      </c>
      <c r="B4" s="50">
        <f>Subsurface_Live_Data!K4</f>
        <v/>
      </c>
      <c r="C4" s="50">
        <f>MAX(0,B4-Subsurface_Inputs!$C$44)</f>
        <v/>
      </c>
      <c r="D4" s="50">
        <f>B4+Subsurface_Inputs!$C$44</f>
        <v/>
      </c>
      <c r="E4" s="50">
        <f>B4*Subsurface_Inputs!$C$45</f>
        <v/>
      </c>
      <c r="F4" s="50">
        <f>B4</f>
        <v/>
      </c>
      <c r="G4" s="50">
        <f>B4*Subsurface_Inputs!$C$46</f>
        <v/>
      </c>
      <c r="H4" s="50">
        <f>Subsurface_Live_Data!Y4</f>
        <v/>
      </c>
      <c r="I4" s="50">
        <f>Subsurface_Inputs!$C$47-Subsurface_Inputs!$C$43+2*SIN(2*PI()*A4/42)</f>
        <v/>
      </c>
      <c r="J4" s="50" t="n">
        <v>0</v>
      </c>
    </row>
    <row r="5">
      <c r="A5" s="50">
        <f>Subsurface_Live_Data!A5</f>
        <v/>
      </c>
      <c r="B5" s="50">
        <f>Subsurface_Live_Data!K5</f>
        <v/>
      </c>
      <c r="C5" s="50">
        <f>MAX(0,B5-Subsurface_Inputs!$C$44)</f>
        <v/>
      </c>
      <c r="D5" s="50">
        <f>B5+Subsurface_Inputs!$C$44</f>
        <v/>
      </c>
      <c r="E5" s="50">
        <f>B5*Subsurface_Inputs!$C$45</f>
        <v/>
      </c>
      <c r="F5" s="50">
        <f>B5</f>
        <v/>
      </c>
      <c r="G5" s="50">
        <f>B5*Subsurface_Inputs!$C$46</f>
        <v/>
      </c>
      <c r="H5" s="50">
        <f>Subsurface_Live_Data!Y5</f>
        <v/>
      </c>
      <c r="I5" s="50">
        <f>Subsurface_Inputs!$C$47-Subsurface_Inputs!$C$43+2*SIN(2*PI()*A5/42)</f>
        <v/>
      </c>
      <c r="J5" s="50" t="n">
        <v>0</v>
      </c>
    </row>
    <row r="6">
      <c r="A6" s="50">
        <f>Subsurface_Live_Data!A6</f>
        <v/>
      </c>
      <c r="B6" s="50">
        <f>Subsurface_Live_Data!K6</f>
        <v/>
      </c>
      <c r="C6" s="50">
        <f>MAX(0,B6-Subsurface_Inputs!$C$44)</f>
        <v/>
      </c>
      <c r="D6" s="50">
        <f>B6+Subsurface_Inputs!$C$44</f>
        <v/>
      </c>
      <c r="E6" s="50">
        <f>B6*Subsurface_Inputs!$C$45</f>
        <v/>
      </c>
      <c r="F6" s="50">
        <f>B6</f>
        <v/>
      </c>
      <c r="G6" s="50">
        <f>B6*Subsurface_Inputs!$C$46</f>
        <v/>
      </c>
      <c r="H6" s="50">
        <f>Subsurface_Live_Data!Y6</f>
        <v/>
      </c>
      <c r="I6" s="50">
        <f>Subsurface_Inputs!$C$47-Subsurface_Inputs!$C$43+2*SIN(2*PI()*A6/42)</f>
        <v/>
      </c>
      <c r="J6" s="50" t="n">
        <v>0</v>
      </c>
    </row>
    <row r="7">
      <c r="A7" s="50">
        <f>Subsurface_Live_Data!A7</f>
        <v/>
      </c>
      <c r="B7" s="50">
        <f>Subsurface_Live_Data!K7</f>
        <v/>
      </c>
      <c r="C7" s="50">
        <f>MAX(0,B7-Subsurface_Inputs!$C$44)</f>
        <v/>
      </c>
      <c r="D7" s="50">
        <f>B7+Subsurface_Inputs!$C$44</f>
        <v/>
      </c>
      <c r="E7" s="50">
        <f>B7*Subsurface_Inputs!$C$45</f>
        <v/>
      </c>
      <c r="F7" s="50">
        <f>B7</f>
        <v/>
      </c>
      <c r="G7" s="50">
        <f>B7*Subsurface_Inputs!$C$46</f>
        <v/>
      </c>
      <c r="H7" s="50">
        <f>Subsurface_Live_Data!Y7</f>
        <v/>
      </c>
      <c r="I7" s="50">
        <f>Subsurface_Inputs!$C$47-Subsurface_Inputs!$C$43+2*SIN(2*PI()*A7/42)</f>
        <v/>
      </c>
      <c r="J7" s="50" t="n">
        <v>0</v>
      </c>
    </row>
    <row r="8">
      <c r="A8" s="50">
        <f>Subsurface_Live_Data!A8</f>
        <v/>
      </c>
      <c r="B8" s="50">
        <f>Subsurface_Live_Data!K8</f>
        <v/>
      </c>
      <c r="C8" s="50">
        <f>MAX(0,B8-Subsurface_Inputs!$C$44)</f>
        <v/>
      </c>
      <c r="D8" s="50">
        <f>B8+Subsurface_Inputs!$C$44</f>
        <v/>
      </c>
      <c r="E8" s="50">
        <f>B8*Subsurface_Inputs!$C$45</f>
        <v/>
      </c>
      <c r="F8" s="50">
        <f>B8</f>
        <v/>
      </c>
      <c r="G8" s="50">
        <f>B8*Subsurface_Inputs!$C$46</f>
        <v/>
      </c>
      <c r="H8" s="50">
        <f>Subsurface_Live_Data!Y8</f>
        <v/>
      </c>
      <c r="I8" s="50">
        <f>Subsurface_Inputs!$C$47-Subsurface_Inputs!$C$43+2*SIN(2*PI()*A8/42)</f>
        <v/>
      </c>
      <c r="J8" s="50" t="n">
        <v>0</v>
      </c>
    </row>
    <row r="9">
      <c r="A9" s="50">
        <f>Subsurface_Live_Data!A9</f>
        <v/>
      </c>
      <c r="B9" s="50">
        <f>Subsurface_Live_Data!K9</f>
        <v/>
      </c>
      <c r="C9" s="50">
        <f>MAX(0,B9-Subsurface_Inputs!$C$44)</f>
        <v/>
      </c>
      <c r="D9" s="50">
        <f>B9+Subsurface_Inputs!$C$44</f>
        <v/>
      </c>
      <c r="E9" s="50">
        <f>B9*Subsurface_Inputs!$C$45</f>
        <v/>
      </c>
      <c r="F9" s="50">
        <f>B9</f>
        <v/>
      </c>
      <c r="G9" s="50">
        <f>B9*Subsurface_Inputs!$C$46</f>
        <v/>
      </c>
      <c r="H9" s="50">
        <f>Subsurface_Live_Data!Y9</f>
        <v/>
      </c>
      <c r="I9" s="50">
        <f>Subsurface_Inputs!$C$47-Subsurface_Inputs!$C$43+2*SIN(2*PI()*A9/42)</f>
        <v/>
      </c>
      <c r="J9" s="50" t="n">
        <v>0</v>
      </c>
    </row>
    <row r="10">
      <c r="A10" s="50">
        <f>Subsurface_Live_Data!A10</f>
        <v/>
      </c>
      <c r="B10" s="50">
        <f>Subsurface_Live_Data!K10</f>
        <v/>
      </c>
      <c r="C10" s="50">
        <f>MAX(0,B10-Subsurface_Inputs!$C$44)</f>
        <v/>
      </c>
      <c r="D10" s="50">
        <f>B10+Subsurface_Inputs!$C$44</f>
        <v/>
      </c>
      <c r="E10" s="50">
        <f>B10*Subsurface_Inputs!$C$45</f>
        <v/>
      </c>
      <c r="F10" s="50">
        <f>B10</f>
        <v/>
      </c>
      <c r="G10" s="50">
        <f>B10*Subsurface_Inputs!$C$46</f>
        <v/>
      </c>
      <c r="H10" s="50">
        <f>Subsurface_Live_Data!Y10</f>
        <v/>
      </c>
      <c r="I10" s="50">
        <f>Subsurface_Inputs!$C$47-Subsurface_Inputs!$C$43+2*SIN(2*PI()*A10/42)</f>
        <v/>
      </c>
      <c r="J10" s="50" t="n">
        <v>0</v>
      </c>
    </row>
    <row r="11">
      <c r="A11" s="50">
        <f>Subsurface_Live_Data!A11</f>
        <v/>
      </c>
      <c r="B11" s="50">
        <f>Subsurface_Live_Data!K11</f>
        <v/>
      </c>
      <c r="C11" s="50">
        <f>MAX(0,B11-Subsurface_Inputs!$C$44)</f>
        <v/>
      </c>
      <c r="D11" s="50">
        <f>B11+Subsurface_Inputs!$C$44</f>
        <v/>
      </c>
      <c r="E11" s="50">
        <f>B11*Subsurface_Inputs!$C$45</f>
        <v/>
      </c>
      <c r="F11" s="50">
        <f>B11</f>
        <v/>
      </c>
      <c r="G11" s="50">
        <f>B11*Subsurface_Inputs!$C$46</f>
        <v/>
      </c>
      <c r="H11" s="50">
        <f>Subsurface_Live_Data!Y11</f>
        <v/>
      </c>
      <c r="I11" s="50">
        <f>Subsurface_Inputs!$C$47-Subsurface_Inputs!$C$43+2*SIN(2*PI()*A11/42)</f>
        <v/>
      </c>
      <c r="J11" s="50" t="n">
        <v>0</v>
      </c>
    </row>
    <row r="12">
      <c r="A12" s="50">
        <f>Subsurface_Live_Data!A12</f>
        <v/>
      </c>
      <c r="B12" s="50">
        <f>Subsurface_Live_Data!K12</f>
        <v/>
      </c>
      <c r="C12" s="50">
        <f>MAX(0,B12-Subsurface_Inputs!$C$44)</f>
        <v/>
      </c>
      <c r="D12" s="50">
        <f>B12+Subsurface_Inputs!$C$44</f>
        <v/>
      </c>
      <c r="E12" s="50">
        <f>B12*Subsurface_Inputs!$C$45</f>
        <v/>
      </c>
      <c r="F12" s="50">
        <f>B12</f>
        <v/>
      </c>
      <c r="G12" s="50">
        <f>B12*Subsurface_Inputs!$C$46</f>
        <v/>
      </c>
      <c r="H12" s="50">
        <f>Subsurface_Live_Data!Y12</f>
        <v/>
      </c>
      <c r="I12" s="50">
        <f>Subsurface_Inputs!$C$47-Subsurface_Inputs!$C$43+2*SIN(2*PI()*A12/42)</f>
        <v/>
      </c>
      <c r="J12" s="50" t="n">
        <v>0</v>
      </c>
    </row>
    <row r="13">
      <c r="A13" s="50">
        <f>Subsurface_Live_Data!A13</f>
        <v/>
      </c>
      <c r="B13" s="50">
        <f>Subsurface_Live_Data!K13</f>
        <v/>
      </c>
      <c r="C13" s="50">
        <f>MAX(0,B13-Subsurface_Inputs!$C$44)</f>
        <v/>
      </c>
      <c r="D13" s="50">
        <f>B13+Subsurface_Inputs!$C$44</f>
        <v/>
      </c>
      <c r="E13" s="50">
        <f>B13*Subsurface_Inputs!$C$45</f>
        <v/>
      </c>
      <c r="F13" s="50">
        <f>B13</f>
        <v/>
      </c>
      <c r="G13" s="50">
        <f>B13*Subsurface_Inputs!$C$46</f>
        <v/>
      </c>
      <c r="H13" s="50">
        <f>Subsurface_Live_Data!Y13</f>
        <v/>
      </c>
      <c r="I13" s="50">
        <f>Subsurface_Inputs!$C$47-Subsurface_Inputs!$C$43+2*SIN(2*PI()*A13/42)</f>
        <v/>
      </c>
      <c r="J13" s="50" t="n">
        <v>0</v>
      </c>
    </row>
    <row r="14">
      <c r="A14" s="50">
        <f>Subsurface_Live_Data!A14</f>
        <v/>
      </c>
      <c r="B14" s="50">
        <f>Subsurface_Live_Data!K14</f>
        <v/>
      </c>
      <c r="C14" s="50">
        <f>MAX(0,B14-Subsurface_Inputs!$C$44)</f>
        <v/>
      </c>
      <c r="D14" s="50">
        <f>B14+Subsurface_Inputs!$C$44</f>
        <v/>
      </c>
      <c r="E14" s="50">
        <f>B14*Subsurface_Inputs!$C$45</f>
        <v/>
      </c>
      <c r="F14" s="50">
        <f>B14</f>
        <v/>
      </c>
      <c r="G14" s="50">
        <f>B14*Subsurface_Inputs!$C$46</f>
        <v/>
      </c>
      <c r="H14" s="50">
        <f>Subsurface_Live_Data!Y14</f>
        <v/>
      </c>
      <c r="I14" s="50">
        <f>Subsurface_Inputs!$C$47-Subsurface_Inputs!$C$43+2*SIN(2*PI()*A14/42)</f>
        <v/>
      </c>
      <c r="J14" s="50" t="n">
        <v>0</v>
      </c>
    </row>
    <row r="15">
      <c r="A15" s="50">
        <f>Subsurface_Live_Data!A15</f>
        <v/>
      </c>
      <c r="B15" s="50">
        <f>Subsurface_Live_Data!K15</f>
        <v/>
      </c>
      <c r="C15" s="50">
        <f>MAX(0,B15-Subsurface_Inputs!$C$44)</f>
        <v/>
      </c>
      <c r="D15" s="50">
        <f>B15+Subsurface_Inputs!$C$44</f>
        <v/>
      </c>
      <c r="E15" s="50">
        <f>B15*Subsurface_Inputs!$C$45</f>
        <v/>
      </c>
      <c r="F15" s="50">
        <f>B15</f>
        <v/>
      </c>
      <c r="G15" s="50">
        <f>B15*Subsurface_Inputs!$C$46</f>
        <v/>
      </c>
      <c r="H15" s="50">
        <f>Subsurface_Live_Data!Y15</f>
        <v/>
      </c>
      <c r="I15" s="50">
        <f>Subsurface_Inputs!$C$47-Subsurface_Inputs!$C$43+2*SIN(2*PI()*A15/42)</f>
        <v/>
      </c>
      <c r="J15" s="50" t="n">
        <v>0</v>
      </c>
    </row>
    <row r="16">
      <c r="A16" s="50">
        <f>Subsurface_Live_Data!A16</f>
        <v/>
      </c>
      <c r="B16" s="50">
        <f>Subsurface_Live_Data!K16</f>
        <v/>
      </c>
      <c r="C16" s="50">
        <f>MAX(0,B16-Subsurface_Inputs!$C$44)</f>
        <v/>
      </c>
      <c r="D16" s="50">
        <f>B16+Subsurface_Inputs!$C$44</f>
        <v/>
      </c>
      <c r="E16" s="50">
        <f>B16*Subsurface_Inputs!$C$45</f>
        <v/>
      </c>
      <c r="F16" s="50">
        <f>B16</f>
        <v/>
      </c>
      <c r="G16" s="50">
        <f>B16*Subsurface_Inputs!$C$46</f>
        <v/>
      </c>
      <c r="H16" s="50">
        <f>Subsurface_Live_Data!Y16</f>
        <v/>
      </c>
      <c r="I16" s="50">
        <f>Subsurface_Inputs!$C$47-Subsurface_Inputs!$C$43+2*SIN(2*PI()*A16/42)</f>
        <v/>
      </c>
      <c r="J16" s="50" t="n">
        <v>0</v>
      </c>
    </row>
    <row r="17">
      <c r="A17" s="50">
        <f>Subsurface_Live_Data!A17</f>
        <v/>
      </c>
      <c r="B17" s="50">
        <f>Subsurface_Live_Data!K17</f>
        <v/>
      </c>
      <c r="C17" s="50">
        <f>MAX(0,B17-Subsurface_Inputs!$C$44)</f>
        <v/>
      </c>
      <c r="D17" s="50">
        <f>B17+Subsurface_Inputs!$C$44</f>
        <v/>
      </c>
      <c r="E17" s="50">
        <f>B17*Subsurface_Inputs!$C$45</f>
        <v/>
      </c>
      <c r="F17" s="50">
        <f>B17</f>
        <v/>
      </c>
      <c r="G17" s="50">
        <f>B17*Subsurface_Inputs!$C$46</f>
        <v/>
      </c>
      <c r="H17" s="50">
        <f>Subsurface_Live_Data!Y17</f>
        <v/>
      </c>
      <c r="I17" s="50">
        <f>Subsurface_Inputs!$C$47-Subsurface_Inputs!$C$43+2*SIN(2*PI()*A17/42)</f>
        <v/>
      </c>
      <c r="J17" s="50" t="n">
        <v>0</v>
      </c>
    </row>
    <row r="18">
      <c r="A18" s="50">
        <f>Subsurface_Live_Data!A18</f>
        <v/>
      </c>
      <c r="B18" s="50">
        <f>Subsurface_Live_Data!K18</f>
        <v/>
      </c>
      <c r="C18" s="50">
        <f>MAX(0,B18-Subsurface_Inputs!$C$44)</f>
        <v/>
      </c>
      <c r="D18" s="50">
        <f>B18+Subsurface_Inputs!$C$44</f>
        <v/>
      </c>
      <c r="E18" s="50">
        <f>B18*Subsurface_Inputs!$C$45</f>
        <v/>
      </c>
      <c r="F18" s="50">
        <f>B18</f>
        <v/>
      </c>
      <c r="G18" s="50">
        <f>B18*Subsurface_Inputs!$C$46</f>
        <v/>
      </c>
      <c r="H18" s="50">
        <f>Subsurface_Live_Data!Y18</f>
        <v/>
      </c>
      <c r="I18" s="50">
        <f>Subsurface_Inputs!$C$47-Subsurface_Inputs!$C$43+2*SIN(2*PI()*A18/42)</f>
        <v/>
      </c>
      <c r="J18" s="50" t="n">
        <v>0</v>
      </c>
    </row>
    <row r="19">
      <c r="A19" s="50">
        <f>Subsurface_Live_Data!A19</f>
        <v/>
      </c>
      <c r="B19" s="50">
        <f>Subsurface_Live_Data!K19</f>
        <v/>
      </c>
      <c r="C19" s="50">
        <f>MAX(0,B19-Subsurface_Inputs!$C$44)</f>
        <v/>
      </c>
      <c r="D19" s="50">
        <f>B19+Subsurface_Inputs!$C$44</f>
        <v/>
      </c>
      <c r="E19" s="50">
        <f>B19*Subsurface_Inputs!$C$45</f>
        <v/>
      </c>
      <c r="F19" s="50">
        <f>B19</f>
        <v/>
      </c>
      <c r="G19" s="50">
        <f>B19*Subsurface_Inputs!$C$46</f>
        <v/>
      </c>
      <c r="H19" s="50">
        <f>Subsurface_Live_Data!Y19</f>
        <v/>
      </c>
      <c r="I19" s="50">
        <f>Subsurface_Inputs!$C$47-Subsurface_Inputs!$C$43+2*SIN(2*PI()*A19/42)</f>
        <v/>
      </c>
      <c r="J19" s="50" t="n">
        <v>0</v>
      </c>
    </row>
    <row r="20">
      <c r="A20" s="50">
        <f>Subsurface_Live_Data!A20</f>
        <v/>
      </c>
      <c r="B20" s="50">
        <f>Subsurface_Live_Data!K20</f>
        <v/>
      </c>
      <c r="C20" s="50">
        <f>MAX(0,B20-Subsurface_Inputs!$C$44)</f>
        <v/>
      </c>
      <c r="D20" s="50">
        <f>B20+Subsurface_Inputs!$C$44</f>
        <v/>
      </c>
      <c r="E20" s="50">
        <f>B20*Subsurface_Inputs!$C$45</f>
        <v/>
      </c>
      <c r="F20" s="50">
        <f>B20</f>
        <v/>
      </c>
      <c r="G20" s="50">
        <f>B20*Subsurface_Inputs!$C$46</f>
        <v/>
      </c>
      <c r="H20" s="50">
        <f>Subsurface_Live_Data!Y20</f>
        <v/>
      </c>
      <c r="I20" s="50">
        <f>Subsurface_Inputs!$C$47-Subsurface_Inputs!$C$43+2*SIN(2*PI()*A20/42)</f>
        <v/>
      </c>
      <c r="J20" s="50" t="n">
        <v>0</v>
      </c>
    </row>
    <row r="21">
      <c r="A21" s="50">
        <f>Subsurface_Live_Data!A21</f>
        <v/>
      </c>
      <c r="B21" s="50">
        <f>Subsurface_Live_Data!K21</f>
        <v/>
      </c>
      <c r="C21" s="50">
        <f>MAX(0,B21-Subsurface_Inputs!$C$44)</f>
        <v/>
      </c>
      <c r="D21" s="50">
        <f>B21+Subsurface_Inputs!$C$44</f>
        <v/>
      </c>
      <c r="E21" s="50">
        <f>B21*Subsurface_Inputs!$C$45</f>
        <v/>
      </c>
      <c r="F21" s="50">
        <f>B21</f>
        <v/>
      </c>
      <c r="G21" s="50">
        <f>B21*Subsurface_Inputs!$C$46</f>
        <v/>
      </c>
      <c r="H21" s="50">
        <f>Subsurface_Live_Data!Y21</f>
        <v/>
      </c>
      <c r="I21" s="50">
        <f>Subsurface_Inputs!$C$47-Subsurface_Inputs!$C$43+2*SIN(2*PI()*A21/42)</f>
        <v/>
      </c>
      <c r="J21" s="50" t="n">
        <v>0</v>
      </c>
    </row>
    <row r="22">
      <c r="A22" s="50">
        <f>Subsurface_Live_Data!A22</f>
        <v/>
      </c>
      <c r="B22" s="50">
        <f>Subsurface_Live_Data!K22</f>
        <v/>
      </c>
      <c r="C22" s="50">
        <f>MAX(0,B22-Subsurface_Inputs!$C$44)</f>
        <v/>
      </c>
      <c r="D22" s="50">
        <f>B22+Subsurface_Inputs!$C$44</f>
        <v/>
      </c>
      <c r="E22" s="50">
        <f>B22*Subsurface_Inputs!$C$45</f>
        <v/>
      </c>
      <c r="F22" s="50">
        <f>B22</f>
        <v/>
      </c>
      <c r="G22" s="50">
        <f>B22*Subsurface_Inputs!$C$46</f>
        <v/>
      </c>
      <c r="H22" s="50">
        <f>Subsurface_Live_Data!Y22</f>
        <v/>
      </c>
      <c r="I22" s="50">
        <f>Subsurface_Inputs!$C$47-Subsurface_Inputs!$C$43+2*SIN(2*PI()*A22/42)</f>
        <v/>
      </c>
      <c r="J22" s="50" t="n">
        <v>0</v>
      </c>
    </row>
    <row r="23">
      <c r="A23" s="50">
        <f>Subsurface_Live_Data!A23</f>
        <v/>
      </c>
      <c r="B23" s="50">
        <f>Subsurface_Live_Data!K23</f>
        <v/>
      </c>
      <c r="C23" s="50">
        <f>MAX(0,B23-Subsurface_Inputs!$C$44)</f>
        <v/>
      </c>
      <c r="D23" s="50">
        <f>B23+Subsurface_Inputs!$C$44</f>
        <v/>
      </c>
      <c r="E23" s="50">
        <f>B23*Subsurface_Inputs!$C$45</f>
        <v/>
      </c>
      <c r="F23" s="50">
        <f>B23</f>
        <v/>
      </c>
      <c r="G23" s="50">
        <f>B23*Subsurface_Inputs!$C$46</f>
        <v/>
      </c>
      <c r="H23" s="50">
        <f>Subsurface_Live_Data!Y23</f>
        <v/>
      </c>
      <c r="I23" s="50">
        <f>Subsurface_Inputs!$C$47-Subsurface_Inputs!$C$43+2*SIN(2*PI()*A23/42)</f>
        <v/>
      </c>
      <c r="J23" s="50" t="n">
        <v>0</v>
      </c>
    </row>
    <row r="24">
      <c r="A24" s="50">
        <f>Subsurface_Live_Data!A24</f>
        <v/>
      </c>
      <c r="B24" s="50">
        <f>Subsurface_Live_Data!K24</f>
        <v/>
      </c>
      <c r="C24" s="50">
        <f>MAX(0,B24-Subsurface_Inputs!$C$44)</f>
        <v/>
      </c>
      <c r="D24" s="50">
        <f>B24+Subsurface_Inputs!$C$44</f>
        <v/>
      </c>
      <c r="E24" s="50">
        <f>B24*Subsurface_Inputs!$C$45</f>
        <v/>
      </c>
      <c r="F24" s="50">
        <f>B24</f>
        <v/>
      </c>
      <c r="G24" s="50">
        <f>B24*Subsurface_Inputs!$C$46</f>
        <v/>
      </c>
      <c r="H24" s="50">
        <f>Subsurface_Live_Data!Y24</f>
        <v/>
      </c>
      <c r="I24" s="50">
        <f>Subsurface_Inputs!$C$47-Subsurface_Inputs!$C$43+2*SIN(2*PI()*A24/42)</f>
        <v/>
      </c>
      <c r="J24" s="50" t="n">
        <v>0</v>
      </c>
    </row>
    <row r="25">
      <c r="A25" s="50">
        <f>Subsurface_Live_Data!A25</f>
        <v/>
      </c>
      <c r="B25" s="50">
        <f>Subsurface_Live_Data!K25</f>
        <v/>
      </c>
      <c r="C25" s="50">
        <f>MAX(0,B25-Subsurface_Inputs!$C$44)</f>
        <v/>
      </c>
      <c r="D25" s="50">
        <f>B25+Subsurface_Inputs!$C$44</f>
        <v/>
      </c>
      <c r="E25" s="50">
        <f>B25*Subsurface_Inputs!$C$45</f>
        <v/>
      </c>
      <c r="F25" s="50">
        <f>B25</f>
        <v/>
      </c>
      <c r="G25" s="50">
        <f>B25*Subsurface_Inputs!$C$46</f>
        <v/>
      </c>
      <c r="H25" s="50">
        <f>Subsurface_Live_Data!Y25</f>
        <v/>
      </c>
      <c r="I25" s="50">
        <f>Subsurface_Inputs!$C$47-Subsurface_Inputs!$C$43+2*SIN(2*PI()*A25/42)</f>
        <v/>
      </c>
      <c r="J25" s="50" t="n">
        <v>0</v>
      </c>
    </row>
    <row r="26">
      <c r="A26" s="50">
        <f>Subsurface_Live_Data!A26</f>
        <v/>
      </c>
      <c r="B26" s="50">
        <f>Subsurface_Live_Data!K26</f>
        <v/>
      </c>
      <c r="C26" s="50">
        <f>MAX(0,B26-Subsurface_Inputs!$C$44)</f>
        <v/>
      </c>
      <c r="D26" s="50">
        <f>B26+Subsurface_Inputs!$C$44</f>
        <v/>
      </c>
      <c r="E26" s="50">
        <f>B26*Subsurface_Inputs!$C$45</f>
        <v/>
      </c>
      <c r="F26" s="50">
        <f>B26</f>
        <v/>
      </c>
      <c r="G26" s="50">
        <f>B26*Subsurface_Inputs!$C$46</f>
        <v/>
      </c>
      <c r="H26" s="50">
        <f>Subsurface_Live_Data!Y26</f>
        <v/>
      </c>
      <c r="I26" s="50">
        <f>Subsurface_Inputs!$C$47-Subsurface_Inputs!$C$43+2*SIN(2*PI()*A26/42)</f>
        <v/>
      </c>
      <c r="J26" s="50" t="n">
        <v>0</v>
      </c>
    </row>
    <row r="27">
      <c r="A27" s="50">
        <f>Subsurface_Live_Data!A27</f>
        <v/>
      </c>
      <c r="B27" s="50">
        <f>Subsurface_Live_Data!K27</f>
        <v/>
      </c>
      <c r="C27" s="50">
        <f>MAX(0,B27-Subsurface_Inputs!$C$44)</f>
        <v/>
      </c>
      <c r="D27" s="50">
        <f>B27+Subsurface_Inputs!$C$44</f>
        <v/>
      </c>
      <c r="E27" s="50">
        <f>B27*Subsurface_Inputs!$C$45</f>
        <v/>
      </c>
      <c r="F27" s="50">
        <f>B27</f>
        <v/>
      </c>
      <c r="G27" s="50">
        <f>B27*Subsurface_Inputs!$C$46</f>
        <v/>
      </c>
      <c r="H27" s="50">
        <f>Subsurface_Live_Data!Y27</f>
        <v/>
      </c>
      <c r="I27" s="50">
        <f>Subsurface_Inputs!$C$47-Subsurface_Inputs!$C$43+2*SIN(2*PI()*A27/42)</f>
        <v/>
      </c>
      <c r="J27" s="50" t="n">
        <v>0</v>
      </c>
    </row>
    <row r="28">
      <c r="A28" s="50">
        <f>Subsurface_Live_Data!A28</f>
        <v/>
      </c>
      <c r="B28" s="50">
        <f>Subsurface_Live_Data!K28</f>
        <v/>
      </c>
      <c r="C28" s="50">
        <f>MAX(0,B28-Subsurface_Inputs!$C$44)</f>
        <v/>
      </c>
      <c r="D28" s="50">
        <f>B28+Subsurface_Inputs!$C$44</f>
        <v/>
      </c>
      <c r="E28" s="50">
        <f>B28*Subsurface_Inputs!$C$45</f>
        <v/>
      </c>
      <c r="F28" s="50">
        <f>B28</f>
        <v/>
      </c>
      <c r="G28" s="50">
        <f>B28*Subsurface_Inputs!$C$46</f>
        <v/>
      </c>
      <c r="H28" s="50">
        <f>Subsurface_Live_Data!Y28</f>
        <v/>
      </c>
      <c r="I28" s="50">
        <f>Subsurface_Inputs!$C$47-Subsurface_Inputs!$C$43+2*SIN(2*PI()*A28/42)</f>
        <v/>
      </c>
      <c r="J28" s="50" t="n">
        <v>0</v>
      </c>
    </row>
    <row r="29">
      <c r="A29" s="50">
        <f>Subsurface_Live_Data!A29</f>
        <v/>
      </c>
      <c r="B29" s="50">
        <f>Subsurface_Live_Data!K29</f>
        <v/>
      </c>
      <c r="C29" s="50">
        <f>MAX(0,B29-Subsurface_Inputs!$C$44)</f>
        <v/>
      </c>
      <c r="D29" s="50">
        <f>B29+Subsurface_Inputs!$C$44</f>
        <v/>
      </c>
      <c r="E29" s="50">
        <f>B29*Subsurface_Inputs!$C$45</f>
        <v/>
      </c>
      <c r="F29" s="50">
        <f>B29</f>
        <v/>
      </c>
      <c r="G29" s="50">
        <f>B29*Subsurface_Inputs!$C$46</f>
        <v/>
      </c>
      <c r="H29" s="50">
        <f>Subsurface_Live_Data!Y29</f>
        <v/>
      </c>
      <c r="I29" s="50">
        <f>Subsurface_Inputs!$C$47-Subsurface_Inputs!$C$43+2*SIN(2*PI()*A29/42)</f>
        <v/>
      </c>
      <c r="J29" s="50" t="n">
        <v>0</v>
      </c>
    </row>
    <row r="30">
      <c r="A30" s="50">
        <f>Subsurface_Live_Data!A30</f>
        <v/>
      </c>
      <c r="B30" s="50">
        <f>Subsurface_Live_Data!K30</f>
        <v/>
      </c>
      <c r="C30" s="50">
        <f>MAX(0,B30-Subsurface_Inputs!$C$44)</f>
        <v/>
      </c>
      <c r="D30" s="50">
        <f>B30+Subsurface_Inputs!$C$44</f>
        <v/>
      </c>
      <c r="E30" s="50">
        <f>B30*Subsurface_Inputs!$C$45</f>
        <v/>
      </c>
      <c r="F30" s="50">
        <f>B30</f>
        <v/>
      </c>
      <c r="G30" s="50">
        <f>B30*Subsurface_Inputs!$C$46</f>
        <v/>
      </c>
      <c r="H30" s="50">
        <f>Subsurface_Live_Data!Y30</f>
        <v/>
      </c>
      <c r="I30" s="50">
        <f>Subsurface_Inputs!$C$47-Subsurface_Inputs!$C$43+2*SIN(2*PI()*A30/42)</f>
        <v/>
      </c>
      <c r="J30" s="50" t="n">
        <v>0</v>
      </c>
    </row>
    <row r="31">
      <c r="A31" s="50">
        <f>Subsurface_Live_Data!A31</f>
        <v/>
      </c>
      <c r="B31" s="50">
        <f>Subsurface_Live_Data!K31</f>
        <v/>
      </c>
      <c r="C31" s="50">
        <f>MAX(0,B31-Subsurface_Inputs!$C$44)</f>
        <v/>
      </c>
      <c r="D31" s="50">
        <f>B31+Subsurface_Inputs!$C$44</f>
        <v/>
      </c>
      <c r="E31" s="50">
        <f>B31*Subsurface_Inputs!$C$45</f>
        <v/>
      </c>
      <c r="F31" s="50">
        <f>B31</f>
        <v/>
      </c>
      <c r="G31" s="50">
        <f>B31*Subsurface_Inputs!$C$46</f>
        <v/>
      </c>
      <c r="H31" s="50">
        <f>Subsurface_Live_Data!Y31</f>
        <v/>
      </c>
      <c r="I31" s="50">
        <f>Subsurface_Inputs!$C$47-Subsurface_Inputs!$C$43+2*SIN(2*PI()*A31/42)</f>
        <v/>
      </c>
      <c r="J31" s="50" t="n">
        <v>0</v>
      </c>
    </row>
    <row r="32">
      <c r="A32" s="50">
        <f>Subsurface_Live_Data!A32</f>
        <v/>
      </c>
      <c r="B32" s="50">
        <f>Subsurface_Live_Data!K32</f>
        <v/>
      </c>
      <c r="C32" s="50">
        <f>MAX(0,B32-Subsurface_Inputs!$C$44)</f>
        <v/>
      </c>
      <c r="D32" s="50">
        <f>B32+Subsurface_Inputs!$C$44</f>
        <v/>
      </c>
      <c r="E32" s="50">
        <f>B32*Subsurface_Inputs!$C$45</f>
        <v/>
      </c>
      <c r="F32" s="50">
        <f>B32</f>
        <v/>
      </c>
      <c r="G32" s="50">
        <f>B32*Subsurface_Inputs!$C$46</f>
        <v/>
      </c>
      <c r="H32" s="50">
        <f>Subsurface_Live_Data!Y32</f>
        <v/>
      </c>
      <c r="I32" s="50">
        <f>Subsurface_Inputs!$C$47-Subsurface_Inputs!$C$43+2*SIN(2*PI()*A32/42)</f>
        <v/>
      </c>
      <c r="J32" s="50" t="n">
        <v>0</v>
      </c>
    </row>
    <row r="33">
      <c r="A33" s="50">
        <f>Subsurface_Live_Data!A33</f>
        <v/>
      </c>
      <c r="B33" s="50">
        <f>Subsurface_Live_Data!K33</f>
        <v/>
      </c>
      <c r="C33" s="50">
        <f>MAX(0,B33-Subsurface_Inputs!$C$44)</f>
        <v/>
      </c>
      <c r="D33" s="50">
        <f>B33+Subsurface_Inputs!$C$44</f>
        <v/>
      </c>
      <c r="E33" s="50">
        <f>B33*Subsurface_Inputs!$C$45</f>
        <v/>
      </c>
      <c r="F33" s="50">
        <f>B33</f>
        <v/>
      </c>
      <c r="G33" s="50">
        <f>B33*Subsurface_Inputs!$C$46</f>
        <v/>
      </c>
      <c r="H33" s="50">
        <f>Subsurface_Live_Data!Y33</f>
        <v/>
      </c>
      <c r="I33" s="50">
        <f>Subsurface_Inputs!$C$47-Subsurface_Inputs!$C$43+2*SIN(2*PI()*A33/42)</f>
        <v/>
      </c>
      <c r="J33" s="50" t="n">
        <v>0</v>
      </c>
    </row>
    <row r="34">
      <c r="A34" s="50">
        <f>Subsurface_Live_Data!A34</f>
        <v/>
      </c>
      <c r="B34" s="50">
        <f>Subsurface_Live_Data!K34</f>
        <v/>
      </c>
      <c r="C34" s="50">
        <f>MAX(0,B34-Subsurface_Inputs!$C$44)</f>
        <v/>
      </c>
      <c r="D34" s="50">
        <f>B34+Subsurface_Inputs!$C$44</f>
        <v/>
      </c>
      <c r="E34" s="50">
        <f>B34*Subsurface_Inputs!$C$45</f>
        <v/>
      </c>
      <c r="F34" s="50">
        <f>B34</f>
        <v/>
      </c>
      <c r="G34" s="50">
        <f>B34*Subsurface_Inputs!$C$46</f>
        <v/>
      </c>
      <c r="H34" s="50">
        <f>Subsurface_Live_Data!Y34</f>
        <v/>
      </c>
      <c r="I34" s="50">
        <f>Subsurface_Inputs!$C$47-Subsurface_Inputs!$C$43+2*SIN(2*PI()*A34/42)</f>
        <v/>
      </c>
      <c r="J34" s="50" t="n">
        <v>0</v>
      </c>
    </row>
    <row r="35">
      <c r="A35" s="50">
        <f>Subsurface_Live_Data!A35</f>
        <v/>
      </c>
      <c r="B35" s="50">
        <f>Subsurface_Live_Data!K35</f>
        <v/>
      </c>
      <c r="C35" s="50">
        <f>MAX(0,B35-Subsurface_Inputs!$C$44)</f>
        <v/>
      </c>
      <c r="D35" s="50">
        <f>B35+Subsurface_Inputs!$C$44</f>
        <v/>
      </c>
      <c r="E35" s="50">
        <f>B35*Subsurface_Inputs!$C$45</f>
        <v/>
      </c>
      <c r="F35" s="50">
        <f>B35</f>
        <v/>
      </c>
      <c r="G35" s="50">
        <f>B35*Subsurface_Inputs!$C$46</f>
        <v/>
      </c>
      <c r="H35" s="50">
        <f>Subsurface_Live_Data!Y35</f>
        <v/>
      </c>
      <c r="I35" s="50">
        <f>Subsurface_Inputs!$C$47-Subsurface_Inputs!$C$43+2*SIN(2*PI()*A35/42)</f>
        <v/>
      </c>
      <c r="J35" s="50" t="n">
        <v>0</v>
      </c>
    </row>
    <row r="36">
      <c r="A36" s="50">
        <f>Subsurface_Live_Data!A36</f>
        <v/>
      </c>
      <c r="B36" s="50">
        <f>Subsurface_Live_Data!K36</f>
        <v/>
      </c>
      <c r="C36" s="50">
        <f>MAX(0,B36-Subsurface_Inputs!$C$44)</f>
        <v/>
      </c>
      <c r="D36" s="50">
        <f>B36+Subsurface_Inputs!$C$44</f>
        <v/>
      </c>
      <c r="E36" s="50">
        <f>B36*Subsurface_Inputs!$C$45</f>
        <v/>
      </c>
      <c r="F36" s="50">
        <f>B36</f>
        <v/>
      </c>
      <c r="G36" s="50">
        <f>B36*Subsurface_Inputs!$C$46</f>
        <v/>
      </c>
      <c r="H36" s="50">
        <f>Subsurface_Live_Data!Y36</f>
        <v/>
      </c>
      <c r="I36" s="50">
        <f>Subsurface_Inputs!$C$47-Subsurface_Inputs!$C$43+2*SIN(2*PI()*A36/42)</f>
        <v/>
      </c>
      <c r="J36" s="50" t="n">
        <v>0</v>
      </c>
    </row>
    <row r="37">
      <c r="A37" s="50">
        <f>Subsurface_Live_Data!A37</f>
        <v/>
      </c>
      <c r="B37" s="50">
        <f>Subsurface_Live_Data!K37</f>
        <v/>
      </c>
      <c r="C37" s="50">
        <f>MAX(0,B37-Subsurface_Inputs!$C$44)</f>
        <v/>
      </c>
      <c r="D37" s="50">
        <f>B37+Subsurface_Inputs!$C$44</f>
        <v/>
      </c>
      <c r="E37" s="50">
        <f>B37*Subsurface_Inputs!$C$45</f>
        <v/>
      </c>
      <c r="F37" s="50">
        <f>B37</f>
        <v/>
      </c>
      <c r="G37" s="50">
        <f>B37*Subsurface_Inputs!$C$46</f>
        <v/>
      </c>
      <c r="H37" s="50">
        <f>Subsurface_Live_Data!Y37</f>
        <v/>
      </c>
      <c r="I37" s="50">
        <f>Subsurface_Inputs!$C$47-Subsurface_Inputs!$C$43+2*SIN(2*PI()*A37/42)</f>
        <v/>
      </c>
      <c r="J37" s="50" t="n">
        <v>0</v>
      </c>
    </row>
    <row r="38">
      <c r="A38" s="50">
        <f>Subsurface_Live_Data!A38</f>
        <v/>
      </c>
      <c r="B38" s="50">
        <f>Subsurface_Live_Data!K38</f>
        <v/>
      </c>
      <c r="C38" s="50">
        <f>MAX(0,B38-Subsurface_Inputs!$C$44)</f>
        <v/>
      </c>
      <c r="D38" s="50">
        <f>B38+Subsurface_Inputs!$C$44</f>
        <v/>
      </c>
      <c r="E38" s="50">
        <f>B38*Subsurface_Inputs!$C$45</f>
        <v/>
      </c>
      <c r="F38" s="50">
        <f>B38</f>
        <v/>
      </c>
      <c r="G38" s="50">
        <f>B38*Subsurface_Inputs!$C$46</f>
        <v/>
      </c>
      <c r="H38" s="50">
        <f>Subsurface_Live_Data!Y38</f>
        <v/>
      </c>
      <c r="I38" s="50">
        <f>Subsurface_Inputs!$C$47-Subsurface_Inputs!$C$43+2*SIN(2*PI()*A38/42)</f>
        <v/>
      </c>
      <c r="J38" s="50" t="n">
        <v>0</v>
      </c>
    </row>
    <row r="39">
      <c r="A39" s="50">
        <f>Subsurface_Live_Data!A39</f>
        <v/>
      </c>
      <c r="B39" s="50">
        <f>Subsurface_Live_Data!K39</f>
        <v/>
      </c>
      <c r="C39" s="50">
        <f>MAX(0,B39-Subsurface_Inputs!$C$44)</f>
        <v/>
      </c>
      <c r="D39" s="50">
        <f>B39+Subsurface_Inputs!$C$44</f>
        <v/>
      </c>
      <c r="E39" s="50">
        <f>B39*Subsurface_Inputs!$C$45</f>
        <v/>
      </c>
      <c r="F39" s="50">
        <f>B39</f>
        <v/>
      </c>
      <c r="G39" s="50">
        <f>B39*Subsurface_Inputs!$C$46</f>
        <v/>
      </c>
      <c r="H39" s="50">
        <f>Subsurface_Live_Data!Y39</f>
        <v/>
      </c>
      <c r="I39" s="50">
        <f>Subsurface_Inputs!$C$47-Subsurface_Inputs!$C$43+2*SIN(2*PI()*A39/42)</f>
        <v/>
      </c>
      <c r="J39" s="50" t="n">
        <v>0</v>
      </c>
    </row>
    <row r="40">
      <c r="A40" s="50">
        <f>Subsurface_Live_Data!A40</f>
        <v/>
      </c>
      <c r="B40" s="50">
        <f>Subsurface_Live_Data!K40</f>
        <v/>
      </c>
      <c r="C40" s="50">
        <f>MAX(0,B40-Subsurface_Inputs!$C$44)</f>
        <v/>
      </c>
      <c r="D40" s="50">
        <f>B40+Subsurface_Inputs!$C$44</f>
        <v/>
      </c>
      <c r="E40" s="50">
        <f>B40*Subsurface_Inputs!$C$45</f>
        <v/>
      </c>
      <c r="F40" s="50">
        <f>B40</f>
        <v/>
      </c>
      <c r="G40" s="50">
        <f>B40*Subsurface_Inputs!$C$46</f>
        <v/>
      </c>
      <c r="H40" s="50">
        <f>Subsurface_Live_Data!Y40</f>
        <v/>
      </c>
      <c r="I40" s="50">
        <f>Subsurface_Inputs!$C$47-Subsurface_Inputs!$C$43+2*SIN(2*PI()*A40/42)</f>
        <v/>
      </c>
      <c r="J40" s="50" t="n">
        <v>0</v>
      </c>
    </row>
    <row r="41">
      <c r="A41" s="50">
        <f>Subsurface_Live_Data!A41</f>
        <v/>
      </c>
      <c r="B41" s="50">
        <f>Subsurface_Live_Data!K41</f>
        <v/>
      </c>
      <c r="C41" s="50">
        <f>MAX(0,B41-Subsurface_Inputs!$C$44)</f>
        <v/>
      </c>
      <c r="D41" s="50">
        <f>B41+Subsurface_Inputs!$C$44</f>
        <v/>
      </c>
      <c r="E41" s="50">
        <f>B41*Subsurface_Inputs!$C$45</f>
        <v/>
      </c>
      <c r="F41" s="50">
        <f>B41</f>
        <v/>
      </c>
      <c r="G41" s="50">
        <f>B41*Subsurface_Inputs!$C$46</f>
        <v/>
      </c>
      <c r="H41" s="50">
        <f>Subsurface_Live_Data!Y41</f>
        <v/>
      </c>
      <c r="I41" s="50">
        <f>Subsurface_Inputs!$C$47-Subsurface_Inputs!$C$43+2*SIN(2*PI()*A41/42)</f>
        <v/>
      </c>
      <c r="J41" s="50" t="n">
        <v>0</v>
      </c>
    </row>
    <row r="42">
      <c r="A42" s="50">
        <f>Subsurface_Live_Data!A42</f>
        <v/>
      </c>
      <c r="B42" s="50">
        <f>Subsurface_Live_Data!K42</f>
        <v/>
      </c>
      <c r="C42" s="50">
        <f>MAX(0,B42-Subsurface_Inputs!$C$44)</f>
        <v/>
      </c>
      <c r="D42" s="50">
        <f>B42+Subsurface_Inputs!$C$44</f>
        <v/>
      </c>
      <c r="E42" s="50">
        <f>B42*Subsurface_Inputs!$C$45</f>
        <v/>
      </c>
      <c r="F42" s="50">
        <f>B42</f>
        <v/>
      </c>
      <c r="G42" s="50">
        <f>B42*Subsurface_Inputs!$C$46</f>
        <v/>
      </c>
      <c r="H42" s="50">
        <f>Subsurface_Live_Data!Y42</f>
        <v/>
      </c>
      <c r="I42" s="50">
        <f>Subsurface_Inputs!$C$47-Subsurface_Inputs!$C$43+2*SIN(2*PI()*A42/42)</f>
        <v/>
      </c>
      <c r="J42" s="50" t="n">
        <v>0</v>
      </c>
    </row>
    <row r="43">
      <c r="A43" s="50">
        <f>Subsurface_Live_Data!A43</f>
        <v/>
      </c>
      <c r="B43" s="50">
        <f>Subsurface_Live_Data!K43</f>
        <v/>
      </c>
      <c r="C43" s="50">
        <f>MAX(0,B43-Subsurface_Inputs!$C$44)</f>
        <v/>
      </c>
      <c r="D43" s="50">
        <f>B43+Subsurface_Inputs!$C$44</f>
        <v/>
      </c>
      <c r="E43" s="50">
        <f>B43*Subsurface_Inputs!$C$45</f>
        <v/>
      </c>
      <c r="F43" s="50">
        <f>B43</f>
        <v/>
      </c>
      <c r="G43" s="50">
        <f>B43*Subsurface_Inputs!$C$46</f>
        <v/>
      </c>
      <c r="H43" s="50">
        <f>Subsurface_Live_Data!Y43</f>
        <v/>
      </c>
      <c r="I43" s="50">
        <f>Subsurface_Inputs!$C$47-Subsurface_Inputs!$C$43+2*SIN(2*PI()*A43/42)</f>
        <v/>
      </c>
      <c r="J43" s="50" t="n">
        <v>0</v>
      </c>
    </row>
    <row r="44">
      <c r="A44" s="50">
        <f>Subsurface_Live_Data!A44</f>
        <v/>
      </c>
      <c r="B44" s="50">
        <f>Subsurface_Live_Data!K44</f>
        <v/>
      </c>
      <c r="C44" s="50">
        <f>MAX(0,B44-Subsurface_Inputs!$C$44)</f>
        <v/>
      </c>
      <c r="D44" s="50">
        <f>B44+Subsurface_Inputs!$C$44</f>
        <v/>
      </c>
      <c r="E44" s="50">
        <f>B44*Subsurface_Inputs!$C$45</f>
        <v/>
      </c>
      <c r="F44" s="50">
        <f>B44</f>
        <v/>
      </c>
      <c r="G44" s="50">
        <f>B44*Subsurface_Inputs!$C$46</f>
        <v/>
      </c>
      <c r="H44" s="50">
        <f>Subsurface_Live_Data!Y44</f>
        <v/>
      </c>
      <c r="I44" s="50">
        <f>Subsurface_Inputs!$C$47-Subsurface_Inputs!$C$43+2*SIN(2*PI()*A44/42)</f>
        <v/>
      </c>
      <c r="J44" s="50" t="n">
        <v>0</v>
      </c>
    </row>
    <row r="45">
      <c r="A45" s="50">
        <f>Subsurface_Live_Data!A45</f>
        <v/>
      </c>
      <c r="B45" s="50">
        <f>Subsurface_Live_Data!K45</f>
        <v/>
      </c>
      <c r="C45" s="50">
        <f>MAX(0,B45-Subsurface_Inputs!$C$44)</f>
        <v/>
      </c>
      <c r="D45" s="50">
        <f>B45+Subsurface_Inputs!$C$44</f>
        <v/>
      </c>
      <c r="E45" s="50">
        <f>B45*Subsurface_Inputs!$C$45</f>
        <v/>
      </c>
      <c r="F45" s="50">
        <f>B45</f>
        <v/>
      </c>
      <c r="G45" s="50">
        <f>B45*Subsurface_Inputs!$C$46</f>
        <v/>
      </c>
      <c r="H45" s="50">
        <f>Subsurface_Live_Data!Y45</f>
        <v/>
      </c>
      <c r="I45" s="50">
        <f>Subsurface_Inputs!$C$47-Subsurface_Inputs!$C$43+2*SIN(2*PI()*A45/42)</f>
        <v/>
      </c>
      <c r="J45" s="50" t="n">
        <v>0</v>
      </c>
    </row>
    <row r="46">
      <c r="A46" s="50">
        <f>Subsurface_Live_Data!A46</f>
        <v/>
      </c>
      <c r="B46" s="50">
        <f>Subsurface_Live_Data!K46</f>
        <v/>
      </c>
      <c r="C46" s="50">
        <f>MAX(0,B46-Subsurface_Inputs!$C$44)</f>
        <v/>
      </c>
      <c r="D46" s="50">
        <f>B46+Subsurface_Inputs!$C$44</f>
        <v/>
      </c>
      <c r="E46" s="50">
        <f>B46*Subsurface_Inputs!$C$45</f>
        <v/>
      </c>
      <c r="F46" s="50">
        <f>B46</f>
        <v/>
      </c>
      <c r="G46" s="50">
        <f>B46*Subsurface_Inputs!$C$46</f>
        <v/>
      </c>
      <c r="H46" s="50">
        <f>Subsurface_Live_Data!Y46</f>
        <v/>
      </c>
      <c r="I46" s="50">
        <f>Subsurface_Inputs!$C$47-Subsurface_Inputs!$C$43+2*SIN(2*PI()*A46/42)</f>
        <v/>
      </c>
      <c r="J46" s="50" t="n">
        <v>0</v>
      </c>
    </row>
    <row r="47">
      <c r="A47" s="50">
        <f>Subsurface_Live_Data!A47</f>
        <v/>
      </c>
      <c r="B47" s="50">
        <f>Subsurface_Live_Data!K47</f>
        <v/>
      </c>
      <c r="C47" s="50">
        <f>MAX(0,B47-Subsurface_Inputs!$C$44)</f>
        <v/>
      </c>
      <c r="D47" s="50">
        <f>B47+Subsurface_Inputs!$C$44</f>
        <v/>
      </c>
      <c r="E47" s="50">
        <f>B47*Subsurface_Inputs!$C$45</f>
        <v/>
      </c>
      <c r="F47" s="50">
        <f>B47</f>
        <v/>
      </c>
      <c r="G47" s="50">
        <f>B47*Subsurface_Inputs!$C$46</f>
        <v/>
      </c>
      <c r="H47" s="50">
        <f>Subsurface_Live_Data!Y47</f>
        <v/>
      </c>
      <c r="I47" s="50">
        <f>Subsurface_Inputs!$C$47-Subsurface_Inputs!$C$43+2*SIN(2*PI()*A47/42)</f>
        <v/>
      </c>
      <c r="J47" s="50" t="n">
        <v>0</v>
      </c>
    </row>
    <row r="48">
      <c r="A48" s="50">
        <f>Subsurface_Live_Data!A48</f>
        <v/>
      </c>
      <c r="B48" s="50">
        <f>Subsurface_Live_Data!K48</f>
        <v/>
      </c>
      <c r="C48" s="50">
        <f>MAX(0,B48-Subsurface_Inputs!$C$44)</f>
        <v/>
      </c>
      <c r="D48" s="50">
        <f>B48+Subsurface_Inputs!$C$44</f>
        <v/>
      </c>
      <c r="E48" s="50">
        <f>B48*Subsurface_Inputs!$C$45</f>
        <v/>
      </c>
      <c r="F48" s="50">
        <f>B48</f>
        <v/>
      </c>
      <c r="G48" s="50">
        <f>B48*Subsurface_Inputs!$C$46</f>
        <v/>
      </c>
      <c r="H48" s="50">
        <f>Subsurface_Live_Data!Y48</f>
        <v/>
      </c>
      <c r="I48" s="50">
        <f>Subsurface_Inputs!$C$47-Subsurface_Inputs!$C$43+2*SIN(2*PI()*A48/42)</f>
        <v/>
      </c>
      <c r="J48" s="50" t="n">
        <v>0</v>
      </c>
    </row>
    <row r="49">
      <c r="A49" s="50">
        <f>Subsurface_Live_Data!A49</f>
        <v/>
      </c>
      <c r="B49" s="50">
        <f>Subsurface_Live_Data!K49</f>
        <v/>
      </c>
      <c r="C49" s="50">
        <f>MAX(0,B49-Subsurface_Inputs!$C$44)</f>
        <v/>
      </c>
      <c r="D49" s="50">
        <f>B49+Subsurface_Inputs!$C$44</f>
        <v/>
      </c>
      <c r="E49" s="50">
        <f>B49*Subsurface_Inputs!$C$45</f>
        <v/>
      </c>
      <c r="F49" s="50">
        <f>B49</f>
        <v/>
      </c>
      <c r="G49" s="50">
        <f>B49*Subsurface_Inputs!$C$46</f>
        <v/>
      </c>
      <c r="H49" s="50">
        <f>Subsurface_Live_Data!Y49</f>
        <v/>
      </c>
      <c r="I49" s="50">
        <f>Subsurface_Inputs!$C$47-Subsurface_Inputs!$C$43+2*SIN(2*PI()*A49/42)</f>
        <v/>
      </c>
      <c r="J49" s="50" t="n">
        <v>0</v>
      </c>
    </row>
    <row r="50">
      <c r="A50" s="50">
        <f>Subsurface_Live_Data!A50</f>
        <v/>
      </c>
      <c r="B50" s="50">
        <f>Subsurface_Live_Data!K50</f>
        <v/>
      </c>
      <c r="C50" s="50">
        <f>MAX(0,B50-Subsurface_Inputs!$C$44)</f>
        <v/>
      </c>
      <c r="D50" s="50">
        <f>B50+Subsurface_Inputs!$C$44</f>
        <v/>
      </c>
      <c r="E50" s="50">
        <f>B50*Subsurface_Inputs!$C$45</f>
        <v/>
      </c>
      <c r="F50" s="50">
        <f>B50</f>
        <v/>
      </c>
      <c r="G50" s="50">
        <f>B50*Subsurface_Inputs!$C$46</f>
        <v/>
      </c>
      <c r="H50" s="50">
        <f>Subsurface_Live_Data!Y50</f>
        <v/>
      </c>
      <c r="I50" s="50">
        <f>Subsurface_Inputs!$C$47-Subsurface_Inputs!$C$43+2*SIN(2*PI()*A50/42)</f>
        <v/>
      </c>
      <c r="J50" s="50" t="n">
        <v>0</v>
      </c>
    </row>
    <row r="51">
      <c r="A51" s="50">
        <f>Subsurface_Live_Data!A51</f>
        <v/>
      </c>
      <c r="B51" s="50">
        <f>Subsurface_Live_Data!K51</f>
        <v/>
      </c>
      <c r="C51" s="50">
        <f>MAX(0,B51-Subsurface_Inputs!$C$44)</f>
        <v/>
      </c>
      <c r="D51" s="50">
        <f>B51+Subsurface_Inputs!$C$44</f>
        <v/>
      </c>
      <c r="E51" s="50">
        <f>B51*Subsurface_Inputs!$C$45</f>
        <v/>
      </c>
      <c r="F51" s="50">
        <f>B51</f>
        <v/>
      </c>
      <c r="G51" s="50">
        <f>B51*Subsurface_Inputs!$C$46</f>
        <v/>
      </c>
      <c r="H51" s="50">
        <f>Subsurface_Live_Data!Y51</f>
        <v/>
      </c>
      <c r="I51" s="50">
        <f>Subsurface_Inputs!$C$47-Subsurface_Inputs!$C$43+2*SIN(2*PI()*A51/42)</f>
        <v/>
      </c>
      <c r="J51" s="50" t="n">
        <v>0</v>
      </c>
    </row>
    <row r="52">
      <c r="A52" s="50">
        <f>Subsurface_Live_Data!A52</f>
        <v/>
      </c>
      <c r="B52" s="50">
        <f>Subsurface_Live_Data!K52</f>
        <v/>
      </c>
      <c r="C52" s="50">
        <f>MAX(0,B52-Subsurface_Inputs!$C$44)</f>
        <v/>
      </c>
      <c r="D52" s="50">
        <f>B52+Subsurface_Inputs!$C$44</f>
        <v/>
      </c>
      <c r="E52" s="50">
        <f>B52*Subsurface_Inputs!$C$45</f>
        <v/>
      </c>
      <c r="F52" s="50">
        <f>B52</f>
        <v/>
      </c>
      <c r="G52" s="50">
        <f>B52*Subsurface_Inputs!$C$46</f>
        <v/>
      </c>
      <c r="H52" s="50">
        <f>Subsurface_Live_Data!Y52</f>
        <v/>
      </c>
      <c r="I52" s="50">
        <f>Subsurface_Inputs!$C$47-Subsurface_Inputs!$C$43+2*SIN(2*PI()*A52/42)</f>
        <v/>
      </c>
      <c r="J52" s="50" t="n">
        <v>0</v>
      </c>
    </row>
    <row r="53">
      <c r="A53" s="50">
        <f>Subsurface_Live_Data!A53</f>
        <v/>
      </c>
      <c r="B53" s="50">
        <f>Subsurface_Live_Data!K53</f>
        <v/>
      </c>
      <c r="C53" s="50">
        <f>MAX(0,B53-Subsurface_Inputs!$C$44)</f>
        <v/>
      </c>
      <c r="D53" s="50">
        <f>B53+Subsurface_Inputs!$C$44</f>
        <v/>
      </c>
      <c r="E53" s="50">
        <f>B53*Subsurface_Inputs!$C$45</f>
        <v/>
      </c>
      <c r="F53" s="50">
        <f>B53</f>
        <v/>
      </c>
      <c r="G53" s="50">
        <f>B53*Subsurface_Inputs!$C$46</f>
        <v/>
      </c>
      <c r="H53" s="50">
        <f>Subsurface_Live_Data!Y53</f>
        <v/>
      </c>
      <c r="I53" s="50">
        <f>Subsurface_Inputs!$C$47-Subsurface_Inputs!$C$43+2*SIN(2*PI()*A53/42)</f>
        <v/>
      </c>
      <c r="J53" s="50" t="n">
        <v>0</v>
      </c>
    </row>
    <row r="54">
      <c r="A54" s="50">
        <f>Subsurface_Live_Data!A54</f>
        <v/>
      </c>
      <c r="B54" s="50">
        <f>Subsurface_Live_Data!K54</f>
        <v/>
      </c>
      <c r="C54" s="50">
        <f>MAX(0,B54-Subsurface_Inputs!$C$44)</f>
        <v/>
      </c>
      <c r="D54" s="50">
        <f>B54+Subsurface_Inputs!$C$44</f>
        <v/>
      </c>
      <c r="E54" s="50">
        <f>B54*Subsurface_Inputs!$C$45</f>
        <v/>
      </c>
      <c r="F54" s="50">
        <f>B54</f>
        <v/>
      </c>
      <c r="G54" s="50">
        <f>B54*Subsurface_Inputs!$C$46</f>
        <v/>
      </c>
      <c r="H54" s="50">
        <f>Subsurface_Live_Data!Y54</f>
        <v/>
      </c>
      <c r="I54" s="50">
        <f>Subsurface_Inputs!$C$47-Subsurface_Inputs!$C$43+2*SIN(2*PI()*A54/42)</f>
        <v/>
      </c>
      <c r="J54" s="50" t="n">
        <v>0</v>
      </c>
    </row>
    <row r="55">
      <c r="A55" s="50">
        <f>Subsurface_Live_Data!A55</f>
        <v/>
      </c>
      <c r="B55" s="50">
        <f>Subsurface_Live_Data!K55</f>
        <v/>
      </c>
      <c r="C55" s="50">
        <f>MAX(0,B55-Subsurface_Inputs!$C$44)</f>
        <v/>
      </c>
      <c r="D55" s="50">
        <f>B55+Subsurface_Inputs!$C$44</f>
        <v/>
      </c>
      <c r="E55" s="50">
        <f>B55*Subsurface_Inputs!$C$45</f>
        <v/>
      </c>
      <c r="F55" s="50">
        <f>B55</f>
        <v/>
      </c>
      <c r="G55" s="50">
        <f>B55*Subsurface_Inputs!$C$46</f>
        <v/>
      </c>
      <c r="H55" s="50">
        <f>Subsurface_Live_Data!Y55</f>
        <v/>
      </c>
      <c r="I55" s="50">
        <f>Subsurface_Inputs!$C$47-Subsurface_Inputs!$C$43+2*SIN(2*PI()*A55/42)</f>
        <v/>
      </c>
      <c r="J55" s="50" t="n">
        <v>0</v>
      </c>
    </row>
    <row r="56">
      <c r="A56" s="50">
        <f>Subsurface_Live_Data!A56</f>
        <v/>
      </c>
      <c r="B56" s="50">
        <f>Subsurface_Live_Data!K56</f>
        <v/>
      </c>
      <c r="C56" s="50">
        <f>MAX(0,B56-Subsurface_Inputs!$C$44)</f>
        <v/>
      </c>
      <c r="D56" s="50">
        <f>B56+Subsurface_Inputs!$C$44</f>
        <v/>
      </c>
      <c r="E56" s="50">
        <f>B56*Subsurface_Inputs!$C$45</f>
        <v/>
      </c>
      <c r="F56" s="50">
        <f>B56</f>
        <v/>
      </c>
      <c r="G56" s="50">
        <f>B56*Subsurface_Inputs!$C$46</f>
        <v/>
      </c>
      <c r="H56" s="50">
        <f>Subsurface_Live_Data!Y56</f>
        <v/>
      </c>
      <c r="I56" s="50">
        <f>Subsurface_Inputs!$C$47-Subsurface_Inputs!$C$43+2*SIN(2*PI()*A56/42)</f>
        <v/>
      </c>
      <c r="J56" s="50" t="n">
        <v>0</v>
      </c>
    </row>
    <row r="57">
      <c r="A57" s="50">
        <f>Subsurface_Live_Data!A57</f>
        <v/>
      </c>
      <c r="B57" s="50">
        <f>Subsurface_Live_Data!K57</f>
        <v/>
      </c>
      <c r="C57" s="50">
        <f>MAX(0,B57-Subsurface_Inputs!$C$44)</f>
        <v/>
      </c>
      <c r="D57" s="50">
        <f>B57+Subsurface_Inputs!$C$44</f>
        <v/>
      </c>
      <c r="E57" s="50">
        <f>B57*Subsurface_Inputs!$C$45</f>
        <v/>
      </c>
      <c r="F57" s="50">
        <f>B57</f>
        <v/>
      </c>
      <c r="G57" s="50">
        <f>B57*Subsurface_Inputs!$C$46</f>
        <v/>
      </c>
      <c r="H57" s="50">
        <f>Subsurface_Live_Data!Y57</f>
        <v/>
      </c>
      <c r="I57" s="50">
        <f>Subsurface_Inputs!$C$47-Subsurface_Inputs!$C$43+2*SIN(2*PI()*A57/42)</f>
        <v/>
      </c>
      <c r="J57" s="50" t="n">
        <v>0</v>
      </c>
    </row>
    <row r="58">
      <c r="A58" s="50">
        <f>Subsurface_Live_Data!A58</f>
        <v/>
      </c>
      <c r="B58" s="50">
        <f>Subsurface_Live_Data!K58</f>
        <v/>
      </c>
      <c r="C58" s="50">
        <f>MAX(0,B58-Subsurface_Inputs!$C$44)</f>
        <v/>
      </c>
      <c r="D58" s="50">
        <f>B58+Subsurface_Inputs!$C$44</f>
        <v/>
      </c>
      <c r="E58" s="50">
        <f>B58*Subsurface_Inputs!$C$45</f>
        <v/>
      </c>
      <c r="F58" s="50">
        <f>B58</f>
        <v/>
      </c>
      <c r="G58" s="50">
        <f>B58*Subsurface_Inputs!$C$46</f>
        <v/>
      </c>
      <c r="H58" s="50">
        <f>Subsurface_Live_Data!Y58</f>
        <v/>
      </c>
      <c r="I58" s="50">
        <f>Subsurface_Inputs!$C$47-Subsurface_Inputs!$C$43+2*SIN(2*PI()*A58/42)</f>
        <v/>
      </c>
      <c r="J58" s="50" t="n">
        <v>0</v>
      </c>
    </row>
    <row r="59">
      <c r="A59" s="50">
        <f>Subsurface_Live_Data!A59</f>
        <v/>
      </c>
      <c r="B59" s="50">
        <f>Subsurface_Live_Data!K59</f>
        <v/>
      </c>
      <c r="C59" s="50">
        <f>MAX(0,B59-Subsurface_Inputs!$C$44)</f>
        <v/>
      </c>
      <c r="D59" s="50">
        <f>B59+Subsurface_Inputs!$C$44</f>
        <v/>
      </c>
      <c r="E59" s="50">
        <f>B59*Subsurface_Inputs!$C$45</f>
        <v/>
      </c>
      <c r="F59" s="50">
        <f>B59</f>
        <v/>
      </c>
      <c r="G59" s="50">
        <f>B59*Subsurface_Inputs!$C$46</f>
        <v/>
      </c>
      <c r="H59" s="50">
        <f>Subsurface_Live_Data!Y59</f>
        <v/>
      </c>
      <c r="I59" s="50">
        <f>Subsurface_Inputs!$C$47-Subsurface_Inputs!$C$43+2*SIN(2*PI()*A59/42)</f>
        <v/>
      </c>
      <c r="J59" s="50" t="n">
        <v>0</v>
      </c>
    </row>
    <row r="60">
      <c r="A60" s="50">
        <f>Subsurface_Live_Data!A60</f>
        <v/>
      </c>
      <c r="B60" s="50">
        <f>Subsurface_Live_Data!K60</f>
        <v/>
      </c>
      <c r="C60" s="50">
        <f>MAX(0,B60-Subsurface_Inputs!$C$44)</f>
        <v/>
      </c>
      <c r="D60" s="50">
        <f>B60+Subsurface_Inputs!$C$44</f>
        <v/>
      </c>
      <c r="E60" s="50">
        <f>B60*Subsurface_Inputs!$C$45</f>
        <v/>
      </c>
      <c r="F60" s="50">
        <f>B60</f>
        <v/>
      </c>
      <c r="G60" s="50">
        <f>B60*Subsurface_Inputs!$C$46</f>
        <v/>
      </c>
      <c r="H60" s="50">
        <f>Subsurface_Live_Data!Y60</f>
        <v/>
      </c>
      <c r="I60" s="50">
        <f>Subsurface_Inputs!$C$47-Subsurface_Inputs!$C$43+2*SIN(2*PI()*A60/42)</f>
        <v/>
      </c>
      <c r="J60" s="50" t="n">
        <v>0</v>
      </c>
    </row>
    <row r="61">
      <c r="A61" s="50">
        <f>Subsurface_Live_Data!A61</f>
        <v/>
      </c>
      <c r="B61" s="50">
        <f>Subsurface_Live_Data!K61</f>
        <v/>
      </c>
      <c r="C61" s="50">
        <f>MAX(0,B61-Subsurface_Inputs!$C$44)</f>
        <v/>
      </c>
      <c r="D61" s="50">
        <f>B61+Subsurface_Inputs!$C$44</f>
        <v/>
      </c>
      <c r="E61" s="50">
        <f>B61*Subsurface_Inputs!$C$45</f>
        <v/>
      </c>
      <c r="F61" s="50">
        <f>B61</f>
        <v/>
      </c>
      <c r="G61" s="50">
        <f>B61*Subsurface_Inputs!$C$46</f>
        <v/>
      </c>
      <c r="H61" s="50">
        <f>Subsurface_Live_Data!Y61</f>
        <v/>
      </c>
      <c r="I61" s="50">
        <f>Subsurface_Inputs!$C$47-Subsurface_Inputs!$C$43+2*SIN(2*PI()*A61/42)</f>
        <v/>
      </c>
      <c r="J61" s="50" t="n">
        <v>0</v>
      </c>
    </row>
    <row r="62">
      <c r="A62" s="50">
        <f>Subsurface_Live_Data!A62</f>
        <v/>
      </c>
      <c r="B62" s="50">
        <f>Subsurface_Live_Data!K62</f>
        <v/>
      </c>
      <c r="C62" s="50">
        <f>MAX(0,B62-Subsurface_Inputs!$C$44)</f>
        <v/>
      </c>
      <c r="D62" s="50">
        <f>B62+Subsurface_Inputs!$C$44</f>
        <v/>
      </c>
      <c r="E62" s="50">
        <f>B62*Subsurface_Inputs!$C$45</f>
        <v/>
      </c>
      <c r="F62" s="50">
        <f>B62</f>
        <v/>
      </c>
      <c r="G62" s="50">
        <f>B62*Subsurface_Inputs!$C$46</f>
        <v/>
      </c>
      <c r="H62" s="50">
        <f>Subsurface_Live_Data!Y62</f>
        <v/>
      </c>
      <c r="I62" s="50">
        <f>Subsurface_Inputs!$C$47-Subsurface_Inputs!$C$43+2*SIN(2*PI()*A62/42)</f>
        <v/>
      </c>
      <c r="J62" s="50" t="n">
        <v>0</v>
      </c>
    </row>
    <row r="63">
      <c r="A63" s="50">
        <f>Subsurface_Live_Data!A63</f>
        <v/>
      </c>
      <c r="B63" s="50">
        <f>Subsurface_Live_Data!K63</f>
        <v/>
      </c>
      <c r="C63" s="50">
        <f>MAX(0,B63-Subsurface_Inputs!$C$44)</f>
        <v/>
      </c>
      <c r="D63" s="50">
        <f>B63+Subsurface_Inputs!$C$44</f>
        <v/>
      </c>
      <c r="E63" s="50">
        <f>B63*Subsurface_Inputs!$C$45</f>
        <v/>
      </c>
      <c r="F63" s="50">
        <f>B63</f>
        <v/>
      </c>
      <c r="G63" s="50">
        <f>B63*Subsurface_Inputs!$C$46</f>
        <v/>
      </c>
      <c r="H63" s="50">
        <f>Subsurface_Live_Data!Y63</f>
        <v/>
      </c>
      <c r="I63" s="50">
        <f>Subsurface_Inputs!$C$47-Subsurface_Inputs!$C$43+2*SIN(2*PI()*A63/42)</f>
        <v/>
      </c>
      <c r="J63" s="50" t="n">
        <v>0</v>
      </c>
    </row>
    <row r="64">
      <c r="A64" s="50">
        <f>Subsurface_Live_Data!A64</f>
        <v/>
      </c>
      <c r="B64" s="50">
        <f>Subsurface_Live_Data!K64</f>
        <v/>
      </c>
      <c r="C64" s="50">
        <f>MAX(0,B64-Subsurface_Inputs!$C$44)</f>
        <v/>
      </c>
      <c r="D64" s="50">
        <f>B64+Subsurface_Inputs!$C$44</f>
        <v/>
      </c>
      <c r="E64" s="50">
        <f>B64*Subsurface_Inputs!$C$45</f>
        <v/>
      </c>
      <c r="F64" s="50">
        <f>B64</f>
        <v/>
      </c>
      <c r="G64" s="50">
        <f>B64*Subsurface_Inputs!$C$46</f>
        <v/>
      </c>
      <c r="H64" s="50">
        <f>Subsurface_Live_Data!Y64</f>
        <v/>
      </c>
      <c r="I64" s="50">
        <f>Subsurface_Inputs!$C$47-Subsurface_Inputs!$C$43+2*SIN(2*PI()*A64/42)</f>
        <v/>
      </c>
      <c r="J64" s="50" t="n">
        <v>0</v>
      </c>
    </row>
    <row r="65">
      <c r="A65" s="50">
        <f>Subsurface_Live_Data!A65</f>
        <v/>
      </c>
      <c r="B65" s="50">
        <f>Subsurface_Live_Data!K65</f>
        <v/>
      </c>
      <c r="C65" s="50">
        <f>MAX(0,B65-Subsurface_Inputs!$C$44)</f>
        <v/>
      </c>
      <c r="D65" s="50">
        <f>B65+Subsurface_Inputs!$C$44</f>
        <v/>
      </c>
      <c r="E65" s="50">
        <f>B65*Subsurface_Inputs!$C$45</f>
        <v/>
      </c>
      <c r="F65" s="50">
        <f>B65</f>
        <v/>
      </c>
      <c r="G65" s="50">
        <f>B65*Subsurface_Inputs!$C$46</f>
        <v/>
      </c>
      <c r="H65" s="50">
        <f>Subsurface_Live_Data!Y65</f>
        <v/>
      </c>
      <c r="I65" s="50">
        <f>Subsurface_Inputs!$C$47-Subsurface_Inputs!$C$43+2*SIN(2*PI()*A65/42)</f>
        <v/>
      </c>
      <c r="J65" s="50" t="n">
        <v>0</v>
      </c>
    </row>
    <row r="66">
      <c r="A66" s="50">
        <f>Subsurface_Live_Data!A66</f>
        <v/>
      </c>
      <c r="B66" s="50">
        <f>Subsurface_Live_Data!K66</f>
        <v/>
      </c>
      <c r="C66" s="50">
        <f>MAX(0,B66-Subsurface_Inputs!$C$44)</f>
        <v/>
      </c>
      <c r="D66" s="50">
        <f>B66+Subsurface_Inputs!$C$44</f>
        <v/>
      </c>
      <c r="E66" s="50">
        <f>B66*Subsurface_Inputs!$C$45</f>
        <v/>
      </c>
      <c r="F66" s="50">
        <f>B66</f>
        <v/>
      </c>
      <c r="G66" s="50">
        <f>B66*Subsurface_Inputs!$C$46</f>
        <v/>
      </c>
      <c r="H66" s="50">
        <f>Subsurface_Live_Data!Y66</f>
        <v/>
      </c>
      <c r="I66" s="50">
        <f>Subsurface_Inputs!$C$47-Subsurface_Inputs!$C$43+2*SIN(2*PI()*A66/42)</f>
        <v/>
      </c>
      <c r="J66" s="50" t="n">
        <v>0</v>
      </c>
    </row>
    <row r="67">
      <c r="A67" s="50">
        <f>Subsurface_Live_Data!A67</f>
        <v/>
      </c>
      <c r="B67" s="50">
        <f>Subsurface_Live_Data!K67</f>
        <v/>
      </c>
      <c r="C67" s="50">
        <f>MAX(0,B67-Subsurface_Inputs!$C$44)</f>
        <v/>
      </c>
      <c r="D67" s="50">
        <f>B67+Subsurface_Inputs!$C$44</f>
        <v/>
      </c>
      <c r="E67" s="50">
        <f>B67*Subsurface_Inputs!$C$45</f>
        <v/>
      </c>
      <c r="F67" s="50">
        <f>B67</f>
        <v/>
      </c>
      <c r="G67" s="50">
        <f>B67*Subsurface_Inputs!$C$46</f>
        <v/>
      </c>
      <c r="H67" s="50">
        <f>Subsurface_Live_Data!Y67</f>
        <v/>
      </c>
      <c r="I67" s="50">
        <f>Subsurface_Inputs!$C$47-Subsurface_Inputs!$C$43+2*SIN(2*PI()*A67/42)</f>
        <v/>
      </c>
      <c r="J67" s="50" t="n">
        <v>0</v>
      </c>
    </row>
    <row r="68">
      <c r="A68" s="50">
        <f>Subsurface_Live_Data!A68</f>
        <v/>
      </c>
      <c r="B68" s="50">
        <f>Subsurface_Live_Data!K68</f>
        <v/>
      </c>
      <c r="C68" s="50">
        <f>MAX(0,B68-Subsurface_Inputs!$C$44)</f>
        <v/>
      </c>
      <c r="D68" s="50">
        <f>B68+Subsurface_Inputs!$C$44</f>
        <v/>
      </c>
      <c r="E68" s="50">
        <f>B68*Subsurface_Inputs!$C$45</f>
        <v/>
      </c>
      <c r="F68" s="50">
        <f>B68</f>
        <v/>
      </c>
      <c r="G68" s="50">
        <f>B68*Subsurface_Inputs!$C$46</f>
        <v/>
      </c>
      <c r="H68" s="50">
        <f>Subsurface_Live_Data!Y68</f>
        <v/>
      </c>
      <c r="I68" s="50">
        <f>Subsurface_Inputs!$C$47-Subsurface_Inputs!$C$43+2*SIN(2*PI()*A68/42)</f>
        <v/>
      </c>
      <c r="J68" s="50" t="n">
        <v>0</v>
      </c>
    </row>
    <row r="69">
      <c r="A69" s="50">
        <f>Subsurface_Live_Data!A69</f>
        <v/>
      </c>
      <c r="B69" s="50">
        <f>Subsurface_Live_Data!K69</f>
        <v/>
      </c>
      <c r="C69" s="50">
        <f>MAX(0,B69-Subsurface_Inputs!$C$44)</f>
        <v/>
      </c>
      <c r="D69" s="50">
        <f>B69+Subsurface_Inputs!$C$44</f>
        <v/>
      </c>
      <c r="E69" s="50">
        <f>B69*Subsurface_Inputs!$C$45</f>
        <v/>
      </c>
      <c r="F69" s="50">
        <f>B69</f>
        <v/>
      </c>
      <c r="G69" s="50">
        <f>B69*Subsurface_Inputs!$C$46</f>
        <v/>
      </c>
      <c r="H69" s="50">
        <f>Subsurface_Live_Data!Y69</f>
        <v/>
      </c>
      <c r="I69" s="50">
        <f>Subsurface_Inputs!$C$47-Subsurface_Inputs!$C$43+2*SIN(2*PI()*A69/42)</f>
        <v/>
      </c>
      <c r="J69" s="50" t="n">
        <v>0</v>
      </c>
    </row>
    <row r="70">
      <c r="A70" s="50">
        <f>Subsurface_Live_Data!A70</f>
        <v/>
      </c>
      <c r="B70" s="50">
        <f>Subsurface_Live_Data!K70</f>
        <v/>
      </c>
      <c r="C70" s="50">
        <f>MAX(0,B70-Subsurface_Inputs!$C$44)</f>
        <v/>
      </c>
      <c r="D70" s="50">
        <f>B70+Subsurface_Inputs!$C$44</f>
        <v/>
      </c>
      <c r="E70" s="50">
        <f>B70*Subsurface_Inputs!$C$45</f>
        <v/>
      </c>
      <c r="F70" s="50">
        <f>B70</f>
        <v/>
      </c>
      <c r="G70" s="50">
        <f>B70*Subsurface_Inputs!$C$46</f>
        <v/>
      </c>
      <c r="H70" s="50">
        <f>Subsurface_Live_Data!Y70</f>
        <v/>
      </c>
      <c r="I70" s="50">
        <f>Subsurface_Inputs!$C$47-Subsurface_Inputs!$C$43+2*SIN(2*PI()*A70/42)</f>
        <v/>
      </c>
      <c r="J70" s="50" t="n">
        <v>0</v>
      </c>
    </row>
    <row r="71">
      <c r="A71" s="50">
        <f>Subsurface_Live_Data!A71</f>
        <v/>
      </c>
      <c r="B71" s="50">
        <f>Subsurface_Live_Data!K71</f>
        <v/>
      </c>
      <c r="C71" s="50">
        <f>MAX(0,B71-Subsurface_Inputs!$C$44)</f>
        <v/>
      </c>
      <c r="D71" s="50">
        <f>B71+Subsurface_Inputs!$C$44</f>
        <v/>
      </c>
      <c r="E71" s="50">
        <f>B71*Subsurface_Inputs!$C$45</f>
        <v/>
      </c>
      <c r="F71" s="50">
        <f>B71</f>
        <v/>
      </c>
      <c r="G71" s="50">
        <f>B71*Subsurface_Inputs!$C$46</f>
        <v/>
      </c>
      <c r="H71" s="50">
        <f>Subsurface_Live_Data!Y71</f>
        <v/>
      </c>
      <c r="I71" s="50">
        <f>Subsurface_Inputs!$C$47-Subsurface_Inputs!$C$43+2*SIN(2*PI()*A71/42)</f>
        <v/>
      </c>
      <c r="J71" s="50" t="n">
        <v>0</v>
      </c>
    </row>
    <row r="72">
      <c r="A72" s="50">
        <f>Subsurface_Live_Data!A72</f>
        <v/>
      </c>
      <c r="B72" s="50">
        <f>Subsurface_Live_Data!K72</f>
        <v/>
      </c>
      <c r="C72" s="50">
        <f>MAX(0,B72-Subsurface_Inputs!$C$44)</f>
        <v/>
      </c>
      <c r="D72" s="50">
        <f>B72+Subsurface_Inputs!$C$44</f>
        <v/>
      </c>
      <c r="E72" s="50">
        <f>B72*Subsurface_Inputs!$C$45</f>
        <v/>
      </c>
      <c r="F72" s="50">
        <f>B72</f>
        <v/>
      </c>
      <c r="G72" s="50">
        <f>B72*Subsurface_Inputs!$C$46</f>
        <v/>
      </c>
      <c r="H72" s="50">
        <f>Subsurface_Live_Data!Y72</f>
        <v/>
      </c>
      <c r="I72" s="50">
        <f>Subsurface_Inputs!$C$47-Subsurface_Inputs!$C$43+2*SIN(2*PI()*A72/42)</f>
        <v/>
      </c>
      <c r="J72" s="50" t="n">
        <v>0</v>
      </c>
    </row>
    <row r="73">
      <c r="A73" s="50">
        <f>Subsurface_Live_Data!A73</f>
        <v/>
      </c>
      <c r="B73" s="50">
        <f>Subsurface_Live_Data!K73</f>
        <v/>
      </c>
      <c r="C73" s="50">
        <f>MAX(0,B73-Subsurface_Inputs!$C$44)</f>
        <v/>
      </c>
      <c r="D73" s="50">
        <f>B73+Subsurface_Inputs!$C$44</f>
        <v/>
      </c>
      <c r="E73" s="50">
        <f>B73*Subsurface_Inputs!$C$45</f>
        <v/>
      </c>
      <c r="F73" s="50">
        <f>B73</f>
        <v/>
      </c>
      <c r="G73" s="50">
        <f>B73*Subsurface_Inputs!$C$46</f>
        <v/>
      </c>
      <c r="H73" s="50">
        <f>Subsurface_Live_Data!Y73</f>
        <v/>
      </c>
      <c r="I73" s="50">
        <f>Subsurface_Inputs!$C$47-Subsurface_Inputs!$C$43+2*SIN(2*PI()*A73/42)</f>
        <v/>
      </c>
      <c r="J73" s="50" t="n">
        <v>0</v>
      </c>
    </row>
    <row r="74">
      <c r="A74" s="50">
        <f>Subsurface_Live_Data!A74</f>
        <v/>
      </c>
      <c r="B74" s="50">
        <f>Subsurface_Live_Data!K74</f>
        <v/>
      </c>
      <c r="C74" s="50">
        <f>MAX(0,B74-Subsurface_Inputs!$C$44)</f>
        <v/>
      </c>
      <c r="D74" s="50">
        <f>B74+Subsurface_Inputs!$C$44</f>
        <v/>
      </c>
      <c r="E74" s="50">
        <f>B74*Subsurface_Inputs!$C$45</f>
        <v/>
      </c>
      <c r="F74" s="50">
        <f>B74</f>
        <v/>
      </c>
      <c r="G74" s="50">
        <f>B74*Subsurface_Inputs!$C$46</f>
        <v/>
      </c>
      <c r="H74" s="50">
        <f>Subsurface_Live_Data!Y74</f>
        <v/>
      </c>
      <c r="I74" s="50">
        <f>Subsurface_Inputs!$C$47-Subsurface_Inputs!$C$43+2*SIN(2*PI()*A74/42)</f>
        <v/>
      </c>
      <c r="J74" s="50" t="n">
        <v>0</v>
      </c>
    </row>
    <row r="75">
      <c r="A75" s="50">
        <f>Subsurface_Live_Data!A75</f>
        <v/>
      </c>
      <c r="B75" s="50">
        <f>Subsurface_Live_Data!K75</f>
        <v/>
      </c>
      <c r="C75" s="50">
        <f>MAX(0,B75-Subsurface_Inputs!$C$44)</f>
        <v/>
      </c>
      <c r="D75" s="50">
        <f>B75+Subsurface_Inputs!$C$44</f>
        <v/>
      </c>
      <c r="E75" s="50">
        <f>B75*Subsurface_Inputs!$C$45</f>
        <v/>
      </c>
      <c r="F75" s="50">
        <f>B75</f>
        <v/>
      </c>
      <c r="G75" s="50">
        <f>B75*Subsurface_Inputs!$C$46</f>
        <v/>
      </c>
      <c r="H75" s="50">
        <f>Subsurface_Live_Data!Y75</f>
        <v/>
      </c>
      <c r="I75" s="50">
        <f>Subsurface_Inputs!$C$47-Subsurface_Inputs!$C$43+2*SIN(2*PI()*A75/42)</f>
        <v/>
      </c>
      <c r="J75" s="50" t="n">
        <v>0</v>
      </c>
    </row>
    <row r="76">
      <c r="A76" s="50">
        <f>Subsurface_Live_Data!A76</f>
        <v/>
      </c>
      <c r="B76" s="50">
        <f>Subsurface_Live_Data!K76</f>
        <v/>
      </c>
      <c r="C76" s="50">
        <f>MAX(0,B76-Subsurface_Inputs!$C$44)</f>
        <v/>
      </c>
      <c r="D76" s="50">
        <f>B76+Subsurface_Inputs!$C$44</f>
        <v/>
      </c>
      <c r="E76" s="50">
        <f>B76*Subsurface_Inputs!$C$45</f>
        <v/>
      </c>
      <c r="F76" s="50">
        <f>B76</f>
        <v/>
      </c>
      <c r="G76" s="50">
        <f>B76*Subsurface_Inputs!$C$46</f>
        <v/>
      </c>
      <c r="H76" s="50">
        <f>Subsurface_Live_Data!Y76</f>
        <v/>
      </c>
      <c r="I76" s="50">
        <f>Subsurface_Inputs!$C$47-Subsurface_Inputs!$C$43+2*SIN(2*PI()*A76/42)</f>
        <v/>
      </c>
      <c r="J76" s="50" t="n">
        <v>0</v>
      </c>
    </row>
    <row r="77">
      <c r="A77" s="50">
        <f>Subsurface_Live_Data!A77</f>
        <v/>
      </c>
      <c r="B77" s="50">
        <f>Subsurface_Live_Data!K77</f>
        <v/>
      </c>
      <c r="C77" s="50">
        <f>MAX(0,B77-Subsurface_Inputs!$C$44)</f>
        <v/>
      </c>
      <c r="D77" s="50">
        <f>B77+Subsurface_Inputs!$C$44</f>
        <v/>
      </c>
      <c r="E77" s="50">
        <f>B77*Subsurface_Inputs!$C$45</f>
        <v/>
      </c>
      <c r="F77" s="50">
        <f>B77</f>
        <v/>
      </c>
      <c r="G77" s="50">
        <f>B77*Subsurface_Inputs!$C$46</f>
        <v/>
      </c>
      <c r="H77" s="50">
        <f>Subsurface_Live_Data!Y77</f>
        <v/>
      </c>
      <c r="I77" s="50">
        <f>Subsurface_Inputs!$C$47-Subsurface_Inputs!$C$43+2*SIN(2*PI()*A77/42)</f>
        <v/>
      </c>
      <c r="J77" s="50" t="n">
        <v>0</v>
      </c>
    </row>
    <row r="78">
      <c r="A78" s="50">
        <f>Subsurface_Live_Data!A78</f>
        <v/>
      </c>
      <c r="B78" s="50">
        <f>Subsurface_Live_Data!K78</f>
        <v/>
      </c>
      <c r="C78" s="50">
        <f>MAX(0,B78-Subsurface_Inputs!$C$44)</f>
        <v/>
      </c>
      <c r="D78" s="50">
        <f>B78+Subsurface_Inputs!$C$44</f>
        <v/>
      </c>
      <c r="E78" s="50">
        <f>B78*Subsurface_Inputs!$C$45</f>
        <v/>
      </c>
      <c r="F78" s="50">
        <f>B78</f>
        <v/>
      </c>
      <c r="G78" s="50">
        <f>B78*Subsurface_Inputs!$C$46</f>
        <v/>
      </c>
      <c r="H78" s="50">
        <f>Subsurface_Live_Data!Y78</f>
        <v/>
      </c>
      <c r="I78" s="50">
        <f>Subsurface_Inputs!$C$47-Subsurface_Inputs!$C$43+2*SIN(2*PI()*A78/42)</f>
        <v/>
      </c>
      <c r="J78" s="50" t="n">
        <v>0</v>
      </c>
    </row>
    <row r="79">
      <c r="A79" s="50">
        <f>Subsurface_Live_Data!A79</f>
        <v/>
      </c>
      <c r="B79" s="50">
        <f>Subsurface_Live_Data!K79</f>
        <v/>
      </c>
      <c r="C79" s="50">
        <f>MAX(0,B79-Subsurface_Inputs!$C$44)</f>
        <v/>
      </c>
      <c r="D79" s="50">
        <f>B79+Subsurface_Inputs!$C$44</f>
        <v/>
      </c>
      <c r="E79" s="50">
        <f>B79*Subsurface_Inputs!$C$45</f>
        <v/>
      </c>
      <c r="F79" s="50">
        <f>B79</f>
        <v/>
      </c>
      <c r="G79" s="50">
        <f>B79*Subsurface_Inputs!$C$46</f>
        <v/>
      </c>
      <c r="H79" s="50">
        <f>Subsurface_Live_Data!Y79</f>
        <v/>
      </c>
      <c r="I79" s="50">
        <f>Subsurface_Inputs!$C$47-Subsurface_Inputs!$C$43+2*SIN(2*PI()*A79/42)</f>
        <v/>
      </c>
      <c r="J79" s="50" t="n">
        <v>0</v>
      </c>
    </row>
    <row r="80">
      <c r="A80" s="50">
        <f>Subsurface_Live_Data!A80</f>
        <v/>
      </c>
      <c r="B80" s="50">
        <f>Subsurface_Live_Data!K80</f>
        <v/>
      </c>
      <c r="C80" s="50">
        <f>MAX(0,B80-Subsurface_Inputs!$C$44)</f>
        <v/>
      </c>
      <c r="D80" s="50">
        <f>B80+Subsurface_Inputs!$C$44</f>
        <v/>
      </c>
      <c r="E80" s="50">
        <f>B80*Subsurface_Inputs!$C$45</f>
        <v/>
      </c>
      <c r="F80" s="50">
        <f>B80</f>
        <v/>
      </c>
      <c r="G80" s="50">
        <f>B80*Subsurface_Inputs!$C$46</f>
        <v/>
      </c>
      <c r="H80" s="50">
        <f>Subsurface_Live_Data!Y80</f>
        <v/>
      </c>
      <c r="I80" s="50">
        <f>Subsurface_Inputs!$C$47-Subsurface_Inputs!$C$43+2*SIN(2*PI()*A80/42)</f>
        <v/>
      </c>
      <c r="J80" s="50" t="n">
        <v>0</v>
      </c>
    </row>
    <row r="81">
      <c r="A81" s="50">
        <f>Subsurface_Live_Data!A81</f>
        <v/>
      </c>
      <c r="B81" s="50">
        <f>Subsurface_Live_Data!K81</f>
        <v/>
      </c>
      <c r="C81" s="50">
        <f>MAX(0,B81-Subsurface_Inputs!$C$44)</f>
        <v/>
      </c>
      <c r="D81" s="50">
        <f>B81+Subsurface_Inputs!$C$44</f>
        <v/>
      </c>
      <c r="E81" s="50">
        <f>B81*Subsurface_Inputs!$C$45</f>
        <v/>
      </c>
      <c r="F81" s="50">
        <f>B81</f>
        <v/>
      </c>
      <c r="G81" s="50">
        <f>B81*Subsurface_Inputs!$C$46</f>
        <v/>
      </c>
      <c r="H81" s="50">
        <f>Subsurface_Live_Data!Y81</f>
        <v/>
      </c>
      <c r="I81" s="50">
        <f>Subsurface_Inputs!$C$47-Subsurface_Inputs!$C$43+2*SIN(2*PI()*A81/42)</f>
        <v/>
      </c>
      <c r="J81" s="50" t="n">
        <v>0</v>
      </c>
    </row>
    <row r="82">
      <c r="A82" s="50">
        <f>Subsurface_Live_Data!A82</f>
        <v/>
      </c>
      <c r="B82" s="50">
        <f>Subsurface_Live_Data!K82</f>
        <v/>
      </c>
      <c r="C82" s="50">
        <f>MAX(0,B82-Subsurface_Inputs!$C$44)</f>
        <v/>
      </c>
      <c r="D82" s="50">
        <f>B82+Subsurface_Inputs!$C$44</f>
        <v/>
      </c>
      <c r="E82" s="50">
        <f>B82*Subsurface_Inputs!$C$45</f>
        <v/>
      </c>
      <c r="F82" s="50">
        <f>B82</f>
        <v/>
      </c>
      <c r="G82" s="50">
        <f>B82*Subsurface_Inputs!$C$46</f>
        <v/>
      </c>
      <c r="H82" s="50">
        <f>Subsurface_Live_Data!Y82</f>
        <v/>
      </c>
      <c r="I82" s="50">
        <f>Subsurface_Inputs!$C$47-Subsurface_Inputs!$C$43+2*SIN(2*PI()*A82/42)</f>
        <v/>
      </c>
      <c r="J82" s="50" t="n">
        <v>0</v>
      </c>
    </row>
    <row r="83">
      <c r="A83" s="50">
        <f>Subsurface_Live_Data!A83</f>
        <v/>
      </c>
      <c r="B83" s="50">
        <f>Subsurface_Live_Data!K83</f>
        <v/>
      </c>
      <c r="C83" s="50">
        <f>MAX(0,B83-Subsurface_Inputs!$C$44)</f>
        <v/>
      </c>
      <c r="D83" s="50">
        <f>B83+Subsurface_Inputs!$C$44</f>
        <v/>
      </c>
      <c r="E83" s="50">
        <f>B83*Subsurface_Inputs!$C$45</f>
        <v/>
      </c>
      <c r="F83" s="50">
        <f>B83</f>
        <v/>
      </c>
      <c r="G83" s="50">
        <f>B83*Subsurface_Inputs!$C$46</f>
        <v/>
      </c>
      <c r="H83" s="50">
        <f>Subsurface_Live_Data!Y83</f>
        <v/>
      </c>
      <c r="I83" s="50">
        <f>Subsurface_Inputs!$C$47-Subsurface_Inputs!$C$43+2*SIN(2*PI()*A83/42)</f>
        <v/>
      </c>
      <c r="J83" s="50" t="n">
        <v>0</v>
      </c>
    </row>
    <row r="84">
      <c r="A84" s="50">
        <f>Subsurface_Live_Data!A84</f>
        <v/>
      </c>
      <c r="B84" s="50">
        <f>Subsurface_Live_Data!K84</f>
        <v/>
      </c>
      <c r="C84" s="50">
        <f>MAX(0,B84-Subsurface_Inputs!$C$44)</f>
        <v/>
      </c>
      <c r="D84" s="50">
        <f>B84+Subsurface_Inputs!$C$44</f>
        <v/>
      </c>
      <c r="E84" s="50">
        <f>B84*Subsurface_Inputs!$C$45</f>
        <v/>
      </c>
      <c r="F84" s="50">
        <f>B84</f>
        <v/>
      </c>
      <c r="G84" s="50">
        <f>B84*Subsurface_Inputs!$C$46</f>
        <v/>
      </c>
      <c r="H84" s="50">
        <f>Subsurface_Live_Data!Y84</f>
        <v/>
      </c>
      <c r="I84" s="50">
        <f>Subsurface_Inputs!$C$47-Subsurface_Inputs!$C$43+2*SIN(2*PI()*A84/42)</f>
        <v/>
      </c>
      <c r="J84" s="50" t="n">
        <v>0</v>
      </c>
    </row>
    <row r="85">
      <c r="A85" s="50">
        <f>Subsurface_Live_Data!A85</f>
        <v/>
      </c>
      <c r="B85" s="50">
        <f>Subsurface_Live_Data!K85</f>
        <v/>
      </c>
      <c r="C85" s="50">
        <f>MAX(0,B85-Subsurface_Inputs!$C$44)</f>
        <v/>
      </c>
      <c r="D85" s="50">
        <f>B85+Subsurface_Inputs!$C$44</f>
        <v/>
      </c>
      <c r="E85" s="50">
        <f>B85*Subsurface_Inputs!$C$45</f>
        <v/>
      </c>
      <c r="F85" s="50">
        <f>B85</f>
        <v/>
      </c>
      <c r="G85" s="50">
        <f>B85*Subsurface_Inputs!$C$46</f>
        <v/>
      </c>
      <c r="H85" s="50">
        <f>Subsurface_Live_Data!Y85</f>
        <v/>
      </c>
      <c r="I85" s="50">
        <f>Subsurface_Inputs!$C$47-Subsurface_Inputs!$C$43+2*SIN(2*PI()*A85/42)</f>
        <v/>
      </c>
      <c r="J85" s="50" t="n">
        <v>0</v>
      </c>
    </row>
    <row r="86">
      <c r="A86" s="50">
        <f>Subsurface_Live_Data!A86</f>
        <v/>
      </c>
      <c r="B86" s="50">
        <f>Subsurface_Live_Data!K86</f>
        <v/>
      </c>
      <c r="C86" s="50">
        <f>MAX(0,B86-Subsurface_Inputs!$C$44)</f>
        <v/>
      </c>
      <c r="D86" s="50">
        <f>B86+Subsurface_Inputs!$C$44</f>
        <v/>
      </c>
      <c r="E86" s="50">
        <f>B86*Subsurface_Inputs!$C$45</f>
        <v/>
      </c>
      <c r="F86" s="50">
        <f>B86</f>
        <v/>
      </c>
      <c r="G86" s="50">
        <f>B86*Subsurface_Inputs!$C$46</f>
        <v/>
      </c>
      <c r="H86" s="50">
        <f>Subsurface_Live_Data!Y86</f>
        <v/>
      </c>
      <c r="I86" s="50">
        <f>Subsurface_Inputs!$C$47-Subsurface_Inputs!$C$43+2*SIN(2*PI()*A86/42)</f>
        <v/>
      </c>
      <c r="J86" s="50" t="n">
        <v>0</v>
      </c>
    </row>
    <row r="87">
      <c r="A87" s="50">
        <f>Subsurface_Live_Data!A87</f>
        <v/>
      </c>
      <c r="B87" s="50">
        <f>Subsurface_Live_Data!K87</f>
        <v/>
      </c>
      <c r="C87" s="50">
        <f>MAX(0,B87-Subsurface_Inputs!$C$44)</f>
        <v/>
      </c>
      <c r="D87" s="50">
        <f>B87+Subsurface_Inputs!$C$44</f>
        <v/>
      </c>
      <c r="E87" s="50">
        <f>B87*Subsurface_Inputs!$C$45</f>
        <v/>
      </c>
      <c r="F87" s="50">
        <f>B87</f>
        <v/>
      </c>
      <c r="G87" s="50">
        <f>B87*Subsurface_Inputs!$C$46</f>
        <v/>
      </c>
      <c r="H87" s="50">
        <f>Subsurface_Live_Data!Y87</f>
        <v/>
      </c>
      <c r="I87" s="50">
        <f>Subsurface_Inputs!$C$47-Subsurface_Inputs!$C$43+2*SIN(2*PI()*A87/42)</f>
        <v/>
      </c>
      <c r="J87" s="50" t="n">
        <v>0</v>
      </c>
    </row>
    <row r="88">
      <c r="A88" s="50">
        <f>Subsurface_Live_Data!A88</f>
        <v/>
      </c>
      <c r="B88" s="50">
        <f>Subsurface_Live_Data!K88</f>
        <v/>
      </c>
      <c r="C88" s="50">
        <f>MAX(0,B88-Subsurface_Inputs!$C$44)</f>
        <v/>
      </c>
      <c r="D88" s="50">
        <f>B88+Subsurface_Inputs!$C$44</f>
        <v/>
      </c>
      <c r="E88" s="50">
        <f>B88*Subsurface_Inputs!$C$45</f>
        <v/>
      </c>
      <c r="F88" s="50">
        <f>B88</f>
        <v/>
      </c>
      <c r="G88" s="50">
        <f>B88*Subsurface_Inputs!$C$46</f>
        <v/>
      </c>
      <c r="H88" s="50">
        <f>Subsurface_Live_Data!Y88</f>
        <v/>
      </c>
      <c r="I88" s="50">
        <f>Subsurface_Inputs!$C$47-Subsurface_Inputs!$C$43+2*SIN(2*PI()*A88/42)</f>
        <v/>
      </c>
      <c r="J88" s="50" t="n">
        <v>0</v>
      </c>
    </row>
    <row r="89">
      <c r="A89" s="50">
        <f>Subsurface_Live_Data!A89</f>
        <v/>
      </c>
      <c r="B89" s="50">
        <f>Subsurface_Live_Data!K89</f>
        <v/>
      </c>
      <c r="C89" s="50">
        <f>MAX(0,B89-Subsurface_Inputs!$C$44)</f>
        <v/>
      </c>
      <c r="D89" s="50">
        <f>B89+Subsurface_Inputs!$C$44</f>
        <v/>
      </c>
      <c r="E89" s="50">
        <f>B89*Subsurface_Inputs!$C$45</f>
        <v/>
      </c>
      <c r="F89" s="50">
        <f>B89</f>
        <v/>
      </c>
      <c r="G89" s="50">
        <f>B89*Subsurface_Inputs!$C$46</f>
        <v/>
      </c>
      <c r="H89" s="50">
        <f>Subsurface_Live_Data!Y89</f>
        <v/>
      </c>
      <c r="I89" s="50">
        <f>Subsurface_Inputs!$C$47-Subsurface_Inputs!$C$43+2*SIN(2*PI()*A89/42)</f>
        <v/>
      </c>
      <c r="J89" s="50" t="n">
        <v>0</v>
      </c>
    </row>
    <row r="90">
      <c r="A90" s="50">
        <f>Subsurface_Live_Data!A90</f>
        <v/>
      </c>
      <c r="B90" s="50">
        <f>Subsurface_Live_Data!K90</f>
        <v/>
      </c>
      <c r="C90" s="50">
        <f>MAX(0,B90-Subsurface_Inputs!$C$44)</f>
        <v/>
      </c>
      <c r="D90" s="50">
        <f>B90+Subsurface_Inputs!$C$44</f>
        <v/>
      </c>
      <c r="E90" s="50">
        <f>B90*Subsurface_Inputs!$C$45</f>
        <v/>
      </c>
      <c r="F90" s="50">
        <f>B90</f>
        <v/>
      </c>
      <c r="G90" s="50">
        <f>B90*Subsurface_Inputs!$C$46</f>
        <v/>
      </c>
      <c r="H90" s="50">
        <f>Subsurface_Live_Data!Y90</f>
        <v/>
      </c>
      <c r="I90" s="50">
        <f>Subsurface_Inputs!$C$47-Subsurface_Inputs!$C$43+2*SIN(2*PI()*A90/42)</f>
        <v/>
      </c>
      <c r="J90" s="50" t="n">
        <v>0</v>
      </c>
    </row>
    <row r="91">
      <c r="A91" s="50">
        <f>Subsurface_Live_Data!A91</f>
        <v/>
      </c>
      <c r="B91" s="50">
        <f>Subsurface_Live_Data!K91</f>
        <v/>
      </c>
      <c r="C91" s="50">
        <f>MAX(0,B91-Subsurface_Inputs!$C$44)</f>
        <v/>
      </c>
      <c r="D91" s="50">
        <f>B91+Subsurface_Inputs!$C$44</f>
        <v/>
      </c>
      <c r="E91" s="50">
        <f>B91*Subsurface_Inputs!$C$45</f>
        <v/>
      </c>
      <c r="F91" s="50">
        <f>B91</f>
        <v/>
      </c>
      <c r="G91" s="50">
        <f>B91*Subsurface_Inputs!$C$46</f>
        <v/>
      </c>
      <c r="H91" s="50">
        <f>Subsurface_Live_Data!Y91</f>
        <v/>
      </c>
      <c r="I91" s="50">
        <f>Subsurface_Inputs!$C$47-Subsurface_Inputs!$C$43+2*SIN(2*PI()*A91/42)</f>
        <v/>
      </c>
      <c r="J91" s="50" t="n">
        <v>0</v>
      </c>
    </row>
    <row r="92">
      <c r="A92" s="50">
        <f>Subsurface_Live_Data!A92</f>
        <v/>
      </c>
      <c r="B92" s="50">
        <f>Subsurface_Live_Data!K92</f>
        <v/>
      </c>
      <c r="C92" s="50">
        <f>MAX(0,B92-Subsurface_Inputs!$C$44)</f>
        <v/>
      </c>
      <c r="D92" s="50">
        <f>B92+Subsurface_Inputs!$C$44</f>
        <v/>
      </c>
      <c r="E92" s="50">
        <f>B92*Subsurface_Inputs!$C$45</f>
        <v/>
      </c>
      <c r="F92" s="50">
        <f>B92</f>
        <v/>
      </c>
      <c r="G92" s="50">
        <f>B92*Subsurface_Inputs!$C$46</f>
        <v/>
      </c>
      <c r="H92" s="50">
        <f>Subsurface_Live_Data!Y92</f>
        <v/>
      </c>
      <c r="I92" s="50">
        <f>Subsurface_Inputs!$C$47-Subsurface_Inputs!$C$43+2*SIN(2*PI()*A92/42)</f>
        <v/>
      </c>
      <c r="J92" s="50" t="n">
        <v>0</v>
      </c>
    </row>
    <row r="93">
      <c r="A93" s="50">
        <f>Subsurface_Live_Data!A93</f>
        <v/>
      </c>
      <c r="B93" s="50">
        <f>Subsurface_Live_Data!K93</f>
        <v/>
      </c>
      <c r="C93" s="50">
        <f>MAX(0,B93-Subsurface_Inputs!$C$44)</f>
        <v/>
      </c>
      <c r="D93" s="50">
        <f>B93+Subsurface_Inputs!$C$44</f>
        <v/>
      </c>
      <c r="E93" s="50">
        <f>B93*Subsurface_Inputs!$C$45</f>
        <v/>
      </c>
      <c r="F93" s="50">
        <f>B93</f>
        <v/>
      </c>
      <c r="G93" s="50">
        <f>B93*Subsurface_Inputs!$C$46</f>
        <v/>
      </c>
      <c r="H93" s="50">
        <f>Subsurface_Live_Data!Y93</f>
        <v/>
      </c>
      <c r="I93" s="50">
        <f>Subsurface_Inputs!$C$47-Subsurface_Inputs!$C$43+2*SIN(2*PI()*A93/42)</f>
        <v/>
      </c>
      <c r="J93" s="50" t="n">
        <v>0</v>
      </c>
    </row>
    <row r="94">
      <c r="A94" s="50">
        <f>Subsurface_Live_Data!A94</f>
        <v/>
      </c>
      <c r="B94" s="50">
        <f>Subsurface_Live_Data!K94</f>
        <v/>
      </c>
      <c r="C94" s="50">
        <f>MAX(0,B94-Subsurface_Inputs!$C$44)</f>
        <v/>
      </c>
      <c r="D94" s="50">
        <f>B94+Subsurface_Inputs!$C$44</f>
        <v/>
      </c>
      <c r="E94" s="50">
        <f>B94*Subsurface_Inputs!$C$45</f>
        <v/>
      </c>
      <c r="F94" s="50">
        <f>B94</f>
        <v/>
      </c>
      <c r="G94" s="50">
        <f>B94*Subsurface_Inputs!$C$46</f>
        <v/>
      </c>
      <c r="H94" s="50">
        <f>Subsurface_Live_Data!Y94</f>
        <v/>
      </c>
      <c r="I94" s="50">
        <f>Subsurface_Inputs!$C$47-Subsurface_Inputs!$C$43+2*SIN(2*PI()*A94/42)</f>
        <v/>
      </c>
      <c r="J94" s="50" t="n">
        <v>0</v>
      </c>
    </row>
    <row r="95">
      <c r="A95" s="50">
        <f>Subsurface_Live_Data!A95</f>
        <v/>
      </c>
      <c r="B95" s="50">
        <f>Subsurface_Live_Data!K95</f>
        <v/>
      </c>
      <c r="C95" s="50">
        <f>MAX(0,B95-Subsurface_Inputs!$C$44)</f>
        <v/>
      </c>
      <c r="D95" s="50">
        <f>B95+Subsurface_Inputs!$C$44</f>
        <v/>
      </c>
      <c r="E95" s="50">
        <f>B95*Subsurface_Inputs!$C$45</f>
        <v/>
      </c>
      <c r="F95" s="50">
        <f>B95</f>
        <v/>
      </c>
      <c r="G95" s="50">
        <f>B95*Subsurface_Inputs!$C$46</f>
        <v/>
      </c>
      <c r="H95" s="50">
        <f>Subsurface_Live_Data!Y95</f>
        <v/>
      </c>
      <c r="I95" s="50">
        <f>Subsurface_Inputs!$C$47-Subsurface_Inputs!$C$43+2*SIN(2*PI()*A95/42)</f>
        <v/>
      </c>
      <c r="J95" s="50" t="n">
        <v>0</v>
      </c>
    </row>
    <row r="96">
      <c r="A96" s="50">
        <f>Subsurface_Live_Data!A96</f>
        <v/>
      </c>
      <c r="B96" s="50">
        <f>Subsurface_Live_Data!K96</f>
        <v/>
      </c>
      <c r="C96" s="50">
        <f>MAX(0,B96-Subsurface_Inputs!$C$44)</f>
        <v/>
      </c>
      <c r="D96" s="50">
        <f>B96+Subsurface_Inputs!$C$44</f>
        <v/>
      </c>
      <c r="E96" s="50">
        <f>B96*Subsurface_Inputs!$C$45</f>
        <v/>
      </c>
      <c r="F96" s="50">
        <f>B96</f>
        <v/>
      </c>
      <c r="G96" s="50">
        <f>B96*Subsurface_Inputs!$C$46</f>
        <v/>
      </c>
      <c r="H96" s="50">
        <f>Subsurface_Live_Data!Y96</f>
        <v/>
      </c>
      <c r="I96" s="50">
        <f>Subsurface_Inputs!$C$47-Subsurface_Inputs!$C$43+2*SIN(2*PI()*A96/42)</f>
        <v/>
      </c>
      <c r="J96" s="50" t="n">
        <v>0</v>
      </c>
    </row>
    <row r="97">
      <c r="A97" s="50">
        <f>Subsurface_Live_Data!A97</f>
        <v/>
      </c>
      <c r="B97" s="50">
        <f>Subsurface_Live_Data!K97</f>
        <v/>
      </c>
      <c r="C97" s="50">
        <f>MAX(0,B97-Subsurface_Inputs!$C$44)</f>
        <v/>
      </c>
      <c r="D97" s="50">
        <f>B97+Subsurface_Inputs!$C$44</f>
        <v/>
      </c>
      <c r="E97" s="50">
        <f>B97*Subsurface_Inputs!$C$45</f>
        <v/>
      </c>
      <c r="F97" s="50">
        <f>B97</f>
        <v/>
      </c>
      <c r="G97" s="50">
        <f>B97*Subsurface_Inputs!$C$46</f>
        <v/>
      </c>
      <c r="H97" s="50">
        <f>Subsurface_Live_Data!Y97</f>
        <v/>
      </c>
      <c r="I97" s="50">
        <f>Subsurface_Inputs!$C$47-Subsurface_Inputs!$C$43+2*SIN(2*PI()*A97/42)</f>
        <v/>
      </c>
      <c r="J97" s="50" t="n">
        <v>0</v>
      </c>
    </row>
    <row r="98">
      <c r="A98" s="50">
        <f>Subsurface_Live_Data!A98</f>
        <v/>
      </c>
      <c r="B98" s="50">
        <f>Subsurface_Live_Data!K98</f>
        <v/>
      </c>
      <c r="C98" s="50">
        <f>MAX(0,B98-Subsurface_Inputs!$C$44)</f>
        <v/>
      </c>
      <c r="D98" s="50">
        <f>B98+Subsurface_Inputs!$C$44</f>
        <v/>
      </c>
      <c r="E98" s="50">
        <f>B98*Subsurface_Inputs!$C$45</f>
        <v/>
      </c>
      <c r="F98" s="50">
        <f>B98</f>
        <v/>
      </c>
      <c r="G98" s="50">
        <f>B98*Subsurface_Inputs!$C$46</f>
        <v/>
      </c>
      <c r="H98" s="50">
        <f>Subsurface_Live_Data!Y98</f>
        <v/>
      </c>
      <c r="I98" s="50">
        <f>Subsurface_Inputs!$C$47-Subsurface_Inputs!$C$43+2*SIN(2*PI()*A98/42)</f>
        <v/>
      </c>
      <c r="J98" s="50" t="n">
        <v>0</v>
      </c>
    </row>
    <row r="99">
      <c r="A99" s="50">
        <f>Subsurface_Live_Data!A99</f>
        <v/>
      </c>
      <c r="B99" s="50">
        <f>Subsurface_Live_Data!K99</f>
        <v/>
      </c>
      <c r="C99" s="50">
        <f>MAX(0,B99-Subsurface_Inputs!$C$44)</f>
        <v/>
      </c>
      <c r="D99" s="50">
        <f>B99+Subsurface_Inputs!$C$44</f>
        <v/>
      </c>
      <c r="E99" s="50">
        <f>B99*Subsurface_Inputs!$C$45</f>
        <v/>
      </c>
      <c r="F99" s="50">
        <f>B99</f>
        <v/>
      </c>
      <c r="G99" s="50">
        <f>B99*Subsurface_Inputs!$C$46</f>
        <v/>
      </c>
      <c r="H99" s="50">
        <f>Subsurface_Live_Data!Y99</f>
        <v/>
      </c>
      <c r="I99" s="50">
        <f>Subsurface_Inputs!$C$47-Subsurface_Inputs!$C$43+2*SIN(2*PI()*A99/42)</f>
        <v/>
      </c>
      <c r="J99" s="50" t="n">
        <v>0</v>
      </c>
    </row>
    <row r="100">
      <c r="A100" s="50">
        <f>Subsurface_Live_Data!A100</f>
        <v/>
      </c>
      <c r="B100" s="50">
        <f>Subsurface_Live_Data!K100</f>
        <v/>
      </c>
      <c r="C100" s="50">
        <f>MAX(0,B100-Subsurface_Inputs!$C$44)</f>
        <v/>
      </c>
      <c r="D100" s="50">
        <f>B100+Subsurface_Inputs!$C$44</f>
        <v/>
      </c>
      <c r="E100" s="50">
        <f>B100*Subsurface_Inputs!$C$45</f>
        <v/>
      </c>
      <c r="F100" s="50">
        <f>B100</f>
        <v/>
      </c>
      <c r="G100" s="50">
        <f>B100*Subsurface_Inputs!$C$46</f>
        <v/>
      </c>
      <c r="H100" s="50">
        <f>Subsurface_Live_Data!Y100</f>
        <v/>
      </c>
      <c r="I100" s="50">
        <f>Subsurface_Inputs!$C$47-Subsurface_Inputs!$C$43+2*SIN(2*PI()*A100/42)</f>
        <v/>
      </c>
      <c r="J100" s="50" t="n">
        <v>0</v>
      </c>
    </row>
    <row r="101">
      <c r="A101" s="50">
        <f>Subsurface_Live_Data!A101</f>
        <v/>
      </c>
      <c r="B101" s="50">
        <f>Subsurface_Live_Data!K101</f>
        <v/>
      </c>
      <c r="C101" s="50">
        <f>MAX(0,B101-Subsurface_Inputs!$C$44)</f>
        <v/>
      </c>
      <c r="D101" s="50">
        <f>B101+Subsurface_Inputs!$C$44</f>
        <v/>
      </c>
      <c r="E101" s="50">
        <f>B101*Subsurface_Inputs!$C$45</f>
        <v/>
      </c>
      <c r="F101" s="50">
        <f>B101</f>
        <v/>
      </c>
      <c r="G101" s="50">
        <f>B101*Subsurface_Inputs!$C$46</f>
        <v/>
      </c>
      <c r="H101" s="50">
        <f>Subsurface_Live_Data!Y101</f>
        <v/>
      </c>
      <c r="I101" s="50">
        <f>Subsurface_Inputs!$C$47-Subsurface_Inputs!$C$43+2*SIN(2*PI()*A101/42)</f>
        <v/>
      </c>
      <c r="J101" s="50" t="n">
        <v>0</v>
      </c>
    </row>
    <row r="102">
      <c r="A102" s="50">
        <f>Subsurface_Live_Data!A102</f>
        <v/>
      </c>
      <c r="B102" s="50">
        <f>Subsurface_Live_Data!K102</f>
        <v/>
      </c>
      <c r="C102" s="50">
        <f>MAX(0,B102-Subsurface_Inputs!$C$44)</f>
        <v/>
      </c>
      <c r="D102" s="50">
        <f>B102+Subsurface_Inputs!$C$44</f>
        <v/>
      </c>
      <c r="E102" s="50">
        <f>B102*Subsurface_Inputs!$C$45</f>
        <v/>
      </c>
      <c r="F102" s="50">
        <f>B102</f>
        <v/>
      </c>
      <c r="G102" s="50">
        <f>B102*Subsurface_Inputs!$C$46</f>
        <v/>
      </c>
      <c r="H102" s="50">
        <f>Subsurface_Live_Data!Y102</f>
        <v/>
      </c>
      <c r="I102" s="50">
        <f>Subsurface_Inputs!$C$47-Subsurface_Inputs!$C$43+2*SIN(2*PI()*A102/42)</f>
        <v/>
      </c>
      <c r="J102" s="50" t="n">
        <v>0</v>
      </c>
    </row>
    <row r="103">
      <c r="A103" s="50">
        <f>Subsurface_Live_Data!A103</f>
        <v/>
      </c>
      <c r="B103" s="50">
        <f>Subsurface_Live_Data!K103</f>
        <v/>
      </c>
      <c r="C103" s="50">
        <f>MAX(0,B103-Subsurface_Inputs!$C$44)</f>
        <v/>
      </c>
      <c r="D103" s="50">
        <f>B103+Subsurface_Inputs!$C$44</f>
        <v/>
      </c>
      <c r="E103" s="50">
        <f>B103*Subsurface_Inputs!$C$45</f>
        <v/>
      </c>
      <c r="F103" s="50">
        <f>B103</f>
        <v/>
      </c>
      <c r="G103" s="50">
        <f>B103*Subsurface_Inputs!$C$46</f>
        <v/>
      </c>
      <c r="H103" s="50">
        <f>Subsurface_Live_Data!Y103</f>
        <v/>
      </c>
      <c r="I103" s="50">
        <f>Subsurface_Inputs!$C$47-Subsurface_Inputs!$C$43+2*SIN(2*PI()*A103/42)</f>
        <v/>
      </c>
      <c r="J103" s="50" t="n">
        <v>0</v>
      </c>
    </row>
    <row r="104">
      <c r="A104" s="50">
        <f>Subsurface_Live_Data!A104</f>
        <v/>
      </c>
      <c r="B104" s="50">
        <f>Subsurface_Live_Data!K104</f>
        <v/>
      </c>
      <c r="C104" s="50">
        <f>MAX(0,B104-Subsurface_Inputs!$C$44)</f>
        <v/>
      </c>
      <c r="D104" s="50">
        <f>B104+Subsurface_Inputs!$C$44</f>
        <v/>
      </c>
      <c r="E104" s="50">
        <f>B104*Subsurface_Inputs!$C$45</f>
        <v/>
      </c>
      <c r="F104" s="50">
        <f>B104</f>
        <v/>
      </c>
      <c r="G104" s="50">
        <f>B104*Subsurface_Inputs!$C$46</f>
        <v/>
      </c>
      <c r="H104" s="50">
        <f>Subsurface_Live_Data!Y104</f>
        <v/>
      </c>
      <c r="I104" s="50">
        <f>Subsurface_Inputs!$C$47-Subsurface_Inputs!$C$43+2*SIN(2*PI()*A104/42)</f>
        <v/>
      </c>
      <c r="J104" s="50" t="n">
        <v>0</v>
      </c>
    </row>
    <row r="105">
      <c r="A105" s="50">
        <f>Subsurface_Live_Data!A105</f>
        <v/>
      </c>
      <c r="B105" s="50">
        <f>Subsurface_Live_Data!K105</f>
        <v/>
      </c>
      <c r="C105" s="50">
        <f>MAX(0,B105-Subsurface_Inputs!$C$44)</f>
        <v/>
      </c>
      <c r="D105" s="50">
        <f>B105+Subsurface_Inputs!$C$44</f>
        <v/>
      </c>
      <c r="E105" s="50">
        <f>B105*Subsurface_Inputs!$C$45</f>
        <v/>
      </c>
      <c r="F105" s="50">
        <f>B105</f>
        <v/>
      </c>
      <c r="G105" s="50">
        <f>B105*Subsurface_Inputs!$C$46</f>
        <v/>
      </c>
      <c r="H105" s="50">
        <f>Subsurface_Live_Data!Y105</f>
        <v/>
      </c>
      <c r="I105" s="50">
        <f>Subsurface_Inputs!$C$47-Subsurface_Inputs!$C$43+2*SIN(2*PI()*A105/42)</f>
        <v/>
      </c>
      <c r="J105" s="50" t="n">
        <v>0</v>
      </c>
    </row>
    <row r="106">
      <c r="A106" s="50">
        <f>Subsurface_Live_Data!A106</f>
        <v/>
      </c>
      <c r="B106" s="50">
        <f>Subsurface_Live_Data!K106</f>
        <v/>
      </c>
      <c r="C106" s="50">
        <f>MAX(0,B106-Subsurface_Inputs!$C$44)</f>
        <v/>
      </c>
      <c r="D106" s="50">
        <f>B106+Subsurface_Inputs!$C$44</f>
        <v/>
      </c>
      <c r="E106" s="50">
        <f>B106*Subsurface_Inputs!$C$45</f>
        <v/>
      </c>
      <c r="F106" s="50">
        <f>B106</f>
        <v/>
      </c>
      <c r="G106" s="50">
        <f>B106*Subsurface_Inputs!$C$46</f>
        <v/>
      </c>
      <c r="H106" s="50">
        <f>Subsurface_Live_Data!Y106</f>
        <v/>
      </c>
      <c r="I106" s="50">
        <f>Subsurface_Inputs!$C$47-Subsurface_Inputs!$C$43+2*SIN(2*PI()*A106/42)</f>
        <v/>
      </c>
      <c r="J106" s="50" t="n">
        <v>0</v>
      </c>
    </row>
    <row r="107">
      <c r="A107" s="50">
        <f>Subsurface_Live_Data!A107</f>
        <v/>
      </c>
      <c r="B107" s="50">
        <f>Subsurface_Live_Data!K107</f>
        <v/>
      </c>
      <c r="C107" s="50">
        <f>MAX(0,B107-Subsurface_Inputs!$C$44)</f>
        <v/>
      </c>
      <c r="D107" s="50">
        <f>B107+Subsurface_Inputs!$C$44</f>
        <v/>
      </c>
      <c r="E107" s="50">
        <f>B107*Subsurface_Inputs!$C$45</f>
        <v/>
      </c>
      <c r="F107" s="50">
        <f>B107</f>
        <v/>
      </c>
      <c r="G107" s="50">
        <f>B107*Subsurface_Inputs!$C$46</f>
        <v/>
      </c>
      <c r="H107" s="50">
        <f>Subsurface_Live_Data!Y107</f>
        <v/>
      </c>
      <c r="I107" s="50">
        <f>Subsurface_Inputs!$C$47-Subsurface_Inputs!$C$43+2*SIN(2*PI()*A107/42)</f>
        <v/>
      </c>
      <c r="J107" s="50" t="n">
        <v>0</v>
      </c>
    </row>
    <row r="108">
      <c r="A108" s="50">
        <f>Subsurface_Live_Data!A108</f>
        <v/>
      </c>
      <c r="B108" s="50">
        <f>Subsurface_Live_Data!K108</f>
        <v/>
      </c>
      <c r="C108" s="50">
        <f>MAX(0,B108-Subsurface_Inputs!$C$44)</f>
        <v/>
      </c>
      <c r="D108" s="50">
        <f>B108+Subsurface_Inputs!$C$44</f>
        <v/>
      </c>
      <c r="E108" s="50">
        <f>B108*Subsurface_Inputs!$C$45</f>
        <v/>
      </c>
      <c r="F108" s="50">
        <f>B108</f>
        <v/>
      </c>
      <c r="G108" s="50">
        <f>B108*Subsurface_Inputs!$C$46</f>
        <v/>
      </c>
      <c r="H108" s="50">
        <f>Subsurface_Live_Data!Y108</f>
        <v/>
      </c>
      <c r="I108" s="50">
        <f>Subsurface_Inputs!$C$47-Subsurface_Inputs!$C$43+2*SIN(2*PI()*A108/42)</f>
        <v/>
      </c>
      <c r="J108" s="50" t="n">
        <v>0</v>
      </c>
    </row>
    <row r="109">
      <c r="A109" s="50">
        <f>Subsurface_Live_Data!A109</f>
        <v/>
      </c>
      <c r="B109" s="50">
        <f>Subsurface_Live_Data!K109</f>
        <v/>
      </c>
      <c r="C109" s="50">
        <f>MAX(0,B109-Subsurface_Inputs!$C$44)</f>
        <v/>
      </c>
      <c r="D109" s="50">
        <f>B109+Subsurface_Inputs!$C$44</f>
        <v/>
      </c>
      <c r="E109" s="50">
        <f>B109*Subsurface_Inputs!$C$45</f>
        <v/>
      </c>
      <c r="F109" s="50">
        <f>B109</f>
        <v/>
      </c>
      <c r="G109" s="50">
        <f>B109*Subsurface_Inputs!$C$46</f>
        <v/>
      </c>
      <c r="H109" s="50">
        <f>Subsurface_Live_Data!Y109</f>
        <v/>
      </c>
      <c r="I109" s="50">
        <f>Subsurface_Inputs!$C$47-Subsurface_Inputs!$C$43+2*SIN(2*PI()*A109/42)</f>
        <v/>
      </c>
      <c r="J109" s="50" t="n">
        <v>0</v>
      </c>
    </row>
    <row r="110">
      <c r="A110" s="50">
        <f>Subsurface_Live_Data!A110</f>
        <v/>
      </c>
      <c r="B110" s="50">
        <f>Subsurface_Live_Data!K110</f>
        <v/>
      </c>
      <c r="C110" s="50">
        <f>MAX(0,B110-Subsurface_Inputs!$C$44)</f>
        <v/>
      </c>
      <c r="D110" s="50">
        <f>B110+Subsurface_Inputs!$C$44</f>
        <v/>
      </c>
      <c r="E110" s="50">
        <f>B110*Subsurface_Inputs!$C$45</f>
        <v/>
      </c>
      <c r="F110" s="50">
        <f>B110</f>
        <v/>
      </c>
      <c r="G110" s="50">
        <f>B110*Subsurface_Inputs!$C$46</f>
        <v/>
      </c>
      <c r="H110" s="50">
        <f>Subsurface_Live_Data!Y110</f>
        <v/>
      </c>
      <c r="I110" s="50">
        <f>Subsurface_Inputs!$C$47-Subsurface_Inputs!$C$43+2*SIN(2*PI()*A110/42)</f>
        <v/>
      </c>
      <c r="J110" s="50" t="n">
        <v>0</v>
      </c>
    </row>
    <row r="111">
      <c r="A111" s="50">
        <f>Subsurface_Live_Data!A111</f>
        <v/>
      </c>
      <c r="B111" s="50">
        <f>Subsurface_Live_Data!K111</f>
        <v/>
      </c>
      <c r="C111" s="50">
        <f>MAX(0,B111-Subsurface_Inputs!$C$44)</f>
        <v/>
      </c>
      <c r="D111" s="50">
        <f>B111+Subsurface_Inputs!$C$44</f>
        <v/>
      </c>
      <c r="E111" s="50">
        <f>B111*Subsurface_Inputs!$C$45</f>
        <v/>
      </c>
      <c r="F111" s="50">
        <f>B111</f>
        <v/>
      </c>
      <c r="G111" s="50">
        <f>B111*Subsurface_Inputs!$C$46</f>
        <v/>
      </c>
      <c r="H111" s="50">
        <f>Subsurface_Live_Data!Y111</f>
        <v/>
      </c>
      <c r="I111" s="50">
        <f>Subsurface_Inputs!$C$47-Subsurface_Inputs!$C$43+2*SIN(2*PI()*A111/42)</f>
        <v/>
      </c>
      <c r="J111" s="50" t="n">
        <v>0</v>
      </c>
    </row>
    <row r="112">
      <c r="A112" s="50">
        <f>Subsurface_Live_Data!A112</f>
        <v/>
      </c>
      <c r="B112" s="50">
        <f>Subsurface_Live_Data!K112</f>
        <v/>
      </c>
      <c r="C112" s="50">
        <f>MAX(0,B112-Subsurface_Inputs!$C$44)</f>
        <v/>
      </c>
      <c r="D112" s="50">
        <f>B112+Subsurface_Inputs!$C$44</f>
        <v/>
      </c>
      <c r="E112" s="50">
        <f>B112*Subsurface_Inputs!$C$45</f>
        <v/>
      </c>
      <c r="F112" s="50">
        <f>B112</f>
        <v/>
      </c>
      <c r="G112" s="50">
        <f>B112*Subsurface_Inputs!$C$46</f>
        <v/>
      </c>
      <c r="H112" s="50">
        <f>Subsurface_Live_Data!Y112</f>
        <v/>
      </c>
      <c r="I112" s="50">
        <f>Subsurface_Inputs!$C$47-Subsurface_Inputs!$C$43+2*SIN(2*PI()*A112/42)</f>
        <v/>
      </c>
      <c r="J112" s="50" t="n">
        <v>0</v>
      </c>
    </row>
    <row r="113">
      <c r="A113" s="50">
        <f>Subsurface_Live_Data!A113</f>
        <v/>
      </c>
      <c r="B113" s="50">
        <f>Subsurface_Live_Data!K113</f>
        <v/>
      </c>
      <c r="C113" s="50">
        <f>MAX(0,B113-Subsurface_Inputs!$C$44)</f>
        <v/>
      </c>
      <c r="D113" s="50">
        <f>B113+Subsurface_Inputs!$C$44</f>
        <v/>
      </c>
      <c r="E113" s="50">
        <f>B113*Subsurface_Inputs!$C$45</f>
        <v/>
      </c>
      <c r="F113" s="50">
        <f>B113</f>
        <v/>
      </c>
      <c r="G113" s="50">
        <f>B113*Subsurface_Inputs!$C$46</f>
        <v/>
      </c>
      <c r="H113" s="50">
        <f>Subsurface_Live_Data!Y113</f>
        <v/>
      </c>
      <c r="I113" s="50">
        <f>Subsurface_Inputs!$C$47-Subsurface_Inputs!$C$43+2*SIN(2*PI()*A113/42)</f>
        <v/>
      </c>
      <c r="J113" s="50" t="n">
        <v>0</v>
      </c>
    </row>
    <row r="114">
      <c r="A114" s="50">
        <f>Subsurface_Live_Data!A114</f>
        <v/>
      </c>
      <c r="B114" s="50">
        <f>Subsurface_Live_Data!K114</f>
        <v/>
      </c>
      <c r="C114" s="50">
        <f>MAX(0,B114-Subsurface_Inputs!$C$44)</f>
        <v/>
      </c>
      <c r="D114" s="50">
        <f>B114+Subsurface_Inputs!$C$44</f>
        <v/>
      </c>
      <c r="E114" s="50">
        <f>B114*Subsurface_Inputs!$C$45</f>
        <v/>
      </c>
      <c r="F114" s="50">
        <f>B114</f>
        <v/>
      </c>
      <c r="G114" s="50">
        <f>B114*Subsurface_Inputs!$C$46</f>
        <v/>
      </c>
      <c r="H114" s="50">
        <f>Subsurface_Live_Data!Y114</f>
        <v/>
      </c>
      <c r="I114" s="50">
        <f>Subsurface_Inputs!$C$47-Subsurface_Inputs!$C$43+2*SIN(2*PI()*A114/42)</f>
        <v/>
      </c>
      <c r="J114" s="50" t="n">
        <v>0</v>
      </c>
    </row>
    <row r="115">
      <c r="A115" s="50">
        <f>Subsurface_Live_Data!A115</f>
        <v/>
      </c>
      <c r="B115" s="50">
        <f>Subsurface_Live_Data!K115</f>
        <v/>
      </c>
      <c r="C115" s="50">
        <f>MAX(0,B115-Subsurface_Inputs!$C$44)</f>
        <v/>
      </c>
      <c r="D115" s="50">
        <f>B115+Subsurface_Inputs!$C$44</f>
        <v/>
      </c>
      <c r="E115" s="50">
        <f>B115*Subsurface_Inputs!$C$45</f>
        <v/>
      </c>
      <c r="F115" s="50">
        <f>B115</f>
        <v/>
      </c>
      <c r="G115" s="50">
        <f>B115*Subsurface_Inputs!$C$46</f>
        <v/>
      </c>
      <c r="H115" s="50">
        <f>Subsurface_Live_Data!Y115</f>
        <v/>
      </c>
      <c r="I115" s="50">
        <f>Subsurface_Inputs!$C$47-Subsurface_Inputs!$C$43+2*SIN(2*PI()*A115/42)</f>
        <v/>
      </c>
      <c r="J115" s="50" t="n">
        <v>0</v>
      </c>
    </row>
    <row r="116">
      <c r="A116" s="50">
        <f>Subsurface_Live_Data!A116</f>
        <v/>
      </c>
      <c r="B116" s="50">
        <f>Subsurface_Live_Data!K116</f>
        <v/>
      </c>
      <c r="C116" s="50">
        <f>MAX(0,B116-Subsurface_Inputs!$C$44)</f>
        <v/>
      </c>
      <c r="D116" s="50">
        <f>B116+Subsurface_Inputs!$C$44</f>
        <v/>
      </c>
      <c r="E116" s="50">
        <f>B116*Subsurface_Inputs!$C$45</f>
        <v/>
      </c>
      <c r="F116" s="50">
        <f>B116</f>
        <v/>
      </c>
      <c r="G116" s="50">
        <f>B116*Subsurface_Inputs!$C$46</f>
        <v/>
      </c>
      <c r="H116" s="50">
        <f>Subsurface_Live_Data!Y116</f>
        <v/>
      </c>
      <c r="I116" s="50">
        <f>Subsurface_Inputs!$C$47-Subsurface_Inputs!$C$43+2*SIN(2*PI()*A116/42)</f>
        <v/>
      </c>
      <c r="J116" s="50" t="n">
        <v>0</v>
      </c>
    </row>
    <row r="117">
      <c r="A117" s="50">
        <f>Subsurface_Live_Data!A117</f>
        <v/>
      </c>
      <c r="B117" s="50">
        <f>Subsurface_Live_Data!K117</f>
        <v/>
      </c>
      <c r="C117" s="50">
        <f>MAX(0,B117-Subsurface_Inputs!$C$44)</f>
        <v/>
      </c>
      <c r="D117" s="50">
        <f>B117+Subsurface_Inputs!$C$44</f>
        <v/>
      </c>
      <c r="E117" s="50">
        <f>B117*Subsurface_Inputs!$C$45</f>
        <v/>
      </c>
      <c r="F117" s="50">
        <f>B117</f>
        <v/>
      </c>
      <c r="G117" s="50">
        <f>B117*Subsurface_Inputs!$C$46</f>
        <v/>
      </c>
      <c r="H117" s="50">
        <f>Subsurface_Live_Data!Y117</f>
        <v/>
      </c>
      <c r="I117" s="50">
        <f>Subsurface_Inputs!$C$47-Subsurface_Inputs!$C$43+2*SIN(2*PI()*A117/42)</f>
        <v/>
      </c>
      <c r="J117" s="50" t="n">
        <v>0</v>
      </c>
    </row>
    <row r="118">
      <c r="A118" s="50">
        <f>Subsurface_Live_Data!A118</f>
        <v/>
      </c>
      <c r="B118" s="50">
        <f>Subsurface_Live_Data!K118</f>
        <v/>
      </c>
      <c r="C118" s="50">
        <f>MAX(0,B118-Subsurface_Inputs!$C$44)</f>
        <v/>
      </c>
      <c r="D118" s="50">
        <f>B118+Subsurface_Inputs!$C$44</f>
        <v/>
      </c>
      <c r="E118" s="50">
        <f>B118*Subsurface_Inputs!$C$45</f>
        <v/>
      </c>
      <c r="F118" s="50">
        <f>B118</f>
        <v/>
      </c>
      <c r="G118" s="50">
        <f>B118*Subsurface_Inputs!$C$46</f>
        <v/>
      </c>
      <c r="H118" s="50">
        <f>Subsurface_Live_Data!Y118</f>
        <v/>
      </c>
      <c r="I118" s="50">
        <f>Subsurface_Inputs!$C$47-Subsurface_Inputs!$C$43+2*SIN(2*PI()*A118/42)</f>
        <v/>
      </c>
      <c r="J118" s="50" t="n">
        <v>0</v>
      </c>
    </row>
    <row r="119">
      <c r="A119" s="50">
        <f>Subsurface_Live_Data!A119</f>
        <v/>
      </c>
      <c r="B119" s="50">
        <f>Subsurface_Live_Data!K119</f>
        <v/>
      </c>
      <c r="C119" s="50">
        <f>MAX(0,B119-Subsurface_Inputs!$C$44)</f>
        <v/>
      </c>
      <c r="D119" s="50">
        <f>B119+Subsurface_Inputs!$C$44</f>
        <v/>
      </c>
      <c r="E119" s="50">
        <f>B119*Subsurface_Inputs!$C$45</f>
        <v/>
      </c>
      <c r="F119" s="50">
        <f>B119</f>
        <v/>
      </c>
      <c r="G119" s="50">
        <f>B119*Subsurface_Inputs!$C$46</f>
        <v/>
      </c>
      <c r="H119" s="50">
        <f>Subsurface_Live_Data!Y119</f>
        <v/>
      </c>
      <c r="I119" s="50">
        <f>Subsurface_Inputs!$C$47-Subsurface_Inputs!$C$43+2*SIN(2*PI()*A119/42)</f>
        <v/>
      </c>
      <c r="J119" s="50" t="n">
        <v>0</v>
      </c>
    </row>
    <row r="120">
      <c r="A120" s="50">
        <f>Subsurface_Live_Data!A120</f>
        <v/>
      </c>
      <c r="B120" s="50">
        <f>Subsurface_Live_Data!K120</f>
        <v/>
      </c>
      <c r="C120" s="50">
        <f>MAX(0,B120-Subsurface_Inputs!$C$44)</f>
        <v/>
      </c>
      <c r="D120" s="50">
        <f>B120+Subsurface_Inputs!$C$44</f>
        <v/>
      </c>
      <c r="E120" s="50">
        <f>B120*Subsurface_Inputs!$C$45</f>
        <v/>
      </c>
      <c r="F120" s="50">
        <f>B120</f>
        <v/>
      </c>
      <c r="G120" s="50">
        <f>B120*Subsurface_Inputs!$C$46</f>
        <v/>
      </c>
      <c r="H120" s="50">
        <f>Subsurface_Live_Data!Y120</f>
        <v/>
      </c>
      <c r="I120" s="50">
        <f>Subsurface_Inputs!$C$47-Subsurface_Inputs!$C$43+2*SIN(2*PI()*A120/42)</f>
        <v/>
      </c>
      <c r="J120" s="50" t="n">
        <v>0</v>
      </c>
    </row>
    <row r="121">
      <c r="A121" s="50">
        <f>Subsurface_Live_Data!A121</f>
        <v/>
      </c>
      <c r="B121" s="50">
        <f>Subsurface_Live_Data!K121</f>
        <v/>
      </c>
      <c r="C121" s="50">
        <f>MAX(0,B121-Subsurface_Inputs!$C$44)</f>
        <v/>
      </c>
      <c r="D121" s="50">
        <f>B121+Subsurface_Inputs!$C$44</f>
        <v/>
      </c>
      <c r="E121" s="50">
        <f>B121*Subsurface_Inputs!$C$45</f>
        <v/>
      </c>
      <c r="F121" s="50">
        <f>B121</f>
        <v/>
      </c>
      <c r="G121" s="50">
        <f>B121*Subsurface_Inputs!$C$46</f>
        <v/>
      </c>
      <c r="H121" s="50">
        <f>Subsurface_Live_Data!Y121</f>
        <v/>
      </c>
      <c r="I121" s="50">
        <f>Subsurface_Inputs!$C$47-Subsurface_Inputs!$C$43+2*SIN(2*PI()*A121/42)</f>
        <v/>
      </c>
      <c r="J121" s="50" t="n">
        <v>0</v>
      </c>
    </row>
    <row r="122">
      <c r="A122" s="50">
        <f>Subsurface_Live_Data!A122</f>
        <v/>
      </c>
      <c r="B122" s="50">
        <f>Subsurface_Live_Data!K122</f>
        <v/>
      </c>
      <c r="C122" s="50">
        <f>MAX(0,B122-Subsurface_Inputs!$C$44)</f>
        <v/>
      </c>
      <c r="D122" s="50">
        <f>B122+Subsurface_Inputs!$C$44</f>
        <v/>
      </c>
      <c r="E122" s="50">
        <f>B122*Subsurface_Inputs!$C$45</f>
        <v/>
      </c>
      <c r="F122" s="50">
        <f>B122</f>
        <v/>
      </c>
      <c r="G122" s="50">
        <f>B122*Subsurface_Inputs!$C$46</f>
        <v/>
      </c>
      <c r="H122" s="50">
        <f>Subsurface_Live_Data!Y122</f>
        <v/>
      </c>
      <c r="I122" s="50">
        <f>Subsurface_Inputs!$C$47-Subsurface_Inputs!$C$43+2*SIN(2*PI()*A122/42)</f>
        <v/>
      </c>
      <c r="J122" s="50" t="n">
        <v>0</v>
      </c>
    </row>
    <row r="123">
      <c r="A123" s="50">
        <f>Subsurface_Live_Data!A123</f>
        <v/>
      </c>
      <c r="B123" s="50">
        <f>Subsurface_Live_Data!K123</f>
        <v/>
      </c>
      <c r="C123" s="50">
        <f>MAX(0,B123-Subsurface_Inputs!$C$44)</f>
        <v/>
      </c>
      <c r="D123" s="50">
        <f>B123+Subsurface_Inputs!$C$44</f>
        <v/>
      </c>
      <c r="E123" s="50">
        <f>B123*Subsurface_Inputs!$C$45</f>
        <v/>
      </c>
      <c r="F123" s="50">
        <f>B123</f>
        <v/>
      </c>
      <c r="G123" s="50">
        <f>B123*Subsurface_Inputs!$C$46</f>
        <v/>
      </c>
      <c r="H123" s="50">
        <f>Subsurface_Live_Data!Y123</f>
        <v/>
      </c>
      <c r="I123" s="50">
        <f>Subsurface_Inputs!$C$47-Subsurface_Inputs!$C$43+2*SIN(2*PI()*A123/42)</f>
        <v/>
      </c>
      <c r="J123" s="50" t="n">
        <v>0</v>
      </c>
    </row>
    <row r="124">
      <c r="A124" s="50">
        <f>Subsurface_Live_Data!A124</f>
        <v/>
      </c>
      <c r="B124" s="50">
        <f>Subsurface_Live_Data!K124</f>
        <v/>
      </c>
      <c r="C124" s="50">
        <f>MAX(0,B124-Subsurface_Inputs!$C$44)</f>
        <v/>
      </c>
      <c r="D124" s="50">
        <f>B124+Subsurface_Inputs!$C$44</f>
        <v/>
      </c>
      <c r="E124" s="50">
        <f>B124*Subsurface_Inputs!$C$45</f>
        <v/>
      </c>
      <c r="F124" s="50">
        <f>B124</f>
        <v/>
      </c>
      <c r="G124" s="50">
        <f>B124*Subsurface_Inputs!$C$46</f>
        <v/>
      </c>
      <c r="H124" s="50">
        <f>Subsurface_Live_Data!Y124</f>
        <v/>
      </c>
      <c r="I124" s="50">
        <f>Subsurface_Inputs!$C$47-Subsurface_Inputs!$C$43+2*SIN(2*PI()*A124/42)</f>
        <v/>
      </c>
      <c r="J124" s="50" t="n">
        <v>0</v>
      </c>
    </row>
    <row r="125">
      <c r="A125" s="50">
        <f>Subsurface_Live_Data!A125</f>
        <v/>
      </c>
      <c r="B125" s="50">
        <f>Subsurface_Live_Data!K125</f>
        <v/>
      </c>
      <c r="C125" s="50">
        <f>MAX(0,B125-Subsurface_Inputs!$C$44)</f>
        <v/>
      </c>
      <c r="D125" s="50">
        <f>B125+Subsurface_Inputs!$C$44</f>
        <v/>
      </c>
      <c r="E125" s="50">
        <f>B125*Subsurface_Inputs!$C$45</f>
        <v/>
      </c>
      <c r="F125" s="50">
        <f>B125</f>
        <v/>
      </c>
      <c r="G125" s="50">
        <f>B125*Subsurface_Inputs!$C$46</f>
        <v/>
      </c>
      <c r="H125" s="50">
        <f>Subsurface_Live_Data!Y125</f>
        <v/>
      </c>
      <c r="I125" s="50">
        <f>Subsurface_Inputs!$C$47-Subsurface_Inputs!$C$43+2*SIN(2*PI()*A125/42)</f>
        <v/>
      </c>
      <c r="J125" s="50" t="n">
        <v>0</v>
      </c>
    </row>
    <row r="126">
      <c r="A126" s="50">
        <f>Subsurface_Live_Data!A126</f>
        <v/>
      </c>
      <c r="B126" s="50">
        <f>Subsurface_Live_Data!K126</f>
        <v/>
      </c>
      <c r="C126" s="50">
        <f>MAX(0,B126-Subsurface_Inputs!$C$44)</f>
        <v/>
      </c>
      <c r="D126" s="50">
        <f>B126+Subsurface_Inputs!$C$44</f>
        <v/>
      </c>
      <c r="E126" s="50">
        <f>B126*Subsurface_Inputs!$C$45</f>
        <v/>
      </c>
      <c r="F126" s="50">
        <f>B126</f>
        <v/>
      </c>
      <c r="G126" s="50">
        <f>B126*Subsurface_Inputs!$C$46</f>
        <v/>
      </c>
      <c r="H126" s="50">
        <f>Subsurface_Live_Data!Y126</f>
        <v/>
      </c>
      <c r="I126" s="50">
        <f>Subsurface_Inputs!$C$47-Subsurface_Inputs!$C$43+2*SIN(2*PI()*A126/42)</f>
        <v/>
      </c>
      <c r="J126" s="50" t="n">
        <v>0</v>
      </c>
    </row>
    <row r="127">
      <c r="A127" s="50">
        <f>Subsurface_Live_Data!A127</f>
        <v/>
      </c>
      <c r="B127" s="50">
        <f>Subsurface_Live_Data!K127</f>
        <v/>
      </c>
      <c r="C127" s="50">
        <f>MAX(0,B127-Subsurface_Inputs!$C$44)</f>
        <v/>
      </c>
      <c r="D127" s="50">
        <f>B127+Subsurface_Inputs!$C$44</f>
        <v/>
      </c>
      <c r="E127" s="50">
        <f>B127*Subsurface_Inputs!$C$45</f>
        <v/>
      </c>
      <c r="F127" s="50">
        <f>B127</f>
        <v/>
      </c>
      <c r="G127" s="50">
        <f>B127*Subsurface_Inputs!$C$46</f>
        <v/>
      </c>
      <c r="H127" s="50">
        <f>Subsurface_Live_Data!Y127</f>
        <v/>
      </c>
      <c r="I127" s="50">
        <f>Subsurface_Inputs!$C$47-Subsurface_Inputs!$C$43+2*SIN(2*PI()*A127/42)</f>
        <v/>
      </c>
      <c r="J127" s="50" t="n">
        <v>0</v>
      </c>
    </row>
    <row r="128">
      <c r="A128" s="50">
        <f>Subsurface_Live_Data!A128</f>
        <v/>
      </c>
      <c r="B128" s="50">
        <f>Subsurface_Live_Data!K128</f>
        <v/>
      </c>
      <c r="C128" s="50">
        <f>MAX(0,B128-Subsurface_Inputs!$C$44)</f>
        <v/>
      </c>
      <c r="D128" s="50">
        <f>B128+Subsurface_Inputs!$C$44</f>
        <v/>
      </c>
      <c r="E128" s="50">
        <f>B128*Subsurface_Inputs!$C$45</f>
        <v/>
      </c>
      <c r="F128" s="50">
        <f>B128</f>
        <v/>
      </c>
      <c r="G128" s="50">
        <f>B128*Subsurface_Inputs!$C$46</f>
        <v/>
      </c>
      <c r="H128" s="50">
        <f>Subsurface_Live_Data!Y128</f>
        <v/>
      </c>
      <c r="I128" s="50">
        <f>Subsurface_Inputs!$C$47-Subsurface_Inputs!$C$43+2*SIN(2*PI()*A128/42)</f>
        <v/>
      </c>
      <c r="J128" s="50" t="n">
        <v>0</v>
      </c>
    </row>
    <row r="129">
      <c r="A129" s="50">
        <f>Subsurface_Live_Data!A129</f>
        <v/>
      </c>
      <c r="B129" s="50">
        <f>Subsurface_Live_Data!K129</f>
        <v/>
      </c>
      <c r="C129" s="50">
        <f>MAX(0,B129-Subsurface_Inputs!$C$44)</f>
        <v/>
      </c>
      <c r="D129" s="50">
        <f>B129+Subsurface_Inputs!$C$44</f>
        <v/>
      </c>
      <c r="E129" s="50">
        <f>B129*Subsurface_Inputs!$C$45</f>
        <v/>
      </c>
      <c r="F129" s="50">
        <f>B129</f>
        <v/>
      </c>
      <c r="G129" s="50">
        <f>B129*Subsurface_Inputs!$C$46</f>
        <v/>
      </c>
      <c r="H129" s="50">
        <f>Subsurface_Live_Data!Y129</f>
        <v/>
      </c>
      <c r="I129" s="50">
        <f>Subsurface_Inputs!$C$47-Subsurface_Inputs!$C$43+2*SIN(2*PI()*A129/42)</f>
        <v/>
      </c>
      <c r="J129" s="50" t="n">
        <v>0</v>
      </c>
    </row>
    <row r="130">
      <c r="A130" s="50">
        <f>Subsurface_Live_Data!A130</f>
        <v/>
      </c>
      <c r="B130" s="50">
        <f>Subsurface_Live_Data!K130</f>
        <v/>
      </c>
      <c r="C130" s="50">
        <f>MAX(0,B130-Subsurface_Inputs!$C$44)</f>
        <v/>
      </c>
      <c r="D130" s="50">
        <f>B130+Subsurface_Inputs!$C$44</f>
        <v/>
      </c>
      <c r="E130" s="50">
        <f>B130*Subsurface_Inputs!$C$45</f>
        <v/>
      </c>
      <c r="F130" s="50">
        <f>B130</f>
        <v/>
      </c>
      <c r="G130" s="50">
        <f>B130*Subsurface_Inputs!$C$46</f>
        <v/>
      </c>
      <c r="H130" s="50">
        <f>Subsurface_Live_Data!Y130</f>
        <v/>
      </c>
      <c r="I130" s="50">
        <f>Subsurface_Inputs!$C$47-Subsurface_Inputs!$C$43+2*SIN(2*PI()*A130/42)</f>
        <v/>
      </c>
      <c r="J130" s="50" t="n">
        <v>0</v>
      </c>
    </row>
    <row r="131">
      <c r="A131" s="50">
        <f>Subsurface_Live_Data!A131</f>
        <v/>
      </c>
      <c r="B131" s="50">
        <f>Subsurface_Live_Data!K131</f>
        <v/>
      </c>
      <c r="C131" s="50">
        <f>MAX(0,B131-Subsurface_Inputs!$C$44)</f>
        <v/>
      </c>
      <c r="D131" s="50">
        <f>B131+Subsurface_Inputs!$C$44</f>
        <v/>
      </c>
      <c r="E131" s="50">
        <f>B131*Subsurface_Inputs!$C$45</f>
        <v/>
      </c>
      <c r="F131" s="50">
        <f>B131</f>
        <v/>
      </c>
      <c r="G131" s="50">
        <f>B131*Subsurface_Inputs!$C$46</f>
        <v/>
      </c>
      <c r="H131" s="50">
        <f>Subsurface_Live_Data!Y131</f>
        <v/>
      </c>
      <c r="I131" s="50">
        <f>Subsurface_Inputs!$C$47-Subsurface_Inputs!$C$43+2*SIN(2*PI()*A131/42)</f>
        <v/>
      </c>
      <c r="J131" s="50" t="n">
        <v>0</v>
      </c>
    </row>
    <row r="132">
      <c r="A132" s="50">
        <f>Subsurface_Live_Data!A132</f>
        <v/>
      </c>
      <c r="B132" s="50">
        <f>Subsurface_Live_Data!K132</f>
        <v/>
      </c>
      <c r="C132" s="50">
        <f>MAX(0,B132-Subsurface_Inputs!$C$44)</f>
        <v/>
      </c>
      <c r="D132" s="50">
        <f>B132+Subsurface_Inputs!$C$44</f>
        <v/>
      </c>
      <c r="E132" s="50">
        <f>B132*Subsurface_Inputs!$C$45</f>
        <v/>
      </c>
      <c r="F132" s="50">
        <f>B132</f>
        <v/>
      </c>
      <c r="G132" s="50">
        <f>B132*Subsurface_Inputs!$C$46</f>
        <v/>
      </c>
      <c r="H132" s="50">
        <f>Subsurface_Live_Data!Y132</f>
        <v/>
      </c>
      <c r="I132" s="50">
        <f>Subsurface_Inputs!$C$47-Subsurface_Inputs!$C$43+2*SIN(2*PI()*A132/42)</f>
        <v/>
      </c>
      <c r="J132" s="50" t="n">
        <v>0</v>
      </c>
    </row>
    <row r="133">
      <c r="A133" s="50">
        <f>Subsurface_Live_Data!A133</f>
        <v/>
      </c>
      <c r="B133" s="50">
        <f>Subsurface_Live_Data!K133</f>
        <v/>
      </c>
      <c r="C133" s="50">
        <f>MAX(0,B133-Subsurface_Inputs!$C$44)</f>
        <v/>
      </c>
      <c r="D133" s="50">
        <f>B133+Subsurface_Inputs!$C$44</f>
        <v/>
      </c>
      <c r="E133" s="50">
        <f>B133*Subsurface_Inputs!$C$45</f>
        <v/>
      </c>
      <c r="F133" s="50">
        <f>B133</f>
        <v/>
      </c>
      <c r="G133" s="50">
        <f>B133*Subsurface_Inputs!$C$46</f>
        <v/>
      </c>
      <c r="H133" s="50">
        <f>Subsurface_Live_Data!Y133</f>
        <v/>
      </c>
      <c r="I133" s="50">
        <f>Subsurface_Inputs!$C$47-Subsurface_Inputs!$C$43+2*SIN(2*PI()*A133/42)</f>
        <v/>
      </c>
      <c r="J133" s="50" t="n">
        <v>0</v>
      </c>
    </row>
    <row r="134">
      <c r="A134" s="50">
        <f>Subsurface_Live_Data!A134</f>
        <v/>
      </c>
      <c r="B134" s="50">
        <f>Subsurface_Live_Data!K134</f>
        <v/>
      </c>
      <c r="C134" s="50">
        <f>MAX(0,B134-Subsurface_Inputs!$C$44)</f>
        <v/>
      </c>
      <c r="D134" s="50">
        <f>B134+Subsurface_Inputs!$C$44</f>
        <v/>
      </c>
      <c r="E134" s="50">
        <f>B134*Subsurface_Inputs!$C$45</f>
        <v/>
      </c>
      <c r="F134" s="50">
        <f>B134</f>
        <v/>
      </c>
      <c r="G134" s="50">
        <f>B134*Subsurface_Inputs!$C$46</f>
        <v/>
      </c>
      <c r="H134" s="50">
        <f>Subsurface_Live_Data!Y134</f>
        <v/>
      </c>
      <c r="I134" s="50">
        <f>Subsurface_Inputs!$C$47-Subsurface_Inputs!$C$43+2*SIN(2*PI()*A134/42)</f>
        <v/>
      </c>
      <c r="J134" s="50" t="n">
        <v>0</v>
      </c>
    </row>
    <row r="135">
      <c r="A135" s="50">
        <f>Subsurface_Live_Data!A135</f>
        <v/>
      </c>
      <c r="B135" s="50">
        <f>Subsurface_Live_Data!K135</f>
        <v/>
      </c>
      <c r="C135" s="50">
        <f>MAX(0,B135-Subsurface_Inputs!$C$44)</f>
        <v/>
      </c>
      <c r="D135" s="50">
        <f>B135+Subsurface_Inputs!$C$44</f>
        <v/>
      </c>
      <c r="E135" s="50">
        <f>B135*Subsurface_Inputs!$C$45</f>
        <v/>
      </c>
      <c r="F135" s="50">
        <f>B135</f>
        <v/>
      </c>
      <c r="G135" s="50">
        <f>B135*Subsurface_Inputs!$C$46</f>
        <v/>
      </c>
      <c r="H135" s="50">
        <f>Subsurface_Live_Data!Y135</f>
        <v/>
      </c>
      <c r="I135" s="50">
        <f>Subsurface_Inputs!$C$47-Subsurface_Inputs!$C$43+2*SIN(2*PI()*A135/42)</f>
        <v/>
      </c>
      <c r="J135" s="50" t="n">
        <v>0</v>
      </c>
    </row>
    <row r="136">
      <c r="A136" s="50">
        <f>Subsurface_Live_Data!A136</f>
        <v/>
      </c>
      <c r="B136" s="50">
        <f>Subsurface_Live_Data!K136</f>
        <v/>
      </c>
      <c r="C136" s="50">
        <f>MAX(0,B136-Subsurface_Inputs!$C$44)</f>
        <v/>
      </c>
      <c r="D136" s="50">
        <f>B136+Subsurface_Inputs!$C$44</f>
        <v/>
      </c>
      <c r="E136" s="50">
        <f>B136*Subsurface_Inputs!$C$45</f>
        <v/>
      </c>
      <c r="F136" s="50">
        <f>B136</f>
        <v/>
      </c>
      <c r="G136" s="50">
        <f>B136*Subsurface_Inputs!$C$46</f>
        <v/>
      </c>
      <c r="H136" s="50">
        <f>Subsurface_Live_Data!Y136</f>
        <v/>
      </c>
      <c r="I136" s="50">
        <f>Subsurface_Inputs!$C$47-Subsurface_Inputs!$C$43+2*SIN(2*PI()*A136/42)</f>
        <v/>
      </c>
      <c r="J136" s="50" t="n">
        <v>0</v>
      </c>
    </row>
    <row r="137">
      <c r="A137" s="50">
        <f>Subsurface_Live_Data!A137</f>
        <v/>
      </c>
      <c r="B137" s="50">
        <f>Subsurface_Live_Data!K137</f>
        <v/>
      </c>
      <c r="C137" s="50">
        <f>MAX(0,B137-Subsurface_Inputs!$C$44)</f>
        <v/>
      </c>
      <c r="D137" s="50">
        <f>B137+Subsurface_Inputs!$C$44</f>
        <v/>
      </c>
      <c r="E137" s="50">
        <f>B137*Subsurface_Inputs!$C$45</f>
        <v/>
      </c>
      <c r="F137" s="50">
        <f>B137</f>
        <v/>
      </c>
      <c r="G137" s="50">
        <f>B137*Subsurface_Inputs!$C$46</f>
        <v/>
      </c>
      <c r="H137" s="50">
        <f>Subsurface_Live_Data!Y137</f>
        <v/>
      </c>
      <c r="I137" s="50">
        <f>Subsurface_Inputs!$C$47-Subsurface_Inputs!$C$43+2*SIN(2*PI()*A137/42)</f>
        <v/>
      </c>
      <c r="J137" s="50" t="n">
        <v>0</v>
      </c>
    </row>
    <row r="138">
      <c r="A138" s="50">
        <f>Subsurface_Live_Data!A138</f>
        <v/>
      </c>
      <c r="B138" s="50">
        <f>Subsurface_Live_Data!K138</f>
        <v/>
      </c>
      <c r="C138" s="50">
        <f>MAX(0,B138-Subsurface_Inputs!$C$44)</f>
        <v/>
      </c>
      <c r="D138" s="50">
        <f>B138+Subsurface_Inputs!$C$44</f>
        <v/>
      </c>
      <c r="E138" s="50">
        <f>B138*Subsurface_Inputs!$C$45</f>
        <v/>
      </c>
      <c r="F138" s="50">
        <f>B138</f>
        <v/>
      </c>
      <c r="G138" s="50">
        <f>B138*Subsurface_Inputs!$C$46</f>
        <v/>
      </c>
      <c r="H138" s="50">
        <f>Subsurface_Live_Data!Y138</f>
        <v/>
      </c>
      <c r="I138" s="50">
        <f>Subsurface_Inputs!$C$47-Subsurface_Inputs!$C$43+2*SIN(2*PI()*A138/42)</f>
        <v/>
      </c>
      <c r="J138" s="50" t="n">
        <v>0</v>
      </c>
    </row>
    <row r="139">
      <c r="A139" s="50">
        <f>Subsurface_Live_Data!A139</f>
        <v/>
      </c>
      <c r="B139" s="50">
        <f>Subsurface_Live_Data!K139</f>
        <v/>
      </c>
      <c r="C139" s="50">
        <f>MAX(0,B139-Subsurface_Inputs!$C$44)</f>
        <v/>
      </c>
      <c r="D139" s="50">
        <f>B139+Subsurface_Inputs!$C$44</f>
        <v/>
      </c>
      <c r="E139" s="50">
        <f>B139*Subsurface_Inputs!$C$45</f>
        <v/>
      </c>
      <c r="F139" s="50">
        <f>B139</f>
        <v/>
      </c>
      <c r="G139" s="50">
        <f>B139*Subsurface_Inputs!$C$46</f>
        <v/>
      </c>
      <c r="H139" s="50">
        <f>Subsurface_Live_Data!Y139</f>
        <v/>
      </c>
      <c r="I139" s="50">
        <f>Subsurface_Inputs!$C$47-Subsurface_Inputs!$C$43+2*SIN(2*PI()*A139/42)</f>
        <v/>
      </c>
      <c r="J139" s="50" t="n">
        <v>0</v>
      </c>
    </row>
    <row r="140">
      <c r="A140" s="50">
        <f>Subsurface_Live_Data!A140</f>
        <v/>
      </c>
      <c r="B140" s="50">
        <f>Subsurface_Live_Data!K140</f>
        <v/>
      </c>
      <c r="C140" s="50">
        <f>MAX(0,B140-Subsurface_Inputs!$C$44)</f>
        <v/>
      </c>
      <c r="D140" s="50">
        <f>B140+Subsurface_Inputs!$C$44</f>
        <v/>
      </c>
      <c r="E140" s="50">
        <f>B140*Subsurface_Inputs!$C$45</f>
        <v/>
      </c>
      <c r="F140" s="50">
        <f>B140</f>
        <v/>
      </c>
      <c r="G140" s="50">
        <f>B140*Subsurface_Inputs!$C$46</f>
        <v/>
      </c>
      <c r="H140" s="50">
        <f>Subsurface_Live_Data!Y140</f>
        <v/>
      </c>
      <c r="I140" s="50">
        <f>Subsurface_Inputs!$C$47-Subsurface_Inputs!$C$43+2*SIN(2*PI()*A140/42)</f>
        <v/>
      </c>
      <c r="J140" s="50" t="n">
        <v>0</v>
      </c>
    </row>
    <row r="141">
      <c r="A141" s="50">
        <f>Subsurface_Live_Data!A141</f>
        <v/>
      </c>
      <c r="B141" s="50">
        <f>Subsurface_Live_Data!K141</f>
        <v/>
      </c>
      <c r="C141" s="50">
        <f>MAX(0,B141-Subsurface_Inputs!$C$44)</f>
        <v/>
      </c>
      <c r="D141" s="50">
        <f>B141+Subsurface_Inputs!$C$44</f>
        <v/>
      </c>
      <c r="E141" s="50">
        <f>B141*Subsurface_Inputs!$C$45</f>
        <v/>
      </c>
      <c r="F141" s="50">
        <f>B141</f>
        <v/>
      </c>
      <c r="G141" s="50">
        <f>B141*Subsurface_Inputs!$C$46</f>
        <v/>
      </c>
      <c r="H141" s="50">
        <f>Subsurface_Live_Data!Y141</f>
        <v/>
      </c>
      <c r="I141" s="50">
        <f>Subsurface_Inputs!$C$47-Subsurface_Inputs!$C$43+2*SIN(2*PI()*A141/42)</f>
        <v/>
      </c>
      <c r="J141" s="50" t="n">
        <v>0</v>
      </c>
    </row>
    <row r="142">
      <c r="A142" s="50">
        <f>Subsurface_Live_Data!A142</f>
        <v/>
      </c>
      <c r="B142" s="50">
        <f>Subsurface_Live_Data!K142</f>
        <v/>
      </c>
      <c r="C142" s="50">
        <f>MAX(0,B142-Subsurface_Inputs!$C$44)</f>
        <v/>
      </c>
      <c r="D142" s="50">
        <f>B142+Subsurface_Inputs!$C$44</f>
        <v/>
      </c>
      <c r="E142" s="50">
        <f>B142*Subsurface_Inputs!$C$45</f>
        <v/>
      </c>
      <c r="F142" s="50">
        <f>B142</f>
        <v/>
      </c>
      <c r="G142" s="50">
        <f>B142*Subsurface_Inputs!$C$46</f>
        <v/>
      </c>
      <c r="H142" s="50">
        <f>Subsurface_Live_Data!Y142</f>
        <v/>
      </c>
      <c r="I142" s="50">
        <f>Subsurface_Inputs!$C$47-Subsurface_Inputs!$C$43+2*SIN(2*PI()*A142/42)</f>
        <v/>
      </c>
      <c r="J142" s="50" t="n">
        <v>0</v>
      </c>
    </row>
    <row r="143">
      <c r="A143" s="50">
        <f>Subsurface_Live_Data!A143</f>
        <v/>
      </c>
      <c r="B143" s="50">
        <f>Subsurface_Live_Data!K143</f>
        <v/>
      </c>
      <c r="C143" s="50">
        <f>MAX(0,B143-Subsurface_Inputs!$C$44)</f>
        <v/>
      </c>
      <c r="D143" s="50">
        <f>B143+Subsurface_Inputs!$C$44</f>
        <v/>
      </c>
      <c r="E143" s="50">
        <f>B143*Subsurface_Inputs!$C$45</f>
        <v/>
      </c>
      <c r="F143" s="50">
        <f>B143</f>
        <v/>
      </c>
      <c r="G143" s="50">
        <f>B143*Subsurface_Inputs!$C$46</f>
        <v/>
      </c>
      <c r="H143" s="50">
        <f>Subsurface_Live_Data!Y143</f>
        <v/>
      </c>
      <c r="I143" s="50">
        <f>Subsurface_Inputs!$C$47-Subsurface_Inputs!$C$43+2*SIN(2*PI()*A143/42)</f>
        <v/>
      </c>
      <c r="J143" s="50" t="n">
        <v>0</v>
      </c>
    </row>
    <row r="144">
      <c r="A144" s="50">
        <f>Subsurface_Live_Data!A144</f>
        <v/>
      </c>
      <c r="B144" s="50">
        <f>Subsurface_Live_Data!K144</f>
        <v/>
      </c>
      <c r="C144" s="50">
        <f>MAX(0,B144-Subsurface_Inputs!$C$44)</f>
        <v/>
      </c>
      <c r="D144" s="50">
        <f>B144+Subsurface_Inputs!$C$44</f>
        <v/>
      </c>
      <c r="E144" s="50">
        <f>B144*Subsurface_Inputs!$C$45</f>
        <v/>
      </c>
      <c r="F144" s="50">
        <f>B144</f>
        <v/>
      </c>
      <c r="G144" s="50">
        <f>B144*Subsurface_Inputs!$C$46</f>
        <v/>
      </c>
      <c r="H144" s="50">
        <f>Subsurface_Live_Data!Y144</f>
        <v/>
      </c>
      <c r="I144" s="50">
        <f>Subsurface_Inputs!$C$47-Subsurface_Inputs!$C$43+2*SIN(2*PI()*A144/42)</f>
        <v/>
      </c>
      <c r="J144" s="50" t="n">
        <v>0</v>
      </c>
    </row>
    <row r="145">
      <c r="A145" s="50">
        <f>Subsurface_Live_Data!A145</f>
        <v/>
      </c>
      <c r="B145" s="50">
        <f>Subsurface_Live_Data!K145</f>
        <v/>
      </c>
      <c r="C145" s="50">
        <f>MAX(0,B145-Subsurface_Inputs!$C$44)</f>
        <v/>
      </c>
      <c r="D145" s="50">
        <f>B145+Subsurface_Inputs!$C$44</f>
        <v/>
      </c>
      <c r="E145" s="50">
        <f>B145*Subsurface_Inputs!$C$45</f>
        <v/>
      </c>
      <c r="F145" s="50">
        <f>B145</f>
        <v/>
      </c>
      <c r="G145" s="50">
        <f>B145*Subsurface_Inputs!$C$46</f>
        <v/>
      </c>
      <c r="H145" s="50">
        <f>Subsurface_Live_Data!Y145</f>
        <v/>
      </c>
      <c r="I145" s="50">
        <f>Subsurface_Inputs!$C$47-Subsurface_Inputs!$C$43+2*SIN(2*PI()*A145/42)</f>
        <v/>
      </c>
      <c r="J145" s="50" t="n">
        <v>0</v>
      </c>
    </row>
    <row r="146">
      <c r="A146" s="50">
        <f>Subsurface_Live_Data!A146</f>
        <v/>
      </c>
      <c r="B146" s="50">
        <f>Subsurface_Live_Data!K146</f>
        <v/>
      </c>
      <c r="C146" s="50">
        <f>MAX(0,B146-Subsurface_Inputs!$C$44)</f>
        <v/>
      </c>
      <c r="D146" s="50">
        <f>B146+Subsurface_Inputs!$C$44</f>
        <v/>
      </c>
      <c r="E146" s="50">
        <f>B146*Subsurface_Inputs!$C$45</f>
        <v/>
      </c>
      <c r="F146" s="50">
        <f>B146</f>
        <v/>
      </c>
      <c r="G146" s="50">
        <f>B146*Subsurface_Inputs!$C$46</f>
        <v/>
      </c>
      <c r="H146" s="50">
        <f>Subsurface_Live_Data!Y146</f>
        <v/>
      </c>
      <c r="I146" s="50">
        <f>Subsurface_Inputs!$C$47-Subsurface_Inputs!$C$43+2*SIN(2*PI()*A146/42)</f>
        <v/>
      </c>
      <c r="J146" s="50" t="n">
        <v>0</v>
      </c>
    </row>
    <row r="147">
      <c r="A147" s="50">
        <f>Subsurface_Live_Data!A147</f>
        <v/>
      </c>
      <c r="B147" s="50">
        <f>Subsurface_Live_Data!K147</f>
        <v/>
      </c>
      <c r="C147" s="50">
        <f>MAX(0,B147-Subsurface_Inputs!$C$44)</f>
        <v/>
      </c>
      <c r="D147" s="50">
        <f>B147+Subsurface_Inputs!$C$44</f>
        <v/>
      </c>
      <c r="E147" s="50">
        <f>B147*Subsurface_Inputs!$C$45</f>
        <v/>
      </c>
      <c r="F147" s="50">
        <f>B147</f>
        <v/>
      </c>
      <c r="G147" s="50">
        <f>B147*Subsurface_Inputs!$C$46</f>
        <v/>
      </c>
      <c r="H147" s="50">
        <f>Subsurface_Live_Data!Y147</f>
        <v/>
      </c>
      <c r="I147" s="50">
        <f>Subsurface_Inputs!$C$47-Subsurface_Inputs!$C$43+2*SIN(2*PI()*A147/42)</f>
        <v/>
      </c>
      <c r="J147" s="50" t="n">
        <v>0</v>
      </c>
    </row>
    <row r="148">
      <c r="A148" s="50">
        <f>Subsurface_Live_Data!A148</f>
        <v/>
      </c>
      <c r="B148" s="50">
        <f>Subsurface_Live_Data!K148</f>
        <v/>
      </c>
      <c r="C148" s="50">
        <f>MAX(0,B148-Subsurface_Inputs!$C$44)</f>
        <v/>
      </c>
      <c r="D148" s="50">
        <f>B148+Subsurface_Inputs!$C$44</f>
        <v/>
      </c>
      <c r="E148" s="50">
        <f>B148*Subsurface_Inputs!$C$45</f>
        <v/>
      </c>
      <c r="F148" s="50">
        <f>B148</f>
        <v/>
      </c>
      <c r="G148" s="50">
        <f>B148*Subsurface_Inputs!$C$46</f>
        <v/>
      </c>
      <c r="H148" s="50">
        <f>Subsurface_Live_Data!Y148</f>
        <v/>
      </c>
      <c r="I148" s="50">
        <f>Subsurface_Inputs!$C$47-Subsurface_Inputs!$C$43+2*SIN(2*PI()*A148/42)</f>
        <v/>
      </c>
      <c r="J148" s="50" t="n">
        <v>0</v>
      </c>
    </row>
    <row r="149">
      <c r="A149" s="50">
        <f>Subsurface_Live_Data!A149</f>
        <v/>
      </c>
      <c r="B149" s="50">
        <f>Subsurface_Live_Data!K149</f>
        <v/>
      </c>
      <c r="C149" s="50">
        <f>MAX(0,B149-Subsurface_Inputs!$C$44)</f>
        <v/>
      </c>
      <c r="D149" s="50">
        <f>B149+Subsurface_Inputs!$C$44</f>
        <v/>
      </c>
      <c r="E149" s="50">
        <f>B149*Subsurface_Inputs!$C$45</f>
        <v/>
      </c>
      <c r="F149" s="50">
        <f>B149</f>
        <v/>
      </c>
      <c r="G149" s="50">
        <f>B149*Subsurface_Inputs!$C$46</f>
        <v/>
      </c>
      <c r="H149" s="50">
        <f>Subsurface_Live_Data!Y149</f>
        <v/>
      </c>
      <c r="I149" s="50">
        <f>Subsurface_Inputs!$C$47-Subsurface_Inputs!$C$43+2*SIN(2*PI()*A149/42)</f>
        <v/>
      </c>
      <c r="J149" s="50" t="n">
        <v>0</v>
      </c>
    </row>
    <row r="150">
      <c r="A150" s="50">
        <f>Subsurface_Live_Data!A150</f>
        <v/>
      </c>
      <c r="B150" s="50">
        <f>Subsurface_Live_Data!K150</f>
        <v/>
      </c>
      <c r="C150" s="50">
        <f>MAX(0,B150-Subsurface_Inputs!$C$44)</f>
        <v/>
      </c>
      <c r="D150" s="50">
        <f>B150+Subsurface_Inputs!$C$44</f>
        <v/>
      </c>
      <c r="E150" s="50">
        <f>B150*Subsurface_Inputs!$C$45</f>
        <v/>
      </c>
      <c r="F150" s="50">
        <f>B150</f>
        <v/>
      </c>
      <c r="G150" s="50">
        <f>B150*Subsurface_Inputs!$C$46</f>
        <v/>
      </c>
      <c r="H150" s="50">
        <f>Subsurface_Live_Data!Y150</f>
        <v/>
      </c>
      <c r="I150" s="50">
        <f>Subsurface_Inputs!$C$47-Subsurface_Inputs!$C$43+2*SIN(2*PI()*A150/42)</f>
        <v/>
      </c>
      <c r="J150" s="50" t="n">
        <v>0</v>
      </c>
    </row>
    <row r="151">
      <c r="A151" s="50">
        <f>Subsurface_Live_Data!A151</f>
        <v/>
      </c>
      <c r="B151" s="50">
        <f>Subsurface_Live_Data!K151</f>
        <v/>
      </c>
      <c r="C151" s="50">
        <f>MAX(0,B151-Subsurface_Inputs!$C$44)</f>
        <v/>
      </c>
      <c r="D151" s="50">
        <f>B151+Subsurface_Inputs!$C$44</f>
        <v/>
      </c>
      <c r="E151" s="50">
        <f>B151*Subsurface_Inputs!$C$45</f>
        <v/>
      </c>
      <c r="F151" s="50">
        <f>B151</f>
        <v/>
      </c>
      <c r="G151" s="50">
        <f>B151*Subsurface_Inputs!$C$46</f>
        <v/>
      </c>
      <c r="H151" s="50">
        <f>Subsurface_Live_Data!Y151</f>
        <v/>
      </c>
      <c r="I151" s="50">
        <f>Subsurface_Inputs!$C$47-Subsurface_Inputs!$C$43+2*SIN(2*PI()*A151/42)</f>
        <v/>
      </c>
      <c r="J151" s="50" t="n">
        <v>0</v>
      </c>
    </row>
    <row r="152">
      <c r="A152" s="50">
        <f>Subsurface_Live_Data!A152</f>
        <v/>
      </c>
      <c r="B152" s="50">
        <f>Subsurface_Live_Data!K152</f>
        <v/>
      </c>
      <c r="C152" s="50">
        <f>MAX(0,B152-Subsurface_Inputs!$C$44)</f>
        <v/>
      </c>
      <c r="D152" s="50">
        <f>B152+Subsurface_Inputs!$C$44</f>
        <v/>
      </c>
      <c r="E152" s="50">
        <f>B152*Subsurface_Inputs!$C$45</f>
        <v/>
      </c>
      <c r="F152" s="50">
        <f>B152</f>
        <v/>
      </c>
      <c r="G152" s="50">
        <f>B152*Subsurface_Inputs!$C$46</f>
        <v/>
      </c>
      <c r="H152" s="50">
        <f>Subsurface_Live_Data!Y152</f>
        <v/>
      </c>
      <c r="I152" s="50">
        <f>Subsurface_Inputs!$C$47-Subsurface_Inputs!$C$43+2*SIN(2*PI()*A152/42)</f>
        <v/>
      </c>
      <c r="J152" s="50" t="n">
        <v>0</v>
      </c>
    </row>
    <row r="153">
      <c r="A153" s="50">
        <f>Subsurface_Live_Data!A153</f>
        <v/>
      </c>
      <c r="B153" s="50">
        <f>Subsurface_Live_Data!K153</f>
        <v/>
      </c>
      <c r="C153" s="50">
        <f>MAX(0,B153-Subsurface_Inputs!$C$44)</f>
        <v/>
      </c>
      <c r="D153" s="50">
        <f>B153+Subsurface_Inputs!$C$44</f>
        <v/>
      </c>
      <c r="E153" s="50">
        <f>B153*Subsurface_Inputs!$C$45</f>
        <v/>
      </c>
      <c r="F153" s="50">
        <f>B153</f>
        <v/>
      </c>
      <c r="G153" s="50">
        <f>B153*Subsurface_Inputs!$C$46</f>
        <v/>
      </c>
      <c r="H153" s="50">
        <f>Subsurface_Live_Data!Y153</f>
        <v/>
      </c>
      <c r="I153" s="50">
        <f>Subsurface_Inputs!$C$47-Subsurface_Inputs!$C$43+2*SIN(2*PI()*A153/42)</f>
        <v/>
      </c>
      <c r="J153" s="50" t="n">
        <v>0</v>
      </c>
    </row>
    <row r="154">
      <c r="A154" s="50">
        <f>Subsurface_Live_Data!A154</f>
        <v/>
      </c>
      <c r="B154" s="50">
        <f>Subsurface_Live_Data!K154</f>
        <v/>
      </c>
      <c r="C154" s="50">
        <f>MAX(0,B154-Subsurface_Inputs!$C$44)</f>
        <v/>
      </c>
      <c r="D154" s="50">
        <f>B154+Subsurface_Inputs!$C$44</f>
        <v/>
      </c>
      <c r="E154" s="50">
        <f>B154*Subsurface_Inputs!$C$45</f>
        <v/>
      </c>
      <c r="F154" s="50">
        <f>B154</f>
        <v/>
      </c>
      <c r="G154" s="50">
        <f>B154*Subsurface_Inputs!$C$46</f>
        <v/>
      </c>
      <c r="H154" s="50">
        <f>Subsurface_Live_Data!Y154</f>
        <v/>
      </c>
      <c r="I154" s="50">
        <f>Subsurface_Inputs!$C$47-Subsurface_Inputs!$C$43+2*SIN(2*PI()*A154/42)</f>
        <v/>
      </c>
      <c r="J154" s="50" t="n">
        <v>0</v>
      </c>
    </row>
    <row r="155">
      <c r="A155" s="50">
        <f>Subsurface_Live_Data!A155</f>
        <v/>
      </c>
      <c r="B155" s="50">
        <f>Subsurface_Live_Data!K155</f>
        <v/>
      </c>
      <c r="C155" s="50">
        <f>MAX(0,B155-Subsurface_Inputs!$C$44)</f>
        <v/>
      </c>
      <c r="D155" s="50">
        <f>B155+Subsurface_Inputs!$C$44</f>
        <v/>
      </c>
      <c r="E155" s="50">
        <f>B155*Subsurface_Inputs!$C$45</f>
        <v/>
      </c>
      <c r="F155" s="50">
        <f>B155</f>
        <v/>
      </c>
      <c r="G155" s="50">
        <f>B155*Subsurface_Inputs!$C$46</f>
        <v/>
      </c>
      <c r="H155" s="50">
        <f>Subsurface_Live_Data!Y155</f>
        <v/>
      </c>
      <c r="I155" s="50">
        <f>Subsurface_Inputs!$C$47-Subsurface_Inputs!$C$43+2*SIN(2*PI()*A155/42)</f>
        <v/>
      </c>
      <c r="J155" s="50" t="n">
        <v>0</v>
      </c>
    </row>
    <row r="156">
      <c r="A156" s="50">
        <f>Subsurface_Live_Data!A156</f>
        <v/>
      </c>
      <c r="B156" s="50">
        <f>Subsurface_Live_Data!K156</f>
        <v/>
      </c>
      <c r="C156" s="50">
        <f>MAX(0,B156-Subsurface_Inputs!$C$44)</f>
        <v/>
      </c>
      <c r="D156" s="50">
        <f>B156+Subsurface_Inputs!$C$44</f>
        <v/>
      </c>
      <c r="E156" s="50">
        <f>B156*Subsurface_Inputs!$C$45</f>
        <v/>
      </c>
      <c r="F156" s="50">
        <f>B156</f>
        <v/>
      </c>
      <c r="G156" s="50">
        <f>B156*Subsurface_Inputs!$C$46</f>
        <v/>
      </c>
      <c r="H156" s="50">
        <f>Subsurface_Live_Data!Y156</f>
        <v/>
      </c>
      <c r="I156" s="50">
        <f>Subsurface_Inputs!$C$47-Subsurface_Inputs!$C$43+2*SIN(2*PI()*A156/42)</f>
        <v/>
      </c>
      <c r="J156" s="50" t="n">
        <v>0</v>
      </c>
    </row>
    <row r="157">
      <c r="A157" s="50">
        <f>Subsurface_Live_Data!A157</f>
        <v/>
      </c>
      <c r="B157" s="50">
        <f>Subsurface_Live_Data!K157</f>
        <v/>
      </c>
      <c r="C157" s="50">
        <f>MAX(0,B157-Subsurface_Inputs!$C$44)</f>
        <v/>
      </c>
      <c r="D157" s="50">
        <f>B157+Subsurface_Inputs!$C$44</f>
        <v/>
      </c>
      <c r="E157" s="50">
        <f>B157*Subsurface_Inputs!$C$45</f>
        <v/>
      </c>
      <c r="F157" s="50">
        <f>B157</f>
        <v/>
      </c>
      <c r="G157" s="50">
        <f>B157*Subsurface_Inputs!$C$46</f>
        <v/>
      </c>
      <c r="H157" s="50">
        <f>Subsurface_Live_Data!Y157</f>
        <v/>
      </c>
      <c r="I157" s="50">
        <f>Subsurface_Inputs!$C$47-Subsurface_Inputs!$C$43+2*SIN(2*PI()*A157/42)</f>
        <v/>
      </c>
      <c r="J157" s="50" t="n">
        <v>0</v>
      </c>
    </row>
    <row r="158">
      <c r="A158" s="50">
        <f>Subsurface_Live_Data!A158</f>
        <v/>
      </c>
      <c r="B158" s="50">
        <f>Subsurface_Live_Data!K158</f>
        <v/>
      </c>
      <c r="C158" s="50">
        <f>MAX(0,B158-Subsurface_Inputs!$C$44)</f>
        <v/>
      </c>
      <c r="D158" s="50">
        <f>B158+Subsurface_Inputs!$C$44</f>
        <v/>
      </c>
      <c r="E158" s="50">
        <f>B158*Subsurface_Inputs!$C$45</f>
        <v/>
      </c>
      <c r="F158" s="50">
        <f>B158</f>
        <v/>
      </c>
      <c r="G158" s="50">
        <f>B158*Subsurface_Inputs!$C$46</f>
        <v/>
      </c>
      <c r="H158" s="50">
        <f>Subsurface_Live_Data!Y158</f>
        <v/>
      </c>
      <c r="I158" s="50">
        <f>Subsurface_Inputs!$C$47-Subsurface_Inputs!$C$43+2*SIN(2*PI()*A158/42)</f>
        <v/>
      </c>
      <c r="J158" s="50" t="n">
        <v>0</v>
      </c>
    </row>
    <row r="159">
      <c r="A159" s="50">
        <f>Subsurface_Live_Data!A159</f>
        <v/>
      </c>
      <c r="B159" s="50">
        <f>Subsurface_Live_Data!K159</f>
        <v/>
      </c>
      <c r="C159" s="50">
        <f>MAX(0,B159-Subsurface_Inputs!$C$44)</f>
        <v/>
      </c>
      <c r="D159" s="50">
        <f>B159+Subsurface_Inputs!$C$44</f>
        <v/>
      </c>
      <c r="E159" s="50">
        <f>B159*Subsurface_Inputs!$C$45</f>
        <v/>
      </c>
      <c r="F159" s="50">
        <f>B159</f>
        <v/>
      </c>
      <c r="G159" s="50">
        <f>B159*Subsurface_Inputs!$C$46</f>
        <v/>
      </c>
      <c r="H159" s="50">
        <f>Subsurface_Live_Data!Y159</f>
        <v/>
      </c>
      <c r="I159" s="50">
        <f>Subsurface_Inputs!$C$47-Subsurface_Inputs!$C$43+2*SIN(2*PI()*A159/42)</f>
        <v/>
      </c>
      <c r="J159" s="50" t="n">
        <v>0</v>
      </c>
    </row>
    <row r="160">
      <c r="A160" s="50">
        <f>Subsurface_Live_Data!A160</f>
        <v/>
      </c>
      <c r="B160" s="50">
        <f>Subsurface_Live_Data!K160</f>
        <v/>
      </c>
      <c r="C160" s="50">
        <f>MAX(0,B160-Subsurface_Inputs!$C$44)</f>
        <v/>
      </c>
      <c r="D160" s="50">
        <f>B160+Subsurface_Inputs!$C$44</f>
        <v/>
      </c>
      <c r="E160" s="50">
        <f>B160*Subsurface_Inputs!$C$45</f>
        <v/>
      </c>
      <c r="F160" s="50">
        <f>B160</f>
        <v/>
      </c>
      <c r="G160" s="50">
        <f>B160*Subsurface_Inputs!$C$46</f>
        <v/>
      </c>
      <c r="H160" s="50">
        <f>Subsurface_Live_Data!Y160</f>
        <v/>
      </c>
      <c r="I160" s="50">
        <f>Subsurface_Inputs!$C$47-Subsurface_Inputs!$C$43+2*SIN(2*PI()*A160/42)</f>
        <v/>
      </c>
      <c r="J160" s="50" t="n">
        <v>0</v>
      </c>
    </row>
    <row r="161">
      <c r="A161" s="50">
        <f>Subsurface_Live_Data!A161</f>
        <v/>
      </c>
      <c r="B161" s="50">
        <f>Subsurface_Live_Data!K161</f>
        <v/>
      </c>
      <c r="C161" s="50">
        <f>MAX(0,B161-Subsurface_Inputs!$C$44)</f>
        <v/>
      </c>
      <c r="D161" s="50">
        <f>B161+Subsurface_Inputs!$C$44</f>
        <v/>
      </c>
      <c r="E161" s="50">
        <f>B161*Subsurface_Inputs!$C$45</f>
        <v/>
      </c>
      <c r="F161" s="50">
        <f>B161</f>
        <v/>
      </c>
      <c r="G161" s="50">
        <f>B161*Subsurface_Inputs!$C$46</f>
        <v/>
      </c>
      <c r="H161" s="50">
        <f>Subsurface_Live_Data!Y161</f>
        <v/>
      </c>
      <c r="I161" s="50">
        <f>Subsurface_Inputs!$C$47-Subsurface_Inputs!$C$43+2*SIN(2*PI()*A161/42)</f>
        <v/>
      </c>
      <c r="J161" s="50" t="n">
        <v>0</v>
      </c>
    </row>
    <row r="162">
      <c r="A162" s="50">
        <f>Subsurface_Live_Data!A162</f>
        <v/>
      </c>
      <c r="B162" s="50">
        <f>Subsurface_Live_Data!K162</f>
        <v/>
      </c>
      <c r="C162" s="50">
        <f>MAX(0,B162-Subsurface_Inputs!$C$44)</f>
        <v/>
      </c>
      <c r="D162" s="50">
        <f>B162+Subsurface_Inputs!$C$44</f>
        <v/>
      </c>
      <c r="E162" s="50">
        <f>B162*Subsurface_Inputs!$C$45</f>
        <v/>
      </c>
      <c r="F162" s="50">
        <f>B162</f>
        <v/>
      </c>
      <c r="G162" s="50">
        <f>B162*Subsurface_Inputs!$C$46</f>
        <v/>
      </c>
      <c r="H162" s="50">
        <f>Subsurface_Live_Data!Y162</f>
        <v/>
      </c>
      <c r="I162" s="50">
        <f>Subsurface_Inputs!$C$47-Subsurface_Inputs!$C$43+2*SIN(2*PI()*A162/42)</f>
        <v/>
      </c>
      <c r="J162" s="50" t="n">
        <v>0</v>
      </c>
    </row>
    <row r="163">
      <c r="A163" s="50">
        <f>Subsurface_Live_Data!A163</f>
        <v/>
      </c>
      <c r="B163" s="50">
        <f>Subsurface_Live_Data!K163</f>
        <v/>
      </c>
      <c r="C163" s="50">
        <f>MAX(0,B163-Subsurface_Inputs!$C$44)</f>
        <v/>
      </c>
      <c r="D163" s="50">
        <f>B163+Subsurface_Inputs!$C$44</f>
        <v/>
      </c>
      <c r="E163" s="50">
        <f>B163*Subsurface_Inputs!$C$45</f>
        <v/>
      </c>
      <c r="F163" s="50">
        <f>B163</f>
        <v/>
      </c>
      <c r="G163" s="50">
        <f>B163*Subsurface_Inputs!$C$46</f>
        <v/>
      </c>
      <c r="H163" s="50">
        <f>Subsurface_Live_Data!Y163</f>
        <v/>
      </c>
      <c r="I163" s="50">
        <f>Subsurface_Inputs!$C$47-Subsurface_Inputs!$C$43+2*SIN(2*PI()*A163/42)</f>
        <v/>
      </c>
      <c r="J163" s="50" t="n">
        <v>0</v>
      </c>
    </row>
    <row r="164">
      <c r="A164" s="50">
        <f>Subsurface_Live_Data!A164</f>
        <v/>
      </c>
      <c r="B164" s="50">
        <f>Subsurface_Live_Data!K164</f>
        <v/>
      </c>
      <c r="C164" s="50">
        <f>MAX(0,B164-Subsurface_Inputs!$C$44)</f>
        <v/>
      </c>
      <c r="D164" s="50">
        <f>B164+Subsurface_Inputs!$C$44</f>
        <v/>
      </c>
      <c r="E164" s="50">
        <f>B164*Subsurface_Inputs!$C$45</f>
        <v/>
      </c>
      <c r="F164" s="50">
        <f>B164</f>
        <v/>
      </c>
      <c r="G164" s="50">
        <f>B164*Subsurface_Inputs!$C$46</f>
        <v/>
      </c>
      <c r="H164" s="50">
        <f>Subsurface_Live_Data!Y164</f>
        <v/>
      </c>
      <c r="I164" s="50">
        <f>Subsurface_Inputs!$C$47-Subsurface_Inputs!$C$43+2*SIN(2*PI()*A164/42)</f>
        <v/>
      </c>
      <c r="J164" s="50" t="n">
        <v>0</v>
      </c>
    </row>
    <row r="165">
      <c r="A165" s="50">
        <f>Subsurface_Live_Data!A165</f>
        <v/>
      </c>
      <c r="B165" s="50">
        <f>Subsurface_Live_Data!K165</f>
        <v/>
      </c>
      <c r="C165" s="50">
        <f>MAX(0,B165-Subsurface_Inputs!$C$44)</f>
        <v/>
      </c>
      <c r="D165" s="50">
        <f>B165+Subsurface_Inputs!$C$44</f>
        <v/>
      </c>
      <c r="E165" s="50">
        <f>B165*Subsurface_Inputs!$C$45</f>
        <v/>
      </c>
      <c r="F165" s="50">
        <f>B165</f>
        <v/>
      </c>
      <c r="G165" s="50">
        <f>B165*Subsurface_Inputs!$C$46</f>
        <v/>
      </c>
      <c r="H165" s="50">
        <f>Subsurface_Live_Data!Y165</f>
        <v/>
      </c>
      <c r="I165" s="50">
        <f>Subsurface_Inputs!$C$47-Subsurface_Inputs!$C$43+2*SIN(2*PI()*A165/42)</f>
        <v/>
      </c>
      <c r="J165" s="50" t="n">
        <v>0</v>
      </c>
    </row>
    <row r="166">
      <c r="A166" s="50">
        <f>Subsurface_Live_Data!A166</f>
        <v/>
      </c>
      <c r="B166" s="50">
        <f>Subsurface_Live_Data!K166</f>
        <v/>
      </c>
      <c r="C166" s="50">
        <f>MAX(0,B166-Subsurface_Inputs!$C$44)</f>
        <v/>
      </c>
      <c r="D166" s="50">
        <f>B166+Subsurface_Inputs!$C$44</f>
        <v/>
      </c>
      <c r="E166" s="50">
        <f>B166*Subsurface_Inputs!$C$45</f>
        <v/>
      </c>
      <c r="F166" s="50">
        <f>B166</f>
        <v/>
      </c>
      <c r="G166" s="50">
        <f>B166*Subsurface_Inputs!$C$46</f>
        <v/>
      </c>
      <c r="H166" s="50">
        <f>Subsurface_Live_Data!Y166</f>
        <v/>
      </c>
      <c r="I166" s="50">
        <f>Subsurface_Inputs!$C$47-Subsurface_Inputs!$C$43+2*SIN(2*PI()*A166/42)</f>
        <v/>
      </c>
      <c r="J166" s="50" t="n">
        <v>0</v>
      </c>
    </row>
    <row r="167">
      <c r="A167" s="50">
        <f>Subsurface_Live_Data!A167</f>
        <v/>
      </c>
      <c r="B167" s="50">
        <f>Subsurface_Live_Data!K167</f>
        <v/>
      </c>
      <c r="C167" s="50">
        <f>MAX(0,B167-Subsurface_Inputs!$C$44)</f>
        <v/>
      </c>
      <c r="D167" s="50">
        <f>B167+Subsurface_Inputs!$C$44</f>
        <v/>
      </c>
      <c r="E167" s="50">
        <f>B167*Subsurface_Inputs!$C$45</f>
        <v/>
      </c>
      <c r="F167" s="50">
        <f>B167</f>
        <v/>
      </c>
      <c r="G167" s="50">
        <f>B167*Subsurface_Inputs!$C$46</f>
        <v/>
      </c>
      <c r="H167" s="50">
        <f>Subsurface_Live_Data!Y167</f>
        <v/>
      </c>
      <c r="I167" s="50">
        <f>Subsurface_Inputs!$C$47-Subsurface_Inputs!$C$43+2*SIN(2*PI()*A167/42)</f>
        <v/>
      </c>
      <c r="J167" s="50" t="n">
        <v>0</v>
      </c>
    </row>
    <row r="168">
      <c r="A168" s="50">
        <f>Subsurface_Live_Data!A168</f>
        <v/>
      </c>
      <c r="B168" s="50">
        <f>Subsurface_Live_Data!K168</f>
        <v/>
      </c>
      <c r="C168" s="50">
        <f>MAX(0,B168-Subsurface_Inputs!$C$44)</f>
        <v/>
      </c>
      <c r="D168" s="50">
        <f>B168+Subsurface_Inputs!$C$44</f>
        <v/>
      </c>
      <c r="E168" s="50">
        <f>B168*Subsurface_Inputs!$C$45</f>
        <v/>
      </c>
      <c r="F168" s="50">
        <f>B168</f>
        <v/>
      </c>
      <c r="G168" s="50">
        <f>B168*Subsurface_Inputs!$C$46</f>
        <v/>
      </c>
      <c r="H168" s="50">
        <f>Subsurface_Live_Data!Y168</f>
        <v/>
      </c>
      <c r="I168" s="50">
        <f>Subsurface_Inputs!$C$47-Subsurface_Inputs!$C$43+2*SIN(2*PI()*A168/42)</f>
        <v/>
      </c>
      <c r="J168" s="50" t="n">
        <v>0</v>
      </c>
    </row>
    <row r="169">
      <c r="A169" s="50">
        <f>Subsurface_Live_Data!A169</f>
        <v/>
      </c>
      <c r="B169" s="50">
        <f>Subsurface_Live_Data!K169</f>
        <v/>
      </c>
      <c r="C169" s="50">
        <f>MAX(0,B169-Subsurface_Inputs!$C$44)</f>
        <v/>
      </c>
      <c r="D169" s="50">
        <f>B169+Subsurface_Inputs!$C$44</f>
        <v/>
      </c>
      <c r="E169" s="50">
        <f>B169*Subsurface_Inputs!$C$45</f>
        <v/>
      </c>
      <c r="F169" s="50">
        <f>B169</f>
        <v/>
      </c>
      <c r="G169" s="50">
        <f>B169*Subsurface_Inputs!$C$46</f>
        <v/>
      </c>
      <c r="H169" s="50">
        <f>Subsurface_Live_Data!Y169</f>
        <v/>
      </c>
      <c r="I169" s="50">
        <f>Subsurface_Inputs!$C$47-Subsurface_Inputs!$C$43+2*SIN(2*PI()*A169/42)</f>
        <v/>
      </c>
      <c r="J169" s="50" t="n">
        <v>0</v>
      </c>
    </row>
    <row r="170">
      <c r="A170" s="50">
        <f>Subsurface_Live_Data!A170</f>
        <v/>
      </c>
      <c r="B170" s="50">
        <f>Subsurface_Live_Data!K170</f>
        <v/>
      </c>
      <c r="C170" s="50">
        <f>MAX(0,B170-Subsurface_Inputs!$C$44)</f>
        <v/>
      </c>
      <c r="D170" s="50">
        <f>B170+Subsurface_Inputs!$C$44</f>
        <v/>
      </c>
      <c r="E170" s="50">
        <f>B170*Subsurface_Inputs!$C$45</f>
        <v/>
      </c>
      <c r="F170" s="50">
        <f>B170</f>
        <v/>
      </c>
      <c r="G170" s="50">
        <f>B170*Subsurface_Inputs!$C$46</f>
        <v/>
      </c>
      <c r="H170" s="50">
        <f>Subsurface_Live_Data!Y170</f>
        <v/>
      </c>
      <c r="I170" s="50">
        <f>Subsurface_Inputs!$C$47-Subsurface_Inputs!$C$43+2*SIN(2*PI()*A170/42)</f>
        <v/>
      </c>
      <c r="J170" s="50" t="n">
        <v>0</v>
      </c>
    </row>
    <row r="171">
      <c r="A171" s="50">
        <f>Subsurface_Live_Data!A171</f>
        <v/>
      </c>
      <c r="B171" s="50">
        <f>Subsurface_Live_Data!K171</f>
        <v/>
      </c>
      <c r="C171" s="50">
        <f>MAX(0,B171-Subsurface_Inputs!$C$44)</f>
        <v/>
      </c>
      <c r="D171" s="50">
        <f>B171+Subsurface_Inputs!$C$44</f>
        <v/>
      </c>
      <c r="E171" s="50">
        <f>B171*Subsurface_Inputs!$C$45</f>
        <v/>
      </c>
      <c r="F171" s="50">
        <f>B171</f>
        <v/>
      </c>
      <c r="G171" s="50">
        <f>B171*Subsurface_Inputs!$C$46</f>
        <v/>
      </c>
      <c r="H171" s="50">
        <f>Subsurface_Live_Data!Y171</f>
        <v/>
      </c>
      <c r="I171" s="50">
        <f>Subsurface_Inputs!$C$47-Subsurface_Inputs!$C$43+2*SIN(2*PI()*A171/42)</f>
        <v/>
      </c>
      <c r="J171" s="50" t="n">
        <v>0</v>
      </c>
    </row>
    <row r="172">
      <c r="A172" s="50">
        <f>Subsurface_Live_Data!A172</f>
        <v/>
      </c>
      <c r="B172" s="50">
        <f>Subsurface_Live_Data!K172</f>
        <v/>
      </c>
      <c r="C172" s="50">
        <f>MAX(0,B172-Subsurface_Inputs!$C$44)</f>
        <v/>
      </c>
      <c r="D172" s="50">
        <f>B172+Subsurface_Inputs!$C$44</f>
        <v/>
      </c>
      <c r="E172" s="50">
        <f>B172*Subsurface_Inputs!$C$45</f>
        <v/>
      </c>
      <c r="F172" s="50">
        <f>B172</f>
        <v/>
      </c>
      <c r="G172" s="50">
        <f>B172*Subsurface_Inputs!$C$46</f>
        <v/>
      </c>
      <c r="H172" s="50">
        <f>Subsurface_Live_Data!Y172</f>
        <v/>
      </c>
      <c r="I172" s="50">
        <f>Subsurface_Inputs!$C$47-Subsurface_Inputs!$C$43+2*SIN(2*PI()*A172/42)</f>
        <v/>
      </c>
      <c r="J172" s="50" t="n">
        <v>0</v>
      </c>
    </row>
    <row r="173">
      <c r="A173" s="50">
        <f>Subsurface_Live_Data!A173</f>
        <v/>
      </c>
      <c r="B173" s="50">
        <f>Subsurface_Live_Data!K173</f>
        <v/>
      </c>
      <c r="C173" s="50">
        <f>MAX(0,B173-Subsurface_Inputs!$C$44)</f>
        <v/>
      </c>
      <c r="D173" s="50">
        <f>B173+Subsurface_Inputs!$C$44</f>
        <v/>
      </c>
      <c r="E173" s="50">
        <f>B173*Subsurface_Inputs!$C$45</f>
        <v/>
      </c>
      <c r="F173" s="50">
        <f>B173</f>
        <v/>
      </c>
      <c r="G173" s="50">
        <f>B173*Subsurface_Inputs!$C$46</f>
        <v/>
      </c>
      <c r="H173" s="50">
        <f>Subsurface_Live_Data!Y173</f>
        <v/>
      </c>
      <c r="I173" s="50">
        <f>Subsurface_Inputs!$C$47-Subsurface_Inputs!$C$43+2*SIN(2*PI()*A173/42)</f>
        <v/>
      </c>
      <c r="J173" s="50" t="n">
        <v>0</v>
      </c>
    </row>
    <row r="174">
      <c r="A174" s="50">
        <f>Subsurface_Live_Data!A174</f>
        <v/>
      </c>
      <c r="B174" s="50">
        <f>Subsurface_Live_Data!K174</f>
        <v/>
      </c>
      <c r="C174" s="50">
        <f>MAX(0,B174-Subsurface_Inputs!$C$44)</f>
        <v/>
      </c>
      <c r="D174" s="50">
        <f>B174+Subsurface_Inputs!$C$44</f>
        <v/>
      </c>
      <c r="E174" s="50">
        <f>B174*Subsurface_Inputs!$C$45</f>
        <v/>
      </c>
      <c r="F174" s="50">
        <f>B174</f>
        <v/>
      </c>
      <c r="G174" s="50">
        <f>B174*Subsurface_Inputs!$C$46</f>
        <v/>
      </c>
      <c r="H174" s="50">
        <f>Subsurface_Live_Data!Y174</f>
        <v/>
      </c>
      <c r="I174" s="50">
        <f>Subsurface_Inputs!$C$47-Subsurface_Inputs!$C$43+2*SIN(2*PI()*A174/42)</f>
        <v/>
      </c>
      <c r="J174" s="50" t="n">
        <v>0</v>
      </c>
    </row>
    <row r="175">
      <c r="A175" s="50">
        <f>Subsurface_Live_Data!A175</f>
        <v/>
      </c>
      <c r="B175" s="50">
        <f>Subsurface_Live_Data!K175</f>
        <v/>
      </c>
      <c r="C175" s="50">
        <f>MAX(0,B175-Subsurface_Inputs!$C$44)</f>
        <v/>
      </c>
      <c r="D175" s="50">
        <f>B175+Subsurface_Inputs!$C$44</f>
        <v/>
      </c>
      <c r="E175" s="50">
        <f>B175*Subsurface_Inputs!$C$45</f>
        <v/>
      </c>
      <c r="F175" s="50">
        <f>B175</f>
        <v/>
      </c>
      <c r="G175" s="50">
        <f>B175*Subsurface_Inputs!$C$46</f>
        <v/>
      </c>
      <c r="H175" s="50">
        <f>Subsurface_Live_Data!Y175</f>
        <v/>
      </c>
      <c r="I175" s="50">
        <f>Subsurface_Inputs!$C$47-Subsurface_Inputs!$C$43+2*SIN(2*PI()*A175/42)</f>
        <v/>
      </c>
      <c r="J175" s="50" t="n">
        <v>0</v>
      </c>
    </row>
    <row r="176">
      <c r="A176" s="50">
        <f>Subsurface_Live_Data!A176</f>
        <v/>
      </c>
      <c r="B176" s="50">
        <f>Subsurface_Live_Data!K176</f>
        <v/>
      </c>
      <c r="C176" s="50">
        <f>MAX(0,B176-Subsurface_Inputs!$C$44)</f>
        <v/>
      </c>
      <c r="D176" s="50">
        <f>B176+Subsurface_Inputs!$C$44</f>
        <v/>
      </c>
      <c r="E176" s="50">
        <f>B176*Subsurface_Inputs!$C$45</f>
        <v/>
      </c>
      <c r="F176" s="50">
        <f>B176</f>
        <v/>
      </c>
      <c r="G176" s="50">
        <f>B176*Subsurface_Inputs!$C$46</f>
        <v/>
      </c>
      <c r="H176" s="50">
        <f>Subsurface_Live_Data!Y176</f>
        <v/>
      </c>
      <c r="I176" s="50">
        <f>Subsurface_Inputs!$C$47-Subsurface_Inputs!$C$43+2*SIN(2*PI()*A176/42)</f>
        <v/>
      </c>
      <c r="J176" s="50" t="n">
        <v>0</v>
      </c>
    </row>
    <row r="177">
      <c r="A177" s="50">
        <f>Subsurface_Live_Data!A177</f>
        <v/>
      </c>
      <c r="B177" s="50">
        <f>Subsurface_Live_Data!K177</f>
        <v/>
      </c>
      <c r="C177" s="50">
        <f>MAX(0,B177-Subsurface_Inputs!$C$44)</f>
        <v/>
      </c>
      <c r="D177" s="50">
        <f>B177+Subsurface_Inputs!$C$44</f>
        <v/>
      </c>
      <c r="E177" s="50">
        <f>B177*Subsurface_Inputs!$C$45</f>
        <v/>
      </c>
      <c r="F177" s="50">
        <f>B177</f>
        <v/>
      </c>
      <c r="G177" s="50">
        <f>B177*Subsurface_Inputs!$C$46</f>
        <v/>
      </c>
      <c r="H177" s="50">
        <f>Subsurface_Live_Data!Y177</f>
        <v/>
      </c>
      <c r="I177" s="50">
        <f>Subsurface_Inputs!$C$47-Subsurface_Inputs!$C$43+2*SIN(2*PI()*A177/42)</f>
        <v/>
      </c>
      <c r="J177" s="50" t="n">
        <v>0</v>
      </c>
    </row>
    <row r="178">
      <c r="A178" s="50">
        <f>Subsurface_Live_Data!A178</f>
        <v/>
      </c>
      <c r="B178" s="50">
        <f>Subsurface_Live_Data!K178</f>
        <v/>
      </c>
      <c r="C178" s="50">
        <f>MAX(0,B178-Subsurface_Inputs!$C$44)</f>
        <v/>
      </c>
      <c r="D178" s="50">
        <f>B178+Subsurface_Inputs!$C$44</f>
        <v/>
      </c>
      <c r="E178" s="50">
        <f>B178*Subsurface_Inputs!$C$45</f>
        <v/>
      </c>
      <c r="F178" s="50">
        <f>B178</f>
        <v/>
      </c>
      <c r="G178" s="50">
        <f>B178*Subsurface_Inputs!$C$46</f>
        <v/>
      </c>
      <c r="H178" s="50">
        <f>Subsurface_Live_Data!Y178</f>
        <v/>
      </c>
      <c r="I178" s="50">
        <f>Subsurface_Inputs!$C$47-Subsurface_Inputs!$C$43+2*SIN(2*PI()*A178/42)</f>
        <v/>
      </c>
      <c r="J178" s="50" t="n">
        <v>0</v>
      </c>
    </row>
    <row r="179">
      <c r="A179" s="50">
        <f>Subsurface_Live_Data!A179</f>
        <v/>
      </c>
      <c r="B179" s="50">
        <f>Subsurface_Live_Data!K179</f>
        <v/>
      </c>
      <c r="C179" s="50">
        <f>MAX(0,B179-Subsurface_Inputs!$C$44)</f>
        <v/>
      </c>
      <c r="D179" s="50">
        <f>B179+Subsurface_Inputs!$C$44</f>
        <v/>
      </c>
      <c r="E179" s="50">
        <f>B179*Subsurface_Inputs!$C$45</f>
        <v/>
      </c>
      <c r="F179" s="50">
        <f>B179</f>
        <v/>
      </c>
      <c r="G179" s="50">
        <f>B179*Subsurface_Inputs!$C$46</f>
        <v/>
      </c>
      <c r="H179" s="50">
        <f>Subsurface_Live_Data!Y179</f>
        <v/>
      </c>
      <c r="I179" s="50">
        <f>Subsurface_Inputs!$C$47-Subsurface_Inputs!$C$43+2*SIN(2*PI()*A179/42)</f>
        <v/>
      </c>
      <c r="J179" s="50" t="n">
        <v>0</v>
      </c>
    </row>
    <row r="180">
      <c r="A180" s="50">
        <f>Subsurface_Live_Data!A180</f>
        <v/>
      </c>
      <c r="B180" s="50">
        <f>Subsurface_Live_Data!K180</f>
        <v/>
      </c>
      <c r="C180" s="50">
        <f>MAX(0,B180-Subsurface_Inputs!$C$44)</f>
        <v/>
      </c>
      <c r="D180" s="50">
        <f>B180+Subsurface_Inputs!$C$44</f>
        <v/>
      </c>
      <c r="E180" s="50">
        <f>B180*Subsurface_Inputs!$C$45</f>
        <v/>
      </c>
      <c r="F180" s="50">
        <f>B180</f>
        <v/>
      </c>
      <c r="G180" s="50">
        <f>B180*Subsurface_Inputs!$C$46</f>
        <v/>
      </c>
      <c r="H180" s="50">
        <f>Subsurface_Live_Data!Y180</f>
        <v/>
      </c>
      <c r="I180" s="50">
        <f>Subsurface_Inputs!$C$47-Subsurface_Inputs!$C$43+2*SIN(2*PI()*A180/42)</f>
        <v/>
      </c>
      <c r="J180" s="50" t="n">
        <v>0</v>
      </c>
    </row>
    <row r="181">
      <c r="A181" s="50">
        <f>Subsurface_Live_Data!A181</f>
        <v/>
      </c>
      <c r="B181" s="50">
        <f>Subsurface_Live_Data!K181</f>
        <v/>
      </c>
      <c r="C181" s="50">
        <f>MAX(0,B181-Subsurface_Inputs!$C$44)</f>
        <v/>
      </c>
      <c r="D181" s="50">
        <f>B181+Subsurface_Inputs!$C$44</f>
        <v/>
      </c>
      <c r="E181" s="50">
        <f>B181*Subsurface_Inputs!$C$45</f>
        <v/>
      </c>
      <c r="F181" s="50">
        <f>B181</f>
        <v/>
      </c>
      <c r="G181" s="50">
        <f>B181*Subsurface_Inputs!$C$46</f>
        <v/>
      </c>
      <c r="H181" s="50">
        <f>Subsurface_Live_Data!Y181</f>
        <v/>
      </c>
      <c r="I181" s="50">
        <f>Subsurface_Inputs!$C$47-Subsurface_Inputs!$C$43+2*SIN(2*PI()*A181/42)</f>
        <v/>
      </c>
      <c r="J181" s="50" t="n">
        <v>0</v>
      </c>
    </row>
    <row r="182">
      <c r="A182" s="50">
        <f>Subsurface_Live_Data!A182</f>
        <v/>
      </c>
      <c r="B182" s="50">
        <f>Subsurface_Live_Data!K182</f>
        <v/>
      </c>
      <c r="C182" s="50">
        <f>MAX(0,B182-Subsurface_Inputs!$C$44)</f>
        <v/>
      </c>
      <c r="D182" s="50">
        <f>B182+Subsurface_Inputs!$C$44</f>
        <v/>
      </c>
      <c r="E182" s="50">
        <f>B182*Subsurface_Inputs!$C$45</f>
        <v/>
      </c>
      <c r="F182" s="50">
        <f>B182</f>
        <v/>
      </c>
      <c r="G182" s="50">
        <f>B182*Subsurface_Inputs!$C$46</f>
        <v/>
      </c>
      <c r="H182" s="50">
        <f>Subsurface_Live_Data!Y182</f>
        <v/>
      </c>
      <c r="I182" s="50">
        <f>Subsurface_Inputs!$C$47-Subsurface_Inputs!$C$43+2*SIN(2*PI()*A182/42)</f>
        <v/>
      </c>
      <c r="J182" s="50" t="n">
        <v>0</v>
      </c>
    </row>
    <row r="183">
      <c r="A183" s="50">
        <f>Subsurface_Live_Data!A183</f>
        <v/>
      </c>
      <c r="B183" s="50">
        <f>Subsurface_Live_Data!K183</f>
        <v/>
      </c>
      <c r="C183" s="50">
        <f>MAX(0,B183-Subsurface_Inputs!$C$44)</f>
        <v/>
      </c>
      <c r="D183" s="50">
        <f>B183+Subsurface_Inputs!$C$44</f>
        <v/>
      </c>
      <c r="E183" s="50">
        <f>B183*Subsurface_Inputs!$C$45</f>
        <v/>
      </c>
      <c r="F183" s="50">
        <f>B183</f>
        <v/>
      </c>
      <c r="G183" s="50">
        <f>B183*Subsurface_Inputs!$C$46</f>
        <v/>
      </c>
      <c r="H183" s="50">
        <f>Subsurface_Live_Data!Y183</f>
        <v/>
      </c>
      <c r="I183" s="50">
        <f>Subsurface_Inputs!$C$47-Subsurface_Inputs!$C$43+2*SIN(2*PI()*A183/42)</f>
        <v/>
      </c>
      <c r="J183" s="50" t="n">
        <v>0</v>
      </c>
    </row>
    <row r="184">
      <c r="A184" s="50">
        <f>Subsurface_Live_Data!A184</f>
        <v/>
      </c>
      <c r="B184" s="50">
        <f>Subsurface_Live_Data!K184</f>
        <v/>
      </c>
      <c r="C184" s="50">
        <f>MAX(0,B184-Subsurface_Inputs!$C$44)</f>
        <v/>
      </c>
      <c r="D184" s="50">
        <f>B184+Subsurface_Inputs!$C$44</f>
        <v/>
      </c>
      <c r="E184" s="50">
        <f>B184*Subsurface_Inputs!$C$45</f>
        <v/>
      </c>
      <c r="F184" s="50">
        <f>B184</f>
        <v/>
      </c>
      <c r="G184" s="50">
        <f>B184*Subsurface_Inputs!$C$46</f>
        <v/>
      </c>
      <c r="H184" s="50">
        <f>Subsurface_Live_Data!Y184</f>
        <v/>
      </c>
      <c r="I184" s="50">
        <f>Subsurface_Inputs!$C$47-Subsurface_Inputs!$C$43+2*SIN(2*PI()*A184/42)</f>
        <v/>
      </c>
      <c r="J184" s="50" t="n">
        <v>0</v>
      </c>
    </row>
    <row r="185">
      <c r="A185" s="50">
        <f>Subsurface_Live_Data!A185</f>
        <v/>
      </c>
      <c r="B185" s="50">
        <f>Subsurface_Live_Data!K185</f>
        <v/>
      </c>
      <c r="C185" s="50">
        <f>MAX(0,B185-Subsurface_Inputs!$C$44)</f>
        <v/>
      </c>
      <c r="D185" s="50">
        <f>B185+Subsurface_Inputs!$C$44</f>
        <v/>
      </c>
      <c r="E185" s="50">
        <f>B185*Subsurface_Inputs!$C$45</f>
        <v/>
      </c>
      <c r="F185" s="50">
        <f>B185</f>
        <v/>
      </c>
      <c r="G185" s="50">
        <f>B185*Subsurface_Inputs!$C$46</f>
        <v/>
      </c>
      <c r="H185" s="50">
        <f>Subsurface_Live_Data!Y185</f>
        <v/>
      </c>
      <c r="I185" s="50">
        <f>Subsurface_Inputs!$C$47-Subsurface_Inputs!$C$43+2*SIN(2*PI()*A185/42)</f>
        <v/>
      </c>
      <c r="J185" s="50" t="n">
        <v>0</v>
      </c>
    </row>
    <row r="186">
      <c r="A186" s="50">
        <f>Subsurface_Live_Data!A186</f>
        <v/>
      </c>
      <c r="B186" s="50">
        <f>Subsurface_Live_Data!K186</f>
        <v/>
      </c>
      <c r="C186" s="50">
        <f>MAX(0,B186-Subsurface_Inputs!$C$44)</f>
        <v/>
      </c>
      <c r="D186" s="50">
        <f>B186+Subsurface_Inputs!$C$44</f>
        <v/>
      </c>
      <c r="E186" s="50">
        <f>B186*Subsurface_Inputs!$C$45</f>
        <v/>
      </c>
      <c r="F186" s="50">
        <f>B186</f>
        <v/>
      </c>
      <c r="G186" s="50">
        <f>B186*Subsurface_Inputs!$C$46</f>
        <v/>
      </c>
      <c r="H186" s="50">
        <f>Subsurface_Live_Data!Y186</f>
        <v/>
      </c>
      <c r="I186" s="50">
        <f>Subsurface_Inputs!$C$47-Subsurface_Inputs!$C$43+2*SIN(2*PI()*A186/42)</f>
        <v/>
      </c>
      <c r="J186" s="50" t="n">
        <v>0</v>
      </c>
    </row>
    <row r="187">
      <c r="A187" s="50">
        <f>Subsurface_Live_Data!A187</f>
        <v/>
      </c>
      <c r="B187" s="50">
        <f>Subsurface_Live_Data!K187</f>
        <v/>
      </c>
      <c r="C187" s="50">
        <f>MAX(0,B187-Subsurface_Inputs!$C$44)</f>
        <v/>
      </c>
      <c r="D187" s="50">
        <f>B187+Subsurface_Inputs!$C$44</f>
        <v/>
      </c>
      <c r="E187" s="50">
        <f>B187*Subsurface_Inputs!$C$45</f>
        <v/>
      </c>
      <c r="F187" s="50">
        <f>B187</f>
        <v/>
      </c>
      <c r="G187" s="50">
        <f>B187*Subsurface_Inputs!$C$46</f>
        <v/>
      </c>
      <c r="H187" s="50">
        <f>Subsurface_Live_Data!Y187</f>
        <v/>
      </c>
      <c r="I187" s="50">
        <f>Subsurface_Inputs!$C$47-Subsurface_Inputs!$C$43+2*SIN(2*PI()*A187/42)</f>
        <v/>
      </c>
      <c r="J187" s="50" t="n">
        <v>0</v>
      </c>
    </row>
    <row r="188">
      <c r="A188" s="50">
        <f>Subsurface_Live_Data!A188</f>
        <v/>
      </c>
      <c r="B188" s="50">
        <f>Subsurface_Live_Data!K188</f>
        <v/>
      </c>
      <c r="C188" s="50">
        <f>MAX(0,B188-Subsurface_Inputs!$C$44)</f>
        <v/>
      </c>
      <c r="D188" s="50">
        <f>B188+Subsurface_Inputs!$C$44</f>
        <v/>
      </c>
      <c r="E188" s="50">
        <f>B188*Subsurface_Inputs!$C$45</f>
        <v/>
      </c>
      <c r="F188" s="50">
        <f>B188</f>
        <v/>
      </c>
      <c r="G188" s="50">
        <f>B188*Subsurface_Inputs!$C$46</f>
        <v/>
      </c>
      <c r="H188" s="50">
        <f>Subsurface_Live_Data!Y188</f>
        <v/>
      </c>
      <c r="I188" s="50">
        <f>Subsurface_Inputs!$C$47-Subsurface_Inputs!$C$43+2*SIN(2*PI()*A188/42)</f>
        <v/>
      </c>
      <c r="J188" s="50" t="n">
        <v>0</v>
      </c>
    </row>
    <row r="189">
      <c r="A189" s="50">
        <f>Subsurface_Live_Data!A189</f>
        <v/>
      </c>
      <c r="B189" s="50">
        <f>Subsurface_Live_Data!K189</f>
        <v/>
      </c>
      <c r="C189" s="50">
        <f>MAX(0,B189-Subsurface_Inputs!$C$44)</f>
        <v/>
      </c>
      <c r="D189" s="50">
        <f>B189+Subsurface_Inputs!$C$44</f>
        <v/>
      </c>
      <c r="E189" s="50">
        <f>B189*Subsurface_Inputs!$C$45</f>
        <v/>
      </c>
      <c r="F189" s="50">
        <f>B189</f>
        <v/>
      </c>
      <c r="G189" s="50">
        <f>B189*Subsurface_Inputs!$C$46</f>
        <v/>
      </c>
      <c r="H189" s="50">
        <f>Subsurface_Live_Data!Y189</f>
        <v/>
      </c>
      <c r="I189" s="50">
        <f>Subsurface_Inputs!$C$47-Subsurface_Inputs!$C$43+2*SIN(2*PI()*A189/42)</f>
        <v/>
      </c>
      <c r="J189" s="50" t="n">
        <v>0</v>
      </c>
    </row>
    <row r="190">
      <c r="A190" s="50">
        <f>Subsurface_Live_Data!A190</f>
        <v/>
      </c>
      <c r="B190" s="50">
        <f>Subsurface_Live_Data!K190</f>
        <v/>
      </c>
      <c r="C190" s="50">
        <f>MAX(0,B190-Subsurface_Inputs!$C$44)</f>
        <v/>
      </c>
      <c r="D190" s="50">
        <f>B190+Subsurface_Inputs!$C$44</f>
        <v/>
      </c>
      <c r="E190" s="50">
        <f>B190*Subsurface_Inputs!$C$45</f>
        <v/>
      </c>
      <c r="F190" s="50">
        <f>B190</f>
        <v/>
      </c>
      <c r="G190" s="50">
        <f>B190*Subsurface_Inputs!$C$46</f>
        <v/>
      </c>
      <c r="H190" s="50">
        <f>Subsurface_Live_Data!Y190</f>
        <v/>
      </c>
      <c r="I190" s="50">
        <f>Subsurface_Inputs!$C$47-Subsurface_Inputs!$C$43+2*SIN(2*PI()*A190/42)</f>
        <v/>
      </c>
      <c r="J190" s="50" t="n">
        <v>0</v>
      </c>
    </row>
    <row r="191">
      <c r="A191" s="50">
        <f>Subsurface_Live_Data!A191</f>
        <v/>
      </c>
      <c r="B191" s="50">
        <f>Subsurface_Live_Data!K191</f>
        <v/>
      </c>
      <c r="C191" s="50">
        <f>MAX(0,B191-Subsurface_Inputs!$C$44)</f>
        <v/>
      </c>
      <c r="D191" s="50">
        <f>B191+Subsurface_Inputs!$C$44</f>
        <v/>
      </c>
      <c r="E191" s="50">
        <f>B191*Subsurface_Inputs!$C$45</f>
        <v/>
      </c>
      <c r="F191" s="50">
        <f>B191</f>
        <v/>
      </c>
      <c r="G191" s="50">
        <f>B191*Subsurface_Inputs!$C$46</f>
        <v/>
      </c>
      <c r="H191" s="50">
        <f>Subsurface_Live_Data!Y191</f>
        <v/>
      </c>
      <c r="I191" s="50">
        <f>Subsurface_Inputs!$C$47-Subsurface_Inputs!$C$43+2*SIN(2*PI()*A191/42)</f>
        <v/>
      </c>
      <c r="J191" s="50" t="n">
        <v>0</v>
      </c>
    </row>
    <row r="192">
      <c r="A192" s="50">
        <f>Subsurface_Live_Data!A192</f>
        <v/>
      </c>
      <c r="B192" s="50">
        <f>Subsurface_Live_Data!K192</f>
        <v/>
      </c>
      <c r="C192" s="50">
        <f>MAX(0,B192-Subsurface_Inputs!$C$44)</f>
        <v/>
      </c>
      <c r="D192" s="50">
        <f>B192+Subsurface_Inputs!$C$44</f>
        <v/>
      </c>
      <c r="E192" s="50">
        <f>B192*Subsurface_Inputs!$C$45</f>
        <v/>
      </c>
      <c r="F192" s="50">
        <f>B192</f>
        <v/>
      </c>
      <c r="G192" s="50">
        <f>B192*Subsurface_Inputs!$C$46</f>
        <v/>
      </c>
      <c r="H192" s="50">
        <f>Subsurface_Live_Data!Y192</f>
        <v/>
      </c>
      <c r="I192" s="50">
        <f>Subsurface_Inputs!$C$47-Subsurface_Inputs!$C$43+2*SIN(2*PI()*A192/42)</f>
        <v/>
      </c>
      <c r="J192" s="50" t="n">
        <v>0</v>
      </c>
    </row>
    <row r="193">
      <c r="A193" s="50">
        <f>Subsurface_Live_Data!A193</f>
        <v/>
      </c>
      <c r="B193" s="50">
        <f>Subsurface_Live_Data!K193</f>
        <v/>
      </c>
      <c r="C193" s="50">
        <f>MAX(0,B193-Subsurface_Inputs!$C$44)</f>
        <v/>
      </c>
      <c r="D193" s="50">
        <f>B193+Subsurface_Inputs!$C$44</f>
        <v/>
      </c>
      <c r="E193" s="50">
        <f>B193*Subsurface_Inputs!$C$45</f>
        <v/>
      </c>
      <c r="F193" s="50">
        <f>B193</f>
        <v/>
      </c>
      <c r="G193" s="50">
        <f>B193*Subsurface_Inputs!$C$46</f>
        <v/>
      </c>
      <c r="H193" s="50">
        <f>Subsurface_Live_Data!Y193</f>
        <v/>
      </c>
      <c r="I193" s="50">
        <f>Subsurface_Inputs!$C$47-Subsurface_Inputs!$C$43+2*SIN(2*PI()*A193/42)</f>
        <v/>
      </c>
      <c r="J193" s="50" t="n">
        <v>0</v>
      </c>
    </row>
    <row r="194">
      <c r="A194" s="50">
        <f>Subsurface_Live_Data!A194</f>
        <v/>
      </c>
      <c r="B194" s="50">
        <f>Subsurface_Live_Data!K194</f>
        <v/>
      </c>
      <c r="C194" s="50">
        <f>MAX(0,B194-Subsurface_Inputs!$C$44)</f>
        <v/>
      </c>
      <c r="D194" s="50">
        <f>B194+Subsurface_Inputs!$C$44</f>
        <v/>
      </c>
      <c r="E194" s="50">
        <f>B194*Subsurface_Inputs!$C$45</f>
        <v/>
      </c>
      <c r="F194" s="50">
        <f>B194</f>
        <v/>
      </c>
      <c r="G194" s="50">
        <f>B194*Subsurface_Inputs!$C$46</f>
        <v/>
      </c>
      <c r="H194" s="50">
        <f>Subsurface_Live_Data!Y194</f>
        <v/>
      </c>
      <c r="I194" s="50">
        <f>Subsurface_Inputs!$C$47-Subsurface_Inputs!$C$43+2*SIN(2*PI()*A194/42)</f>
        <v/>
      </c>
      <c r="J194" s="50" t="n">
        <v>0</v>
      </c>
    </row>
    <row r="195">
      <c r="A195" s="50">
        <f>Subsurface_Live_Data!A195</f>
        <v/>
      </c>
      <c r="B195" s="50">
        <f>Subsurface_Live_Data!K195</f>
        <v/>
      </c>
      <c r="C195" s="50">
        <f>MAX(0,B195-Subsurface_Inputs!$C$44)</f>
        <v/>
      </c>
      <c r="D195" s="50">
        <f>B195+Subsurface_Inputs!$C$44</f>
        <v/>
      </c>
      <c r="E195" s="50">
        <f>B195*Subsurface_Inputs!$C$45</f>
        <v/>
      </c>
      <c r="F195" s="50">
        <f>B195</f>
        <v/>
      </c>
      <c r="G195" s="50">
        <f>B195*Subsurface_Inputs!$C$46</f>
        <v/>
      </c>
      <c r="H195" s="50">
        <f>Subsurface_Live_Data!Y195</f>
        <v/>
      </c>
      <c r="I195" s="50">
        <f>Subsurface_Inputs!$C$47-Subsurface_Inputs!$C$43+2*SIN(2*PI()*A195/42)</f>
        <v/>
      </c>
      <c r="J195" s="50" t="n">
        <v>0</v>
      </c>
    </row>
    <row r="196">
      <c r="A196" s="50">
        <f>Subsurface_Live_Data!A196</f>
        <v/>
      </c>
      <c r="B196" s="50">
        <f>Subsurface_Live_Data!K196</f>
        <v/>
      </c>
      <c r="C196" s="50">
        <f>MAX(0,B196-Subsurface_Inputs!$C$44)</f>
        <v/>
      </c>
      <c r="D196" s="50">
        <f>B196+Subsurface_Inputs!$C$44</f>
        <v/>
      </c>
      <c r="E196" s="50">
        <f>B196*Subsurface_Inputs!$C$45</f>
        <v/>
      </c>
      <c r="F196" s="50">
        <f>B196</f>
        <v/>
      </c>
      <c r="G196" s="50">
        <f>B196*Subsurface_Inputs!$C$46</f>
        <v/>
      </c>
      <c r="H196" s="50">
        <f>Subsurface_Live_Data!Y196</f>
        <v/>
      </c>
      <c r="I196" s="50">
        <f>Subsurface_Inputs!$C$47-Subsurface_Inputs!$C$43+2*SIN(2*PI()*A196/42)</f>
        <v/>
      </c>
      <c r="J196" s="50" t="n">
        <v>0</v>
      </c>
    </row>
    <row r="197">
      <c r="A197" s="50">
        <f>Subsurface_Live_Data!A197</f>
        <v/>
      </c>
      <c r="B197" s="50">
        <f>Subsurface_Live_Data!K197</f>
        <v/>
      </c>
      <c r="C197" s="50">
        <f>MAX(0,B197-Subsurface_Inputs!$C$44)</f>
        <v/>
      </c>
      <c r="D197" s="50">
        <f>B197+Subsurface_Inputs!$C$44</f>
        <v/>
      </c>
      <c r="E197" s="50">
        <f>B197*Subsurface_Inputs!$C$45</f>
        <v/>
      </c>
      <c r="F197" s="50">
        <f>B197</f>
        <v/>
      </c>
      <c r="G197" s="50">
        <f>B197*Subsurface_Inputs!$C$46</f>
        <v/>
      </c>
      <c r="H197" s="50">
        <f>Subsurface_Live_Data!Y197</f>
        <v/>
      </c>
      <c r="I197" s="50">
        <f>Subsurface_Inputs!$C$47-Subsurface_Inputs!$C$43+2*SIN(2*PI()*A197/42)</f>
        <v/>
      </c>
      <c r="J197" s="50" t="n">
        <v>0</v>
      </c>
    </row>
    <row r="198">
      <c r="A198" s="50">
        <f>Subsurface_Live_Data!A198</f>
        <v/>
      </c>
      <c r="B198" s="50">
        <f>Subsurface_Live_Data!K198</f>
        <v/>
      </c>
      <c r="C198" s="50">
        <f>MAX(0,B198-Subsurface_Inputs!$C$44)</f>
        <v/>
      </c>
      <c r="D198" s="50">
        <f>B198+Subsurface_Inputs!$C$44</f>
        <v/>
      </c>
      <c r="E198" s="50">
        <f>B198*Subsurface_Inputs!$C$45</f>
        <v/>
      </c>
      <c r="F198" s="50">
        <f>B198</f>
        <v/>
      </c>
      <c r="G198" s="50">
        <f>B198*Subsurface_Inputs!$C$46</f>
        <v/>
      </c>
      <c r="H198" s="50">
        <f>Subsurface_Live_Data!Y198</f>
        <v/>
      </c>
      <c r="I198" s="50">
        <f>Subsurface_Inputs!$C$47-Subsurface_Inputs!$C$43+2*SIN(2*PI()*A198/42)</f>
        <v/>
      </c>
      <c r="J198" s="50" t="n">
        <v>0</v>
      </c>
    </row>
    <row r="199">
      <c r="A199" s="50">
        <f>Subsurface_Live_Data!A199</f>
        <v/>
      </c>
      <c r="B199" s="50">
        <f>Subsurface_Live_Data!K199</f>
        <v/>
      </c>
      <c r="C199" s="50">
        <f>MAX(0,B199-Subsurface_Inputs!$C$44)</f>
        <v/>
      </c>
      <c r="D199" s="50">
        <f>B199+Subsurface_Inputs!$C$44</f>
        <v/>
      </c>
      <c r="E199" s="50">
        <f>B199*Subsurface_Inputs!$C$45</f>
        <v/>
      </c>
      <c r="F199" s="50">
        <f>B199</f>
        <v/>
      </c>
      <c r="G199" s="50">
        <f>B199*Subsurface_Inputs!$C$46</f>
        <v/>
      </c>
      <c r="H199" s="50">
        <f>Subsurface_Live_Data!Y199</f>
        <v/>
      </c>
      <c r="I199" s="50">
        <f>Subsurface_Inputs!$C$47-Subsurface_Inputs!$C$43+2*SIN(2*PI()*A199/42)</f>
        <v/>
      </c>
      <c r="J199" s="50" t="n">
        <v>0</v>
      </c>
    </row>
    <row r="200">
      <c r="A200" s="50">
        <f>Subsurface_Live_Data!A200</f>
        <v/>
      </c>
      <c r="B200" s="50">
        <f>Subsurface_Live_Data!K200</f>
        <v/>
      </c>
      <c r="C200" s="50">
        <f>MAX(0,B200-Subsurface_Inputs!$C$44)</f>
        <v/>
      </c>
      <c r="D200" s="50">
        <f>B200+Subsurface_Inputs!$C$44</f>
        <v/>
      </c>
      <c r="E200" s="50">
        <f>B200*Subsurface_Inputs!$C$45</f>
        <v/>
      </c>
      <c r="F200" s="50">
        <f>B200</f>
        <v/>
      </c>
      <c r="G200" s="50">
        <f>B200*Subsurface_Inputs!$C$46</f>
        <v/>
      </c>
      <c r="H200" s="50">
        <f>Subsurface_Live_Data!Y200</f>
        <v/>
      </c>
      <c r="I200" s="50">
        <f>Subsurface_Inputs!$C$47-Subsurface_Inputs!$C$43+2*SIN(2*PI()*A200/42)</f>
        <v/>
      </c>
      <c r="J200" s="50" t="n">
        <v>0</v>
      </c>
    </row>
    <row r="201">
      <c r="A201" s="50">
        <f>Subsurface_Live_Data!A201</f>
        <v/>
      </c>
      <c r="B201" s="50">
        <f>Subsurface_Live_Data!K201</f>
        <v/>
      </c>
      <c r="C201" s="50">
        <f>MAX(0,B201-Subsurface_Inputs!$C$44)</f>
        <v/>
      </c>
      <c r="D201" s="50">
        <f>B201+Subsurface_Inputs!$C$44</f>
        <v/>
      </c>
      <c r="E201" s="50">
        <f>B201*Subsurface_Inputs!$C$45</f>
        <v/>
      </c>
      <c r="F201" s="50">
        <f>B201</f>
        <v/>
      </c>
      <c r="G201" s="50">
        <f>B201*Subsurface_Inputs!$C$46</f>
        <v/>
      </c>
      <c r="H201" s="50">
        <f>Subsurface_Live_Data!Y201</f>
        <v/>
      </c>
      <c r="I201" s="50">
        <f>Subsurface_Inputs!$C$47-Subsurface_Inputs!$C$43+2*SIN(2*PI()*A201/42)</f>
        <v/>
      </c>
      <c r="J201" s="50" t="n">
        <v>0</v>
      </c>
    </row>
    <row r="202">
      <c r="A202" s="50">
        <f>Subsurface_Live_Data!A202</f>
        <v/>
      </c>
      <c r="B202" s="50">
        <f>Subsurface_Live_Data!K202</f>
        <v/>
      </c>
      <c r="C202" s="50">
        <f>MAX(0,B202-Subsurface_Inputs!$C$44)</f>
        <v/>
      </c>
      <c r="D202" s="50">
        <f>B202+Subsurface_Inputs!$C$44</f>
        <v/>
      </c>
      <c r="E202" s="50">
        <f>B202*Subsurface_Inputs!$C$45</f>
        <v/>
      </c>
      <c r="F202" s="50">
        <f>B202</f>
        <v/>
      </c>
      <c r="G202" s="50">
        <f>B202*Subsurface_Inputs!$C$46</f>
        <v/>
      </c>
      <c r="H202" s="50">
        <f>Subsurface_Live_Data!Y202</f>
        <v/>
      </c>
      <c r="I202" s="50">
        <f>Subsurface_Inputs!$C$47-Subsurface_Inputs!$C$43+2*SIN(2*PI()*A202/42)</f>
        <v/>
      </c>
      <c r="J202" s="50" t="n">
        <v>0</v>
      </c>
    </row>
    <row r="203">
      <c r="A203" s="50">
        <f>Subsurface_Live_Data!A203</f>
        <v/>
      </c>
      <c r="B203" s="50">
        <f>Subsurface_Live_Data!K203</f>
        <v/>
      </c>
      <c r="C203" s="50">
        <f>MAX(0,B203-Subsurface_Inputs!$C$44)</f>
        <v/>
      </c>
      <c r="D203" s="50">
        <f>B203+Subsurface_Inputs!$C$44</f>
        <v/>
      </c>
      <c r="E203" s="50">
        <f>B203*Subsurface_Inputs!$C$45</f>
        <v/>
      </c>
      <c r="F203" s="50">
        <f>B203</f>
        <v/>
      </c>
      <c r="G203" s="50">
        <f>B203*Subsurface_Inputs!$C$46</f>
        <v/>
      </c>
      <c r="H203" s="50">
        <f>Subsurface_Live_Data!Y203</f>
        <v/>
      </c>
      <c r="I203" s="50">
        <f>Subsurface_Inputs!$C$47-Subsurface_Inputs!$C$43+2*SIN(2*PI()*A203/42)</f>
        <v/>
      </c>
      <c r="J203" s="50" t="n">
        <v>0</v>
      </c>
    </row>
    <row r="204">
      <c r="A204" s="50">
        <f>Subsurface_Live_Data!A204</f>
        <v/>
      </c>
      <c r="B204" s="50">
        <f>Subsurface_Live_Data!K204</f>
        <v/>
      </c>
      <c r="C204" s="50">
        <f>MAX(0,B204-Subsurface_Inputs!$C$44)</f>
        <v/>
      </c>
      <c r="D204" s="50">
        <f>B204+Subsurface_Inputs!$C$44</f>
        <v/>
      </c>
      <c r="E204" s="50">
        <f>B204*Subsurface_Inputs!$C$45</f>
        <v/>
      </c>
      <c r="F204" s="50">
        <f>B204</f>
        <v/>
      </c>
      <c r="G204" s="50">
        <f>B204*Subsurface_Inputs!$C$46</f>
        <v/>
      </c>
      <c r="H204" s="50">
        <f>Subsurface_Live_Data!Y204</f>
        <v/>
      </c>
      <c r="I204" s="50">
        <f>Subsurface_Inputs!$C$47-Subsurface_Inputs!$C$43+2*SIN(2*PI()*A204/42)</f>
        <v/>
      </c>
      <c r="J204" s="50" t="n">
        <v>0</v>
      </c>
    </row>
    <row r="205">
      <c r="A205" s="50">
        <f>Subsurface_Live_Data!A205</f>
        <v/>
      </c>
      <c r="B205" s="50">
        <f>Subsurface_Live_Data!K205</f>
        <v/>
      </c>
      <c r="C205" s="50">
        <f>MAX(0,B205-Subsurface_Inputs!$C$44)</f>
        <v/>
      </c>
      <c r="D205" s="50">
        <f>B205+Subsurface_Inputs!$C$44</f>
        <v/>
      </c>
      <c r="E205" s="50">
        <f>B205*Subsurface_Inputs!$C$45</f>
        <v/>
      </c>
      <c r="F205" s="50">
        <f>B205</f>
        <v/>
      </c>
      <c r="G205" s="50">
        <f>B205*Subsurface_Inputs!$C$46</f>
        <v/>
      </c>
      <c r="H205" s="50">
        <f>Subsurface_Live_Data!Y205</f>
        <v/>
      </c>
      <c r="I205" s="50">
        <f>Subsurface_Inputs!$C$47-Subsurface_Inputs!$C$43+2*SIN(2*PI()*A205/42)</f>
        <v/>
      </c>
      <c r="J205" s="50" t="n">
        <v>0</v>
      </c>
    </row>
    <row r="206">
      <c r="A206" s="50">
        <f>Subsurface_Live_Data!A206</f>
        <v/>
      </c>
      <c r="B206" s="50">
        <f>Subsurface_Live_Data!K206</f>
        <v/>
      </c>
      <c r="C206" s="50">
        <f>MAX(0,B206-Subsurface_Inputs!$C$44)</f>
        <v/>
      </c>
      <c r="D206" s="50">
        <f>B206+Subsurface_Inputs!$C$44</f>
        <v/>
      </c>
      <c r="E206" s="50">
        <f>B206*Subsurface_Inputs!$C$45</f>
        <v/>
      </c>
      <c r="F206" s="50">
        <f>B206</f>
        <v/>
      </c>
      <c r="G206" s="50">
        <f>B206*Subsurface_Inputs!$C$46</f>
        <v/>
      </c>
      <c r="H206" s="50">
        <f>Subsurface_Live_Data!Y206</f>
        <v/>
      </c>
      <c r="I206" s="50">
        <f>Subsurface_Inputs!$C$47-Subsurface_Inputs!$C$43+2*SIN(2*PI()*A206/42)</f>
        <v/>
      </c>
      <c r="J206" s="50" t="n">
        <v>0</v>
      </c>
    </row>
    <row r="207">
      <c r="A207" s="50">
        <f>Subsurface_Live_Data!A207</f>
        <v/>
      </c>
      <c r="B207" s="50">
        <f>Subsurface_Live_Data!K207</f>
        <v/>
      </c>
      <c r="C207" s="50">
        <f>MAX(0,B207-Subsurface_Inputs!$C$44)</f>
        <v/>
      </c>
      <c r="D207" s="50">
        <f>B207+Subsurface_Inputs!$C$44</f>
        <v/>
      </c>
      <c r="E207" s="50">
        <f>B207*Subsurface_Inputs!$C$45</f>
        <v/>
      </c>
      <c r="F207" s="50">
        <f>B207</f>
        <v/>
      </c>
      <c r="G207" s="50">
        <f>B207*Subsurface_Inputs!$C$46</f>
        <v/>
      </c>
      <c r="H207" s="50">
        <f>Subsurface_Live_Data!Y207</f>
        <v/>
      </c>
      <c r="I207" s="50">
        <f>Subsurface_Inputs!$C$47-Subsurface_Inputs!$C$43+2*SIN(2*PI()*A207/42)</f>
        <v/>
      </c>
      <c r="J207" s="50" t="n">
        <v>0</v>
      </c>
    </row>
    <row r="208">
      <c r="A208" s="50">
        <f>Subsurface_Live_Data!A208</f>
        <v/>
      </c>
      <c r="B208" s="50">
        <f>Subsurface_Live_Data!K208</f>
        <v/>
      </c>
      <c r="C208" s="50">
        <f>MAX(0,B208-Subsurface_Inputs!$C$44)</f>
        <v/>
      </c>
      <c r="D208" s="50">
        <f>B208+Subsurface_Inputs!$C$44</f>
        <v/>
      </c>
      <c r="E208" s="50">
        <f>B208*Subsurface_Inputs!$C$45</f>
        <v/>
      </c>
      <c r="F208" s="50">
        <f>B208</f>
        <v/>
      </c>
      <c r="G208" s="50">
        <f>B208*Subsurface_Inputs!$C$46</f>
        <v/>
      </c>
      <c r="H208" s="50">
        <f>Subsurface_Live_Data!Y208</f>
        <v/>
      </c>
      <c r="I208" s="50">
        <f>Subsurface_Inputs!$C$47-Subsurface_Inputs!$C$43+2*SIN(2*PI()*A208/42)</f>
        <v/>
      </c>
      <c r="J208" s="50" t="n">
        <v>0</v>
      </c>
    </row>
    <row r="209">
      <c r="A209" s="50">
        <f>Subsurface_Live_Data!A209</f>
        <v/>
      </c>
      <c r="B209" s="50">
        <f>Subsurface_Live_Data!K209</f>
        <v/>
      </c>
      <c r="C209" s="50">
        <f>MAX(0,B209-Subsurface_Inputs!$C$44)</f>
        <v/>
      </c>
      <c r="D209" s="50">
        <f>B209+Subsurface_Inputs!$C$44</f>
        <v/>
      </c>
      <c r="E209" s="50">
        <f>B209*Subsurface_Inputs!$C$45</f>
        <v/>
      </c>
      <c r="F209" s="50">
        <f>B209</f>
        <v/>
      </c>
      <c r="G209" s="50">
        <f>B209*Subsurface_Inputs!$C$46</f>
        <v/>
      </c>
      <c r="H209" s="50">
        <f>Subsurface_Live_Data!Y209</f>
        <v/>
      </c>
      <c r="I209" s="50">
        <f>Subsurface_Inputs!$C$47-Subsurface_Inputs!$C$43+2*SIN(2*PI()*A209/42)</f>
        <v/>
      </c>
      <c r="J209" s="50" t="n">
        <v>0</v>
      </c>
    </row>
    <row r="210">
      <c r="A210" s="50">
        <f>Subsurface_Live_Data!A210</f>
        <v/>
      </c>
      <c r="B210" s="50">
        <f>Subsurface_Live_Data!K210</f>
        <v/>
      </c>
      <c r="C210" s="50">
        <f>MAX(0,B210-Subsurface_Inputs!$C$44)</f>
        <v/>
      </c>
      <c r="D210" s="50">
        <f>B210+Subsurface_Inputs!$C$44</f>
        <v/>
      </c>
      <c r="E210" s="50">
        <f>B210*Subsurface_Inputs!$C$45</f>
        <v/>
      </c>
      <c r="F210" s="50">
        <f>B210</f>
        <v/>
      </c>
      <c r="G210" s="50">
        <f>B210*Subsurface_Inputs!$C$46</f>
        <v/>
      </c>
      <c r="H210" s="50">
        <f>Subsurface_Live_Data!Y210</f>
        <v/>
      </c>
      <c r="I210" s="50">
        <f>Subsurface_Inputs!$C$47-Subsurface_Inputs!$C$43+2*SIN(2*PI()*A210/42)</f>
        <v/>
      </c>
      <c r="J210" s="50" t="n">
        <v>0</v>
      </c>
    </row>
    <row r="211">
      <c r="A211" s="50">
        <f>Subsurface_Live_Data!A211</f>
        <v/>
      </c>
      <c r="B211" s="50">
        <f>Subsurface_Live_Data!K211</f>
        <v/>
      </c>
      <c r="C211" s="50">
        <f>MAX(0,B211-Subsurface_Inputs!$C$44)</f>
        <v/>
      </c>
      <c r="D211" s="50">
        <f>B211+Subsurface_Inputs!$C$44</f>
        <v/>
      </c>
      <c r="E211" s="50">
        <f>B211*Subsurface_Inputs!$C$45</f>
        <v/>
      </c>
      <c r="F211" s="50">
        <f>B211</f>
        <v/>
      </c>
      <c r="G211" s="50">
        <f>B211*Subsurface_Inputs!$C$46</f>
        <v/>
      </c>
      <c r="H211" s="50">
        <f>Subsurface_Live_Data!Y211</f>
        <v/>
      </c>
      <c r="I211" s="50">
        <f>Subsurface_Inputs!$C$47-Subsurface_Inputs!$C$43+2*SIN(2*PI()*A211/42)</f>
        <v/>
      </c>
      <c r="J211" s="50" t="n">
        <v>0</v>
      </c>
    </row>
    <row r="212">
      <c r="A212" s="50">
        <f>Subsurface_Live_Data!A212</f>
        <v/>
      </c>
      <c r="B212" s="50">
        <f>Subsurface_Live_Data!K212</f>
        <v/>
      </c>
      <c r="C212" s="50">
        <f>MAX(0,B212-Subsurface_Inputs!$C$44)</f>
        <v/>
      </c>
      <c r="D212" s="50">
        <f>B212+Subsurface_Inputs!$C$44</f>
        <v/>
      </c>
      <c r="E212" s="50">
        <f>B212*Subsurface_Inputs!$C$45</f>
        <v/>
      </c>
      <c r="F212" s="50">
        <f>B212</f>
        <v/>
      </c>
      <c r="G212" s="50">
        <f>B212*Subsurface_Inputs!$C$46</f>
        <v/>
      </c>
      <c r="H212" s="50">
        <f>Subsurface_Live_Data!Y212</f>
        <v/>
      </c>
      <c r="I212" s="50">
        <f>Subsurface_Inputs!$C$47-Subsurface_Inputs!$C$43+2*SIN(2*PI()*A212/42)</f>
        <v/>
      </c>
      <c r="J212" s="50" t="n">
        <v>0</v>
      </c>
    </row>
    <row r="213">
      <c r="A213" s="50">
        <f>Subsurface_Live_Data!A213</f>
        <v/>
      </c>
      <c r="B213" s="50">
        <f>Subsurface_Live_Data!K213</f>
        <v/>
      </c>
      <c r="C213" s="50">
        <f>MAX(0,B213-Subsurface_Inputs!$C$44)</f>
        <v/>
      </c>
      <c r="D213" s="50">
        <f>B213+Subsurface_Inputs!$C$44</f>
        <v/>
      </c>
      <c r="E213" s="50">
        <f>B213*Subsurface_Inputs!$C$45</f>
        <v/>
      </c>
      <c r="F213" s="50">
        <f>B213</f>
        <v/>
      </c>
      <c r="G213" s="50">
        <f>B213*Subsurface_Inputs!$C$46</f>
        <v/>
      </c>
      <c r="H213" s="50">
        <f>Subsurface_Live_Data!Y213</f>
        <v/>
      </c>
      <c r="I213" s="50">
        <f>Subsurface_Inputs!$C$47-Subsurface_Inputs!$C$43+2*SIN(2*PI()*A213/42)</f>
        <v/>
      </c>
      <c r="J213" s="50" t="n">
        <v>0</v>
      </c>
    </row>
    <row r="214">
      <c r="A214" s="50">
        <f>Subsurface_Live_Data!A214</f>
        <v/>
      </c>
      <c r="B214" s="50">
        <f>Subsurface_Live_Data!K214</f>
        <v/>
      </c>
      <c r="C214" s="50">
        <f>MAX(0,B214-Subsurface_Inputs!$C$44)</f>
        <v/>
      </c>
      <c r="D214" s="50">
        <f>B214+Subsurface_Inputs!$C$44</f>
        <v/>
      </c>
      <c r="E214" s="50">
        <f>B214*Subsurface_Inputs!$C$45</f>
        <v/>
      </c>
      <c r="F214" s="50">
        <f>B214</f>
        <v/>
      </c>
      <c r="G214" s="50">
        <f>B214*Subsurface_Inputs!$C$46</f>
        <v/>
      </c>
      <c r="H214" s="50">
        <f>Subsurface_Live_Data!Y214</f>
        <v/>
      </c>
      <c r="I214" s="50">
        <f>Subsurface_Inputs!$C$47-Subsurface_Inputs!$C$43+2*SIN(2*PI()*A214/42)</f>
        <v/>
      </c>
      <c r="J214" s="50" t="n">
        <v>0</v>
      </c>
    </row>
    <row r="215">
      <c r="A215" s="50">
        <f>Subsurface_Live_Data!A215</f>
        <v/>
      </c>
      <c r="B215" s="50">
        <f>Subsurface_Live_Data!K215</f>
        <v/>
      </c>
      <c r="C215" s="50">
        <f>MAX(0,B215-Subsurface_Inputs!$C$44)</f>
        <v/>
      </c>
      <c r="D215" s="50">
        <f>B215+Subsurface_Inputs!$C$44</f>
        <v/>
      </c>
      <c r="E215" s="50">
        <f>B215*Subsurface_Inputs!$C$45</f>
        <v/>
      </c>
      <c r="F215" s="50">
        <f>B215</f>
        <v/>
      </c>
      <c r="G215" s="50">
        <f>B215*Subsurface_Inputs!$C$46</f>
        <v/>
      </c>
      <c r="H215" s="50">
        <f>Subsurface_Live_Data!Y215</f>
        <v/>
      </c>
      <c r="I215" s="50">
        <f>Subsurface_Inputs!$C$47-Subsurface_Inputs!$C$43+2*SIN(2*PI()*A215/42)</f>
        <v/>
      </c>
      <c r="J215" s="50" t="n">
        <v>0</v>
      </c>
    </row>
    <row r="216">
      <c r="A216" s="50">
        <f>Subsurface_Live_Data!A216</f>
        <v/>
      </c>
      <c r="B216" s="50">
        <f>Subsurface_Live_Data!K216</f>
        <v/>
      </c>
      <c r="C216" s="50">
        <f>MAX(0,B216-Subsurface_Inputs!$C$44)</f>
        <v/>
      </c>
      <c r="D216" s="50">
        <f>B216+Subsurface_Inputs!$C$44</f>
        <v/>
      </c>
      <c r="E216" s="50">
        <f>B216*Subsurface_Inputs!$C$45</f>
        <v/>
      </c>
      <c r="F216" s="50">
        <f>B216</f>
        <v/>
      </c>
      <c r="G216" s="50">
        <f>B216*Subsurface_Inputs!$C$46</f>
        <v/>
      </c>
      <c r="H216" s="50">
        <f>Subsurface_Live_Data!Y216</f>
        <v/>
      </c>
      <c r="I216" s="50">
        <f>Subsurface_Inputs!$C$47-Subsurface_Inputs!$C$43+2*SIN(2*PI()*A216/42)</f>
        <v/>
      </c>
      <c r="J216" s="50" t="n">
        <v>0</v>
      </c>
    </row>
    <row r="217">
      <c r="A217" s="50">
        <f>Subsurface_Live_Data!A217</f>
        <v/>
      </c>
      <c r="B217" s="50">
        <f>Subsurface_Live_Data!K217</f>
        <v/>
      </c>
      <c r="C217" s="50">
        <f>MAX(0,B217-Subsurface_Inputs!$C$44)</f>
        <v/>
      </c>
      <c r="D217" s="50">
        <f>B217+Subsurface_Inputs!$C$44</f>
        <v/>
      </c>
      <c r="E217" s="50">
        <f>B217*Subsurface_Inputs!$C$45</f>
        <v/>
      </c>
      <c r="F217" s="50">
        <f>B217</f>
        <v/>
      </c>
      <c r="G217" s="50">
        <f>B217*Subsurface_Inputs!$C$46</f>
        <v/>
      </c>
      <c r="H217" s="50">
        <f>Subsurface_Live_Data!Y217</f>
        <v/>
      </c>
      <c r="I217" s="50">
        <f>Subsurface_Inputs!$C$47-Subsurface_Inputs!$C$43+2*SIN(2*PI()*A217/42)</f>
        <v/>
      </c>
      <c r="J217" s="50" t="n">
        <v>0</v>
      </c>
    </row>
    <row r="218">
      <c r="A218" s="50">
        <f>Subsurface_Live_Data!A218</f>
        <v/>
      </c>
      <c r="B218" s="50">
        <f>Subsurface_Live_Data!K218</f>
        <v/>
      </c>
      <c r="C218" s="50">
        <f>MAX(0,B218-Subsurface_Inputs!$C$44)</f>
        <v/>
      </c>
      <c r="D218" s="50">
        <f>B218+Subsurface_Inputs!$C$44</f>
        <v/>
      </c>
      <c r="E218" s="50">
        <f>B218*Subsurface_Inputs!$C$45</f>
        <v/>
      </c>
      <c r="F218" s="50">
        <f>B218</f>
        <v/>
      </c>
      <c r="G218" s="50">
        <f>B218*Subsurface_Inputs!$C$46</f>
        <v/>
      </c>
      <c r="H218" s="50">
        <f>Subsurface_Live_Data!Y218</f>
        <v/>
      </c>
      <c r="I218" s="50">
        <f>Subsurface_Inputs!$C$47-Subsurface_Inputs!$C$43+2*SIN(2*PI()*A218/42)</f>
        <v/>
      </c>
      <c r="J218" s="50" t="n">
        <v>0</v>
      </c>
    </row>
    <row r="219">
      <c r="A219" s="50">
        <f>Subsurface_Live_Data!A219</f>
        <v/>
      </c>
      <c r="B219" s="50">
        <f>Subsurface_Live_Data!K219</f>
        <v/>
      </c>
      <c r="C219" s="50">
        <f>MAX(0,B219-Subsurface_Inputs!$C$44)</f>
        <v/>
      </c>
      <c r="D219" s="50">
        <f>B219+Subsurface_Inputs!$C$44</f>
        <v/>
      </c>
      <c r="E219" s="50">
        <f>B219*Subsurface_Inputs!$C$45</f>
        <v/>
      </c>
      <c r="F219" s="50">
        <f>B219</f>
        <v/>
      </c>
      <c r="G219" s="50">
        <f>B219*Subsurface_Inputs!$C$46</f>
        <v/>
      </c>
      <c r="H219" s="50">
        <f>Subsurface_Live_Data!Y219</f>
        <v/>
      </c>
      <c r="I219" s="50">
        <f>Subsurface_Inputs!$C$47-Subsurface_Inputs!$C$43+2*SIN(2*PI()*A219/42)</f>
        <v/>
      </c>
      <c r="J219" s="50" t="n">
        <v>0</v>
      </c>
    </row>
    <row r="220">
      <c r="A220" s="50">
        <f>Subsurface_Live_Data!A220</f>
        <v/>
      </c>
      <c r="B220" s="50">
        <f>Subsurface_Live_Data!K220</f>
        <v/>
      </c>
      <c r="C220" s="50">
        <f>MAX(0,B220-Subsurface_Inputs!$C$44)</f>
        <v/>
      </c>
      <c r="D220" s="50">
        <f>B220+Subsurface_Inputs!$C$44</f>
        <v/>
      </c>
      <c r="E220" s="50">
        <f>B220*Subsurface_Inputs!$C$45</f>
        <v/>
      </c>
      <c r="F220" s="50">
        <f>B220</f>
        <v/>
      </c>
      <c r="G220" s="50">
        <f>B220*Subsurface_Inputs!$C$46</f>
        <v/>
      </c>
      <c r="H220" s="50">
        <f>Subsurface_Live_Data!Y220</f>
        <v/>
      </c>
      <c r="I220" s="50">
        <f>Subsurface_Inputs!$C$47-Subsurface_Inputs!$C$43+2*SIN(2*PI()*A220/42)</f>
        <v/>
      </c>
      <c r="J220" s="50" t="n">
        <v>0</v>
      </c>
    </row>
    <row r="221">
      <c r="A221" s="50">
        <f>Subsurface_Live_Data!A221</f>
        <v/>
      </c>
      <c r="B221" s="50">
        <f>Subsurface_Live_Data!K221</f>
        <v/>
      </c>
      <c r="C221" s="50">
        <f>MAX(0,B221-Subsurface_Inputs!$C$44)</f>
        <v/>
      </c>
      <c r="D221" s="50">
        <f>B221+Subsurface_Inputs!$C$44</f>
        <v/>
      </c>
      <c r="E221" s="50">
        <f>B221*Subsurface_Inputs!$C$45</f>
        <v/>
      </c>
      <c r="F221" s="50">
        <f>B221</f>
        <v/>
      </c>
      <c r="G221" s="50">
        <f>B221*Subsurface_Inputs!$C$46</f>
        <v/>
      </c>
      <c r="H221" s="50">
        <f>Subsurface_Live_Data!Y221</f>
        <v/>
      </c>
      <c r="I221" s="50">
        <f>Subsurface_Inputs!$C$47-Subsurface_Inputs!$C$43+2*SIN(2*PI()*A221/42)</f>
        <v/>
      </c>
      <c r="J221" s="50" t="n">
        <v>0</v>
      </c>
    </row>
    <row r="222">
      <c r="A222" s="50">
        <f>Subsurface_Live_Data!A222</f>
        <v/>
      </c>
      <c r="B222" s="50">
        <f>Subsurface_Live_Data!K222</f>
        <v/>
      </c>
      <c r="C222" s="50">
        <f>MAX(0,B222-Subsurface_Inputs!$C$44)</f>
        <v/>
      </c>
      <c r="D222" s="50">
        <f>B222+Subsurface_Inputs!$C$44</f>
        <v/>
      </c>
      <c r="E222" s="50">
        <f>B222*Subsurface_Inputs!$C$45</f>
        <v/>
      </c>
      <c r="F222" s="50">
        <f>B222</f>
        <v/>
      </c>
      <c r="G222" s="50">
        <f>B222*Subsurface_Inputs!$C$46</f>
        <v/>
      </c>
      <c r="H222" s="50">
        <f>Subsurface_Live_Data!Y222</f>
        <v/>
      </c>
      <c r="I222" s="50">
        <f>Subsurface_Inputs!$C$47-Subsurface_Inputs!$C$43+2*SIN(2*PI()*A222/42)</f>
        <v/>
      </c>
      <c r="J222" s="50" t="n">
        <v>0</v>
      </c>
    </row>
    <row r="223">
      <c r="A223" s="50">
        <f>Subsurface_Live_Data!A223</f>
        <v/>
      </c>
      <c r="B223" s="50">
        <f>Subsurface_Live_Data!K223</f>
        <v/>
      </c>
      <c r="C223" s="50">
        <f>MAX(0,B223-Subsurface_Inputs!$C$44)</f>
        <v/>
      </c>
      <c r="D223" s="50">
        <f>B223+Subsurface_Inputs!$C$44</f>
        <v/>
      </c>
      <c r="E223" s="50">
        <f>B223*Subsurface_Inputs!$C$45</f>
        <v/>
      </c>
      <c r="F223" s="50">
        <f>B223</f>
        <v/>
      </c>
      <c r="G223" s="50">
        <f>B223*Subsurface_Inputs!$C$46</f>
        <v/>
      </c>
      <c r="H223" s="50">
        <f>Subsurface_Live_Data!Y223</f>
        <v/>
      </c>
      <c r="I223" s="50">
        <f>Subsurface_Inputs!$C$47-Subsurface_Inputs!$C$43+2*SIN(2*PI()*A223/42)</f>
        <v/>
      </c>
      <c r="J223" s="50" t="n">
        <v>0</v>
      </c>
    </row>
    <row r="224">
      <c r="A224" s="50">
        <f>Subsurface_Live_Data!A224</f>
        <v/>
      </c>
      <c r="B224" s="50">
        <f>Subsurface_Live_Data!K224</f>
        <v/>
      </c>
      <c r="C224" s="50">
        <f>MAX(0,B224-Subsurface_Inputs!$C$44)</f>
        <v/>
      </c>
      <c r="D224" s="50">
        <f>B224+Subsurface_Inputs!$C$44</f>
        <v/>
      </c>
      <c r="E224" s="50">
        <f>B224*Subsurface_Inputs!$C$45</f>
        <v/>
      </c>
      <c r="F224" s="50">
        <f>B224</f>
        <v/>
      </c>
      <c r="G224" s="50">
        <f>B224*Subsurface_Inputs!$C$46</f>
        <v/>
      </c>
      <c r="H224" s="50">
        <f>Subsurface_Live_Data!Y224</f>
        <v/>
      </c>
      <c r="I224" s="50">
        <f>Subsurface_Inputs!$C$47-Subsurface_Inputs!$C$43+2*SIN(2*PI()*A224/42)</f>
        <v/>
      </c>
      <c r="J224" s="50" t="n">
        <v>0</v>
      </c>
    </row>
    <row r="225">
      <c r="A225" s="50">
        <f>Subsurface_Live_Data!A225</f>
        <v/>
      </c>
      <c r="B225" s="50">
        <f>Subsurface_Live_Data!K225</f>
        <v/>
      </c>
      <c r="C225" s="50">
        <f>MAX(0,B225-Subsurface_Inputs!$C$44)</f>
        <v/>
      </c>
      <c r="D225" s="50">
        <f>B225+Subsurface_Inputs!$C$44</f>
        <v/>
      </c>
      <c r="E225" s="50">
        <f>B225*Subsurface_Inputs!$C$45</f>
        <v/>
      </c>
      <c r="F225" s="50">
        <f>B225</f>
        <v/>
      </c>
      <c r="G225" s="50">
        <f>B225*Subsurface_Inputs!$C$46</f>
        <v/>
      </c>
      <c r="H225" s="50">
        <f>Subsurface_Live_Data!Y225</f>
        <v/>
      </c>
      <c r="I225" s="50">
        <f>Subsurface_Inputs!$C$47-Subsurface_Inputs!$C$43+2*SIN(2*PI()*A225/42)</f>
        <v/>
      </c>
      <c r="J225" s="50" t="n">
        <v>0</v>
      </c>
    </row>
    <row r="226">
      <c r="A226" s="50">
        <f>Subsurface_Live_Data!A226</f>
        <v/>
      </c>
      <c r="B226" s="50">
        <f>Subsurface_Live_Data!K226</f>
        <v/>
      </c>
      <c r="C226" s="50">
        <f>MAX(0,B226-Subsurface_Inputs!$C$44)</f>
        <v/>
      </c>
      <c r="D226" s="50">
        <f>B226+Subsurface_Inputs!$C$44</f>
        <v/>
      </c>
      <c r="E226" s="50">
        <f>B226*Subsurface_Inputs!$C$45</f>
        <v/>
      </c>
      <c r="F226" s="50">
        <f>B226</f>
        <v/>
      </c>
      <c r="G226" s="50">
        <f>B226*Subsurface_Inputs!$C$46</f>
        <v/>
      </c>
      <c r="H226" s="50">
        <f>Subsurface_Live_Data!Y226</f>
        <v/>
      </c>
      <c r="I226" s="50">
        <f>Subsurface_Inputs!$C$47-Subsurface_Inputs!$C$43+2*SIN(2*PI()*A226/42)</f>
        <v/>
      </c>
      <c r="J226" s="50" t="n">
        <v>0</v>
      </c>
    </row>
    <row r="227">
      <c r="A227" s="50">
        <f>Subsurface_Live_Data!A227</f>
        <v/>
      </c>
      <c r="B227" s="50">
        <f>Subsurface_Live_Data!K227</f>
        <v/>
      </c>
      <c r="C227" s="50">
        <f>MAX(0,B227-Subsurface_Inputs!$C$44)</f>
        <v/>
      </c>
      <c r="D227" s="50">
        <f>B227+Subsurface_Inputs!$C$44</f>
        <v/>
      </c>
      <c r="E227" s="50">
        <f>B227*Subsurface_Inputs!$C$45</f>
        <v/>
      </c>
      <c r="F227" s="50">
        <f>B227</f>
        <v/>
      </c>
      <c r="G227" s="50">
        <f>B227*Subsurface_Inputs!$C$46</f>
        <v/>
      </c>
      <c r="H227" s="50">
        <f>Subsurface_Live_Data!Y227</f>
        <v/>
      </c>
      <c r="I227" s="50">
        <f>Subsurface_Inputs!$C$47-Subsurface_Inputs!$C$43+2*SIN(2*PI()*A227/42)</f>
        <v/>
      </c>
      <c r="J227" s="50" t="n">
        <v>0</v>
      </c>
    </row>
    <row r="228">
      <c r="A228" s="50">
        <f>Subsurface_Live_Data!A228</f>
        <v/>
      </c>
      <c r="B228" s="50">
        <f>Subsurface_Live_Data!K228</f>
        <v/>
      </c>
      <c r="C228" s="50">
        <f>MAX(0,B228-Subsurface_Inputs!$C$44)</f>
        <v/>
      </c>
      <c r="D228" s="50">
        <f>B228+Subsurface_Inputs!$C$44</f>
        <v/>
      </c>
      <c r="E228" s="50">
        <f>B228*Subsurface_Inputs!$C$45</f>
        <v/>
      </c>
      <c r="F228" s="50">
        <f>B228</f>
        <v/>
      </c>
      <c r="G228" s="50">
        <f>B228*Subsurface_Inputs!$C$46</f>
        <v/>
      </c>
      <c r="H228" s="50">
        <f>Subsurface_Live_Data!Y228</f>
        <v/>
      </c>
      <c r="I228" s="50">
        <f>Subsurface_Inputs!$C$47-Subsurface_Inputs!$C$43+2*SIN(2*PI()*A228/42)</f>
        <v/>
      </c>
      <c r="J228" s="50" t="n">
        <v>0</v>
      </c>
    </row>
    <row r="229">
      <c r="A229" s="50">
        <f>Subsurface_Live_Data!A229</f>
        <v/>
      </c>
      <c r="B229" s="50">
        <f>Subsurface_Live_Data!K229</f>
        <v/>
      </c>
      <c r="C229" s="50">
        <f>MAX(0,B229-Subsurface_Inputs!$C$44)</f>
        <v/>
      </c>
      <c r="D229" s="50">
        <f>B229+Subsurface_Inputs!$C$44</f>
        <v/>
      </c>
      <c r="E229" s="50">
        <f>B229*Subsurface_Inputs!$C$45</f>
        <v/>
      </c>
      <c r="F229" s="50">
        <f>B229</f>
        <v/>
      </c>
      <c r="G229" s="50">
        <f>B229*Subsurface_Inputs!$C$46</f>
        <v/>
      </c>
      <c r="H229" s="50">
        <f>Subsurface_Live_Data!Y229</f>
        <v/>
      </c>
      <c r="I229" s="50">
        <f>Subsurface_Inputs!$C$47-Subsurface_Inputs!$C$43+2*SIN(2*PI()*A229/42)</f>
        <v/>
      </c>
      <c r="J229" s="50" t="n">
        <v>0</v>
      </c>
    </row>
    <row r="230">
      <c r="A230" s="50">
        <f>Subsurface_Live_Data!A230</f>
        <v/>
      </c>
      <c r="B230" s="50">
        <f>Subsurface_Live_Data!K230</f>
        <v/>
      </c>
      <c r="C230" s="50">
        <f>MAX(0,B230-Subsurface_Inputs!$C$44)</f>
        <v/>
      </c>
      <c r="D230" s="50">
        <f>B230+Subsurface_Inputs!$C$44</f>
        <v/>
      </c>
      <c r="E230" s="50">
        <f>B230*Subsurface_Inputs!$C$45</f>
        <v/>
      </c>
      <c r="F230" s="50">
        <f>B230</f>
        <v/>
      </c>
      <c r="G230" s="50">
        <f>B230*Subsurface_Inputs!$C$46</f>
        <v/>
      </c>
      <c r="H230" s="50">
        <f>Subsurface_Live_Data!Y230</f>
        <v/>
      </c>
      <c r="I230" s="50">
        <f>Subsurface_Inputs!$C$47-Subsurface_Inputs!$C$43+2*SIN(2*PI()*A230/42)</f>
        <v/>
      </c>
      <c r="J230" s="50" t="n">
        <v>0</v>
      </c>
    </row>
    <row r="231">
      <c r="A231" s="50">
        <f>Subsurface_Live_Data!A231</f>
        <v/>
      </c>
      <c r="B231" s="50">
        <f>Subsurface_Live_Data!K231</f>
        <v/>
      </c>
      <c r="C231" s="50">
        <f>MAX(0,B231-Subsurface_Inputs!$C$44)</f>
        <v/>
      </c>
      <c r="D231" s="50">
        <f>B231+Subsurface_Inputs!$C$44</f>
        <v/>
      </c>
      <c r="E231" s="50">
        <f>B231*Subsurface_Inputs!$C$45</f>
        <v/>
      </c>
      <c r="F231" s="50">
        <f>B231</f>
        <v/>
      </c>
      <c r="G231" s="50">
        <f>B231*Subsurface_Inputs!$C$46</f>
        <v/>
      </c>
      <c r="H231" s="50">
        <f>Subsurface_Live_Data!Y231</f>
        <v/>
      </c>
      <c r="I231" s="50">
        <f>Subsurface_Inputs!$C$47-Subsurface_Inputs!$C$43+2*SIN(2*PI()*A231/42)</f>
        <v/>
      </c>
      <c r="J231" s="50" t="n">
        <v>0</v>
      </c>
    </row>
    <row r="232">
      <c r="A232" s="50">
        <f>Subsurface_Live_Data!A232</f>
        <v/>
      </c>
      <c r="B232" s="50">
        <f>Subsurface_Live_Data!K232</f>
        <v/>
      </c>
      <c r="C232" s="50">
        <f>MAX(0,B232-Subsurface_Inputs!$C$44)</f>
        <v/>
      </c>
      <c r="D232" s="50">
        <f>B232+Subsurface_Inputs!$C$44</f>
        <v/>
      </c>
      <c r="E232" s="50">
        <f>B232*Subsurface_Inputs!$C$45</f>
        <v/>
      </c>
      <c r="F232" s="50">
        <f>B232</f>
        <v/>
      </c>
      <c r="G232" s="50">
        <f>B232*Subsurface_Inputs!$C$46</f>
        <v/>
      </c>
      <c r="H232" s="50">
        <f>Subsurface_Live_Data!Y232</f>
        <v/>
      </c>
      <c r="I232" s="50">
        <f>Subsurface_Inputs!$C$47-Subsurface_Inputs!$C$43+2*SIN(2*PI()*A232/42)</f>
        <v/>
      </c>
      <c r="J232" s="50" t="n">
        <v>0</v>
      </c>
    </row>
    <row r="233">
      <c r="A233" s="50">
        <f>Subsurface_Live_Data!A233</f>
        <v/>
      </c>
      <c r="B233" s="50">
        <f>Subsurface_Live_Data!K233</f>
        <v/>
      </c>
      <c r="C233" s="50">
        <f>MAX(0,B233-Subsurface_Inputs!$C$44)</f>
        <v/>
      </c>
      <c r="D233" s="50">
        <f>B233+Subsurface_Inputs!$C$44</f>
        <v/>
      </c>
      <c r="E233" s="50">
        <f>B233*Subsurface_Inputs!$C$45</f>
        <v/>
      </c>
      <c r="F233" s="50">
        <f>B233</f>
        <v/>
      </c>
      <c r="G233" s="50">
        <f>B233*Subsurface_Inputs!$C$46</f>
        <v/>
      </c>
      <c r="H233" s="50">
        <f>Subsurface_Live_Data!Y233</f>
        <v/>
      </c>
      <c r="I233" s="50">
        <f>Subsurface_Inputs!$C$47-Subsurface_Inputs!$C$43+2*SIN(2*PI()*A233/42)</f>
        <v/>
      </c>
      <c r="J233" s="50" t="n">
        <v>0</v>
      </c>
    </row>
    <row r="234">
      <c r="A234" s="50">
        <f>Subsurface_Live_Data!A234</f>
        <v/>
      </c>
      <c r="B234" s="50">
        <f>Subsurface_Live_Data!K234</f>
        <v/>
      </c>
      <c r="C234" s="50">
        <f>MAX(0,B234-Subsurface_Inputs!$C$44)</f>
        <v/>
      </c>
      <c r="D234" s="50">
        <f>B234+Subsurface_Inputs!$C$44</f>
        <v/>
      </c>
      <c r="E234" s="50">
        <f>B234*Subsurface_Inputs!$C$45</f>
        <v/>
      </c>
      <c r="F234" s="50">
        <f>B234</f>
        <v/>
      </c>
      <c r="G234" s="50">
        <f>B234*Subsurface_Inputs!$C$46</f>
        <v/>
      </c>
      <c r="H234" s="50">
        <f>Subsurface_Live_Data!Y234</f>
        <v/>
      </c>
      <c r="I234" s="50">
        <f>Subsurface_Inputs!$C$47-Subsurface_Inputs!$C$43+2*SIN(2*PI()*A234/42)</f>
        <v/>
      </c>
      <c r="J234" s="50" t="n">
        <v>0</v>
      </c>
    </row>
    <row r="235">
      <c r="A235" s="50">
        <f>Subsurface_Live_Data!A235</f>
        <v/>
      </c>
      <c r="B235" s="50">
        <f>Subsurface_Live_Data!K235</f>
        <v/>
      </c>
      <c r="C235" s="50">
        <f>MAX(0,B235-Subsurface_Inputs!$C$44)</f>
        <v/>
      </c>
      <c r="D235" s="50">
        <f>B235+Subsurface_Inputs!$C$44</f>
        <v/>
      </c>
      <c r="E235" s="50">
        <f>B235*Subsurface_Inputs!$C$45</f>
        <v/>
      </c>
      <c r="F235" s="50">
        <f>B235</f>
        <v/>
      </c>
      <c r="G235" s="50">
        <f>B235*Subsurface_Inputs!$C$46</f>
        <v/>
      </c>
      <c r="H235" s="50">
        <f>Subsurface_Live_Data!Y235</f>
        <v/>
      </c>
      <c r="I235" s="50">
        <f>Subsurface_Inputs!$C$47-Subsurface_Inputs!$C$43+2*SIN(2*PI()*A235/42)</f>
        <v/>
      </c>
      <c r="J235" s="50" t="n">
        <v>0</v>
      </c>
    </row>
    <row r="236">
      <c r="A236" s="50">
        <f>Subsurface_Live_Data!A236</f>
        <v/>
      </c>
      <c r="B236" s="50">
        <f>Subsurface_Live_Data!K236</f>
        <v/>
      </c>
      <c r="C236" s="50">
        <f>MAX(0,B236-Subsurface_Inputs!$C$44)</f>
        <v/>
      </c>
      <c r="D236" s="50">
        <f>B236+Subsurface_Inputs!$C$44</f>
        <v/>
      </c>
      <c r="E236" s="50">
        <f>B236*Subsurface_Inputs!$C$45</f>
        <v/>
      </c>
      <c r="F236" s="50">
        <f>B236</f>
        <v/>
      </c>
      <c r="G236" s="50">
        <f>B236*Subsurface_Inputs!$C$46</f>
        <v/>
      </c>
      <c r="H236" s="50">
        <f>Subsurface_Live_Data!Y236</f>
        <v/>
      </c>
      <c r="I236" s="50">
        <f>Subsurface_Inputs!$C$47-Subsurface_Inputs!$C$43+2*SIN(2*PI()*A236/42)</f>
        <v/>
      </c>
      <c r="J236" s="50" t="n">
        <v>0</v>
      </c>
    </row>
    <row r="237">
      <c r="A237" s="50">
        <f>Subsurface_Live_Data!A237</f>
        <v/>
      </c>
      <c r="B237" s="50">
        <f>Subsurface_Live_Data!K237</f>
        <v/>
      </c>
      <c r="C237" s="50">
        <f>MAX(0,B237-Subsurface_Inputs!$C$44)</f>
        <v/>
      </c>
      <c r="D237" s="50">
        <f>B237+Subsurface_Inputs!$C$44</f>
        <v/>
      </c>
      <c r="E237" s="50">
        <f>B237*Subsurface_Inputs!$C$45</f>
        <v/>
      </c>
      <c r="F237" s="50">
        <f>B237</f>
        <v/>
      </c>
      <c r="G237" s="50">
        <f>B237*Subsurface_Inputs!$C$46</f>
        <v/>
      </c>
      <c r="H237" s="50">
        <f>Subsurface_Live_Data!Y237</f>
        <v/>
      </c>
      <c r="I237" s="50">
        <f>Subsurface_Inputs!$C$47-Subsurface_Inputs!$C$43+2*SIN(2*PI()*A237/42)</f>
        <v/>
      </c>
      <c r="J237" s="50" t="n">
        <v>0</v>
      </c>
    </row>
    <row r="238">
      <c r="A238" s="50">
        <f>Subsurface_Live_Data!A238</f>
        <v/>
      </c>
      <c r="B238" s="50">
        <f>Subsurface_Live_Data!K238</f>
        <v/>
      </c>
      <c r="C238" s="50">
        <f>MAX(0,B238-Subsurface_Inputs!$C$44)</f>
        <v/>
      </c>
      <c r="D238" s="50">
        <f>B238+Subsurface_Inputs!$C$44</f>
        <v/>
      </c>
      <c r="E238" s="50">
        <f>B238*Subsurface_Inputs!$C$45</f>
        <v/>
      </c>
      <c r="F238" s="50">
        <f>B238</f>
        <v/>
      </c>
      <c r="G238" s="50">
        <f>B238*Subsurface_Inputs!$C$46</f>
        <v/>
      </c>
      <c r="H238" s="50">
        <f>Subsurface_Live_Data!Y238</f>
        <v/>
      </c>
      <c r="I238" s="50">
        <f>Subsurface_Inputs!$C$47-Subsurface_Inputs!$C$43+2*SIN(2*PI()*A238/42)</f>
        <v/>
      </c>
      <c r="J238" s="50" t="n">
        <v>0</v>
      </c>
    </row>
    <row r="239">
      <c r="A239" s="50">
        <f>Subsurface_Live_Data!A239</f>
        <v/>
      </c>
      <c r="B239" s="50">
        <f>Subsurface_Live_Data!K239</f>
        <v/>
      </c>
      <c r="C239" s="50">
        <f>MAX(0,B239-Subsurface_Inputs!$C$44)</f>
        <v/>
      </c>
      <c r="D239" s="50">
        <f>B239+Subsurface_Inputs!$C$44</f>
        <v/>
      </c>
      <c r="E239" s="50">
        <f>B239*Subsurface_Inputs!$C$45</f>
        <v/>
      </c>
      <c r="F239" s="50">
        <f>B239</f>
        <v/>
      </c>
      <c r="G239" s="50">
        <f>B239*Subsurface_Inputs!$C$46</f>
        <v/>
      </c>
      <c r="H239" s="50">
        <f>Subsurface_Live_Data!Y239</f>
        <v/>
      </c>
      <c r="I239" s="50">
        <f>Subsurface_Inputs!$C$47-Subsurface_Inputs!$C$43+2*SIN(2*PI()*A239/42)</f>
        <v/>
      </c>
      <c r="J239" s="50" t="n">
        <v>0</v>
      </c>
    </row>
    <row r="240">
      <c r="A240" s="50">
        <f>Subsurface_Live_Data!A240</f>
        <v/>
      </c>
      <c r="B240" s="50">
        <f>Subsurface_Live_Data!K240</f>
        <v/>
      </c>
      <c r="C240" s="50">
        <f>MAX(0,B240-Subsurface_Inputs!$C$44)</f>
        <v/>
      </c>
      <c r="D240" s="50">
        <f>B240+Subsurface_Inputs!$C$44</f>
        <v/>
      </c>
      <c r="E240" s="50">
        <f>B240*Subsurface_Inputs!$C$45</f>
        <v/>
      </c>
      <c r="F240" s="50">
        <f>B240</f>
        <v/>
      </c>
      <c r="G240" s="50">
        <f>B240*Subsurface_Inputs!$C$46</f>
        <v/>
      </c>
      <c r="H240" s="50">
        <f>Subsurface_Live_Data!Y240</f>
        <v/>
      </c>
      <c r="I240" s="50">
        <f>Subsurface_Inputs!$C$47-Subsurface_Inputs!$C$43+2*SIN(2*PI()*A240/42)</f>
        <v/>
      </c>
      <c r="J240" s="50" t="n">
        <v>0</v>
      </c>
    </row>
    <row r="241">
      <c r="A241" s="50">
        <f>Subsurface_Live_Data!A241</f>
        <v/>
      </c>
      <c r="B241" s="50">
        <f>Subsurface_Live_Data!K241</f>
        <v/>
      </c>
      <c r="C241" s="50">
        <f>MAX(0,B241-Subsurface_Inputs!$C$44)</f>
        <v/>
      </c>
      <c r="D241" s="50">
        <f>B241+Subsurface_Inputs!$C$44</f>
        <v/>
      </c>
      <c r="E241" s="50">
        <f>B241*Subsurface_Inputs!$C$45</f>
        <v/>
      </c>
      <c r="F241" s="50">
        <f>B241</f>
        <v/>
      </c>
      <c r="G241" s="50">
        <f>B241*Subsurface_Inputs!$C$46</f>
        <v/>
      </c>
      <c r="H241" s="50">
        <f>Subsurface_Live_Data!Y241</f>
        <v/>
      </c>
      <c r="I241" s="50">
        <f>Subsurface_Inputs!$C$47-Subsurface_Inputs!$C$43+2*SIN(2*PI()*A241/42)</f>
        <v/>
      </c>
      <c r="J241" s="50" t="n">
        <v>0</v>
      </c>
    </row>
    <row r="242">
      <c r="A242" s="50">
        <f>Subsurface_Live_Data!A242</f>
        <v/>
      </c>
      <c r="B242" s="50">
        <f>Subsurface_Live_Data!K242</f>
        <v/>
      </c>
      <c r="C242" s="50">
        <f>MAX(0,B242-Subsurface_Inputs!$C$44)</f>
        <v/>
      </c>
      <c r="D242" s="50">
        <f>B242+Subsurface_Inputs!$C$44</f>
        <v/>
      </c>
      <c r="E242" s="50">
        <f>B242*Subsurface_Inputs!$C$45</f>
        <v/>
      </c>
      <c r="F242" s="50">
        <f>B242</f>
        <v/>
      </c>
      <c r="G242" s="50">
        <f>B242*Subsurface_Inputs!$C$46</f>
        <v/>
      </c>
      <c r="H242" s="50">
        <f>Subsurface_Live_Data!Y242</f>
        <v/>
      </c>
      <c r="I242" s="50">
        <f>Subsurface_Inputs!$C$47-Subsurface_Inputs!$C$43+2*SIN(2*PI()*A242/42)</f>
        <v/>
      </c>
      <c r="J242" s="50" t="n">
        <v>0</v>
      </c>
    </row>
  </sheetData>
  <autoFilter ref="A1:J2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0" customWidth="1" min="1" max="1"/>
    <col width="22" customWidth="1" min="2" max="2"/>
    <col width="16" customWidth="1" min="3" max="3"/>
    <col width="22" customWidth="1" min="4" max="4"/>
    <col width="56" customWidth="1" min="5" max="5"/>
    <col width="16" customWidth="1" min="7" max="7"/>
    <col width="26" customWidth="1" min="8" max="8"/>
    <col width="16" customWidth="1" min="9" max="9"/>
    <col width="24" customWidth="1" min="10" max="10"/>
  </cols>
  <sheetData>
    <row r="1">
      <c r="A1" s="46" t="inlineStr">
        <is>
          <t>Material / interface</t>
        </is>
      </c>
      <c r="B1" s="46" t="inlineStr">
        <is>
          <t>Reflection strength before depth loss (dB)</t>
        </is>
      </c>
      <c r="C1" s="46" t="inlineStr">
        <is>
          <t>One-way attenuation (dB/km)</t>
        </is>
      </c>
      <c r="D1" s="46" t="inlineStr">
        <is>
          <t>Why it matters</t>
        </is>
      </c>
      <c r="G1" s="67" t="inlineStr">
        <is>
          <t>material_index</t>
        </is>
      </c>
      <c r="H1" s="67" t="inlineStr">
        <is>
          <t>material_reflection_strength_db</t>
        </is>
      </c>
      <c r="I1" s="67" t="inlineStr">
        <is>
          <t>evidence_index</t>
        </is>
      </c>
      <c r="J1" s="67" t="inlineStr">
        <is>
          <t>evidence_support_score</t>
        </is>
      </c>
    </row>
    <row r="2">
      <c r="A2" s="50" t="inlineStr">
        <is>
          <t>Cold clean ice layer</t>
        </is>
      </c>
      <c r="B2" s="50" t="n">
        <v>-18</v>
      </c>
      <c r="C2" s="50" t="n">
        <v>0.5</v>
      </c>
      <c r="D2" s="50" t="inlineStr">
        <is>
          <t>Weak internal contrast; often harder to see.</t>
        </is>
      </c>
      <c r="G2" t="n">
        <v>1</v>
      </c>
      <c r="H2">
        <f>B2</f>
        <v/>
      </c>
    </row>
    <row r="3">
      <c r="A3" s="50" t="inlineStr">
        <is>
          <t>Warmer ice boundary</t>
        </is>
      </c>
      <c r="B3" s="50" t="n">
        <v>-14</v>
      </c>
      <c r="C3" s="50" t="n">
        <v>0.8</v>
      </c>
      <c r="D3" s="50" t="inlineStr">
        <is>
          <t>Temperature/structure contrast can strengthen a reflector.</t>
        </is>
      </c>
      <c r="G3" t="n">
        <v>2</v>
      </c>
      <c r="H3">
        <f>B3</f>
        <v/>
      </c>
    </row>
    <row r="4">
      <c r="A4" s="50" t="inlineStr">
        <is>
          <t>Dirty/salty ice layer</t>
        </is>
      </c>
      <c r="B4" s="50" t="n">
        <v>-10</v>
      </c>
      <c r="C4" s="50" t="n">
        <v>1.2</v>
      </c>
      <c r="D4" s="50" t="inlineStr">
        <is>
          <t>Impurities can create stronger dielectric contrast and more loss.</t>
        </is>
      </c>
      <c r="G4" t="n">
        <v>3</v>
      </c>
      <c r="H4">
        <f>B4</f>
        <v/>
      </c>
    </row>
    <row r="5">
      <c r="A5" s="50" t="inlineStr">
        <is>
          <t>Briny pocket/lens</t>
        </is>
      </c>
      <c r="B5" s="50" t="n">
        <v>-6</v>
      </c>
      <c r="C5" s="50" t="n">
        <v>2</v>
      </c>
      <c r="D5" s="50" t="inlineStr">
        <is>
          <t>High contrast but can be lossy.</t>
        </is>
      </c>
      <c r="G5" t="n">
        <v>4</v>
      </c>
      <c r="H5">
        <f>B5</f>
        <v/>
      </c>
    </row>
    <row r="6">
      <c r="A6" s="50" t="inlineStr">
        <is>
          <t>Liquid salty ocean boundary</t>
        </is>
      </c>
      <c r="B6" s="50" t="n">
        <v>-2</v>
      </c>
      <c r="C6" s="50" t="n">
        <v>0</v>
      </c>
      <c r="D6" s="50" t="inlineStr">
        <is>
          <t>Strong material contrast at the bottom boundary.</t>
        </is>
      </c>
      <c r="G6" t="n">
        <v>5</v>
      </c>
      <c r="H6">
        <f>B6</f>
        <v/>
      </c>
    </row>
    <row r="9">
      <c r="A9" s="46" t="inlineStr">
        <is>
          <t>Evidence source</t>
        </is>
      </c>
      <c r="B9" s="46" t="inlineStr">
        <is>
          <t>Support score (%)</t>
        </is>
      </c>
      <c r="C9" s="46" t="inlineStr">
        <is>
          <t>Weight (%)</t>
        </is>
      </c>
      <c r="D9" s="46" t="inlineStr">
        <is>
          <t>Weighted contribution</t>
        </is>
      </c>
      <c r="E9" s="46" t="inlineStr">
        <is>
          <t>Notes</t>
        </is>
      </c>
    </row>
    <row r="10">
      <c r="A10" s="50" t="inlineStr">
        <is>
          <t>Radar sounding</t>
        </is>
      </c>
      <c r="B10" s="50">
        <f>Subsurface_Inputs!$C$48</f>
        <v/>
      </c>
      <c r="C10" s="50">
        <f>Subsurface_Inputs!$C$52</f>
        <v/>
      </c>
      <c r="D10" s="50">
        <f>B10*C10/100</f>
        <v/>
      </c>
      <c r="E10" s="50" t="inlineStr">
        <is>
          <t>REASON-like radar structure support.</t>
        </is>
      </c>
      <c r="I10" t="n">
        <v>1</v>
      </c>
      <c r="J10">
        <f>B10</f>
        <v/>
      </c>
    </row>
    <row r="11">
      <c r="A11" s="50" t="inlineStr">
        <is>
          <t>Thermal context</t>
        </is>
      </c>
      <c r="B11" s="50">
        <f>Subsurface_Inputs!$C$49</f>
        <v/>
      </c>
      <c r="C11" s="50">
        <f>Subsurface_Inputs!$C$53</f>
        <v/>
      </c>
      <c r="D11" s="50">
        <f>B11*C11/100</f>
        <v/>
      </c>
      <c r="E11" s="50" t="inlineStr">
        <is>
          <t>E-THEMIS-style warm-region support.</t>
        </is>
      </c>
      <c r="I11" t="n">
        <v>2</v>
      </c>
      <c r="J11">
        <f>B11</f>
        <v/>
      </c>
    </row>
    <row r="12">
      <c r="A12" s="50" t="inlineStr">
        <is>
          <t>Surface composition</t>
        </is>
      </c>
      <c r="B12" s="50">
        <f>Subsurface_Inputs!$C$50</f>
        <v/>
      </c>
      <c r="C12" s="50">
        <f>Subsurface_Inputs!$C$54</f>
        <v/>
      </c>
      <c r="D12" s="50">
        <f>B12*C12/100</f>
        <v/>
      </c>
      <c r="E12" s="50" t="inlineStr">
        <is>
          <t>MISE-style salts/ice/organics support.</t>
        </is>
      </c>
      <c r="I12" t="n">
        <v>3</v>
      </c>
      <c r="J12">
        <f>B12</f>
        <v/>
      </c>
    </row>
    <row r="13">
      <c r="A13" s="50" t="inlineStr">
        <is>
          <t>Magnetic/plasma ocean support</t>
        </is>
      </c>
      <c r="B13" s="50">
        <f>Subsurface_Inputs!$C$51</f>
        <v/>
      </c>
      <c r="C13" s="50">
        <f>Subsurface_Inputs!$C$55</f>
        <v/>
      </c>
      <c r="D13" s="50">
        <f>B13*C13/100</f>
        <v/>
      </c>
      <c r="E13" s="50" t="inlineStr">
        <is>
          <t>ECM/PIMS-style ocean support.</t>
        </is>
      </c>
      <c r="I13" t="n">
        <v>4</v>
      </c>
      <c r="J13">
        <f>B13</f>
        <v/>
      </c>
    </row>
    <row r="14">
      <c r="A14" s="50" t="inlineStr">
        <is>
          <t>Total weighted support</t>
        </is>
      </c>
      <c r="B14" s="50" t="n"/>
      <c r="C14" s="50">
        <f>SUM(C10:C13)</f>
        <v/>
      </c>
      <c r="D14" s="50">
        <f>SUM(D10:D13)/MAX(1,C14)*100</f>
        <v/>
      </c>
      <c r="E14" s="50" t="inlineStr">
        <is>
          <t>Combined evidence score.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6" t="inlineStr">
        <is>
          <t>x_km</t>
        </is>
      </c>
      <c r="B1" s="46" t="inlineStr">
        <is>
          <t>surface_clutter_lower_us</t>
        </is>
      </c>
      <c r="C1" s="46" t="inlineStr">
        <is>
          <t>surface_clutter_upper_us</t>
        </is>
      </c>
      <c r="D1" s="46" t="inlineStr">
        <is>
          <t>shallow_return_delay_with_jitter_us</t>
        </is>
      </c>
      <c r="E1" s="46" t="inlineStr">
        <is>
          <t>lens_return_delay_with_jitter_us</t>
        </is>
      </c>
      <c r="F1" s="46" t="inlineStr">
        <is>
          <t>ocean_return_delay_with_jitter_us</t>
        </is>
      </c>
      <c r="G1" s="46" t="inlineStr">
        <is>
          <t>noise_floor_proxy</t>
        </is>
      </c>
    </row>
    <row r="2">
      <c r="A2" s="50">
        <f>Subsurface_Live_Data!A2</f>
        <v/>
      </c>
      <c r="B2" s="50" t="n">
        <v>0</v>
      </c>
      <c r="C2" s="50">
        <f>Subsurface_Inputs!$C$57+1.5*SIN(2*PI()*A2/35)</f>
        <v/>
      </c>
      <c r="D2" s="50">
        <f>Subsurface_Live_Data!M2+Subsurface_Inputs!$C$56*SIN(2*PI()*A2/31)</f>
        <v/>
      </c>
      <c r="E2" s="50">
        <f>IF(Subsurface_Live_Data!H2&gt;=Subsurface_Inputs!$C$42,Subsurface_Live_Data!N2+Subsurface_Inputs!$C$56*SIN(2*PI()*A2/27),NA())</f>
        <v/>
      </c>
      <c r="F2" s="50">
        <f>Subsurface_Live_Data!O2+Subsurface_Inputs!$C$56*SIN(2*PI()*A2/47)</f>
        <v/>
      </c>
      <c r="G2" s="50">
        <f>-55+3*SIN(2*PI()*A2/19)</f>
        <v/>
      </c>
    </row>
    <row r="3">
      <c r="A3" s="50">
        <f>Subsurface_Live_Data!A3</f>
        <v/>
      </c>
      <c r="B3" s="50" t="n">
        <v>0</v>
      </c>
      <c r="C3" s="50">
        <f>Subsurface_Inputs!$C$57+1.5*SIN(2*PI()*A3/35)</f>
        <v/>
      </c>
      <c r="D3" s="50">
        <f>Subsurface_Live_Data!M3+Subsurface_Inputs!$C$56*SIN(2*PI()*A3/31)</f>
        <v/>
      </c>
      <c r="E3" s="50">
        <f>IF(Subsurface_Live_Data!H3&gt;=Subsurface_Inputs!$C$42,Subsurface_Live_Data!N3+Subsurface_Inputs!$C$56*SIN(2*PI()*A3/27),NA())</f>
        <v/>
      </c>
      <c r="F3" s="50">
        <f>Subsurface_Live_Data!O3+Subsurface_Inputs!$C$56*SIN(2*PI()*A3/47)</f>
        <v/>
      </c>
      <c r="G3" s="50">
        <f>-55+3*SIN(2*PI()*A3/19)</f>
        <v/>
      </c>
    </row>
    <row r="4">
      <c r="A4" s="50">
        <f>Subsurface_Live_Data!A4</f>
        <v/>
      </c>
      <c r="B4" s="50" t="n">
        <v>0</v>
      </c>
      <c r="C4" s="50">
        <f>Subsurface_Inputs!$C$57+1.5*SIN(2*PI()*A4/35)</f>
        <v/>
      </c>
      <c r="D4" s="50">
        <f>Subsurface_Live_Data!M4+Subsurface_Inputs!$C$56*SIN(2*PI()*A4/31)</f>
        <v/>
      </c>
      <c r="E4" s="50">
        <f>IF(Subsurface_Live_Data!H4&gt;=Subsurface_Inputs!$C$42,Subsurface_Live_Data!N4+Subsurface_Inputs!$C$56*SIN(2*PI()*A4/27),NA())</f>
        <v/>
      </c>
      <c r="F4" s="50">
        <f>Subsurface_Live_Data!O4+Subsurface_Inputs!$C$56*SIN(2*PI()*A4/47)</f>
        <v/>
      </c>
      <c r="G4" s="50">
        <f>-55+3*SIN(2*PI()*A4/19)</f>
        <v/>
      </c>
    </row>
    <row r="5">
      <c r="A5" s="50">
        <f>Subsurface_Live_Data!A5</f>
        <v/>
      </c>
      <c r="B5" s="50" t="n">
        <v>0</v>
      </c>
      <c r="C5" s="50">
        <f>Subsurface_Inputs!$C$57+1.5*SIN(2*PI()*A5/35)</f>
        <v/>
      </c>
      <c r="D5" s="50">
        <f>Subsurface_Live_Data!M5+Subsurface_Inputs!$C$56*SIN(2*PI()*A5/31)</f>
        <v/>
      </c>
      <c r="E5" s="50">
        <f>IF(Subsurface_Live_Data!H5&gt;=Subsurface_Inputs!$C$42,Subsurface_Live_Data!N5+Subsurface_Inputs!$C$56*SIN(2*PI()*A5/27),NA())</f>
        <v/>
      </c>
      <c r="F5" s="50">
        <f>Subsurface_Live_Data!O5+Subsurface_Inputs!$C$56*SIN(2*PI()*A5/47)</f>
        <v/>
      </c>
      <c r="G5" s="50">
        <f>-55+3*SIN(2*PI()*A5/19)</f>
        <v/>
      </c>
    </row>
    <row r="6">
      <c r="A6" s="50">
        <f>Subsurface_Live_Data!A6</f>
        <v/>
      </c>
      <c r="B6" s="50" t="n">
        <v>0</v>
      </c>
      <c r="C6" s="50">
        <f>Subsurface_Inputs!$C$57+1.5*SIN(2*PI()*A6/35)</f>
        <v/>
      </c>
      <c r="D6" s="50">
        <f>Subsurface_Live_Data!M6+Subsurface_Inputs!$C$56*SIN(2*PI()*A6/31)</f>
        <v/>
      </c>
      <c r="E6" s="50">
        <f>IF(Subsurface_Live_Data!H6&gt;=Subsurface_Inputs!$C$42,Subsurface_Live_Data!N6+Subsurface_Inputs!$C$56*SIN(2*PI()*A6/27),NA())</f>
        <v/>
      </c>
      <c r="F6" s="50">
        <f>Subsurface_Live_Data!O6+Subsurface_Inputs!$C$56*SIN(2*PI()*A6/47)</f>
        <v/>
      </c>
      <c r="G6" s="50">
        <f>-55+3*SIN(2*PI()*A6/19)</f>
        <v/>
      </c>
    </row>
    <row r="7">
      <c r="A7" s="50">
        <f>Subsurface_Live_Data!A7</f>
        <v/>
      </c>
      <c r="B7" s="50" t="n">
        <v>0</v>
      </c>
      <c r="C7" s="50">
        <f>Subsurface_Inputs!$C$57+1.5*SIN(2*PI()*A7/35)</f>
        <v/>
      </c>
      <c r="D7" s="50">
        <f>Subsurface_Live_Data!M7+Subsurface_Inputs!$C$56*SIN(2*PI()*A7/31)</f>
        <v/>
      </c>
      <c r="E7" s="50">
        <f>IF(Subsurface_Live_Data!H7&gt;=Subsurface_Inputs!$C$42,Subsurface_Live_Data!N7+Subsurface_Inputs!$C$56*SIN(2*PI()*A7/27),NA())</f>
        <v/>
      </c>
      <c r="F7" s="50">
        <f>Subsurface_Live_Data!O7+Subsurface_Inputs!$C$56*SIN(2*PI()*A7/47)</f>
        <v/>
      </c>
      <c r="G7" s="50">
        <f>-55+3*SIN(2*PI()*A7/19)</f>
        <v/>
      </c>
    </row>
    <row r="8">
      <c r="A8" s="50">
        <f>Subsurface_Live_Data!A8</f>
        <v/>
      </c>
      <c r="B8" s="50" t="n">
        <v>0</v>
      </c>
      <c r="C8" s="50">
        <f>Subsurface_Inputs!$C$57+1.5*SIN(2*PI()*A8/35)</f>
        <v/>
      </c>
      <c r="D8" s="50">
        <f>Subsurface_Live_Data!M8+Subsurface_Inputs!$C$56*SIN(2*PI()*A8/31)</f>
        <v/>
      </c>
      <c r="E8" s="50">
        <f>IF(Subsurface_Live_Data!H8&gt;=Subsurface_Inputs!$C$42,Subsurface_Live_Data!N8+Subsurface_Inputs!$C$56*SIN(2*PI()*A8/27),NA())</f>
        <v/>
      </c>
      <c r="F8" s="50">
        <f>Subsurface_Live_Data!O8+Subsurface_Inputs!$C$56*SIN(2*PI()*A8/47)</f>
        <v/>
      </c>
      <c r="G8" s="50">
        <f>-55+3*SIN(2*PI()*A8/19)</f>
        <v/>
      </c>
    </row>
    <row r="9">
      <c r="A9" s="50">
        <f>Subsurface_Live_Data!A9</f>
        <v/>
      </c>
      <c r="B9" s="50" t="n">
        <v>0</v>
      </c>
      <c r="C9" s="50">
        <f>Subsurface_Inputs!$C$57+1.5*SIN(2*PI()*A9/35)</f>
        <v/>
      </c>
      <c r="D9" s="50">
        <f>Subsurface_Live_Data!M9+Subsurface_Inputs!$C$56*SIN(2*PI()*A9/31)</f>
        <v/>
      </c>
      <c r="E9" s="50">
        <f>IF(Subsurface_Live_Data!H9&gt;=Subsurface_Inputs!$C$42,Subsurface_Live_Data!N9+Subsurface_Inputs!$C$56*SIN(2*PI()*A9/27),NA())</f>
        <v/>
      </c>
      <c r="F9" s="50">
        <f>Subsurface_Live_Data!O9+Subsurface_Inputs!$C$56*SIN(2*PI()*A9/47)</f>
        <v/>
      </c>
      <c r="G9" s="50">
        <f>-55+3*SIN(2*PI()*A9/19)</f>
        <v/>
      </c>
    </row>
    <row r="10">
      <c r="A10" s="50">
        <f>Subsurface_Live_Data!A10</f>
        <v/>
      </c>
      <c r="B10" s="50" t="n">
        <v>0</v>
      </c>
      <c r="C10" s="50">
        <f>Subsurface_Inputs!$C$57+1.5*SIN(2*PI()*A10/35)</f>
        <v/>
      </c>
      <c r="D10" s="50">
        <f>Subsurface_Live_Data!M10+Subsurface_Inputs!$C$56*SIN(2*PI()*A10/31)</f>
        <v/>
      </c>
      <c r="E10" s="50">
        <f>IF(Subsurface_Live_Data!H10&gt;=Subsurface_Inputs!$C$42,Subsurface_Live_Data!N10+Subsurface_Inputs!$C$56*SIN(2*PI()*A10/27),NA())</f>
        <v/>
      </c>
      <c r="F10" s="50">
        <f>Subsurface_Live_Data!O10+Subsurface_Inputs!$C$56*SIN(2*PI()*A10/47)</f>
        <v/>
      </c>
      <c r="G10" s="50">
        <f>-55+3*SIN(2*PI()*A10/19)</f>
        <v/>
      </c>
    </row>
    <row r="11">
      <c r="A11" s="50">
        <f>Subsurface_Live_Data!A11</f>
        <v/>
      </c>
      <c r="B11" s="50" t="n">
        <v>0</v>
      </c>
      <c r="C11" s="50">
        <f>Subsurface_Inputs!$C$57+1.5*SIN(2*PI()*A11/35)</f>
        <v/>
      </c>
      <c r="D11" s="50">
        <f>Subsurface_Live_Data!M11+Subsurface_Inputs!$C$56*SIN(2*PI()*A11/31)</f>
        <v/>
      </c>
      <c r="E11" s="50">
        <f>IF(Subsurface_Live_Data!H11&gt;=Subsurface_Inputs!$C$42,Subsurface_Live_Data!N11+Subsurface_Inputs!$C$56*SIN(2*PI()*A11/27),NA())</f>
        <v/>
      </c>
      <c r="F11" s="50">
        <f>Subsurface_Live_Data!O11+Subsurface_Inputs!$C$56*SIN(2*PI()*A11/47)</f>
        <v/>
      </c>
      <c r="G11" s="50">
        <f>-55+3*SIN(2*PI()*A11/19)</f>
        <v/>
      </c>
    </row>
    <row r="12">
      <c r="A12" s="50">
        <f>Subsurface_Live_Data!A12</f>
        <v/>
      </c>
      <c r="B12" s="50" t="n">
        <v>0</v>
      </c>
      <c r="C12" s="50">
        <f>Subsurface_Inputs!$C$57+1.5*SIN(2*PI()*A12/35)</f>
        <v/>
      </c>
      <c r="D12" s="50">
        <f>Subsurface_Live_Data!M12+Subsurface_Inputs!$C$56*SIN(2*PI()*A12/31)</f>
        <v/>
      </c>
      <c r="E12" s="50">
        <f>IF(Subsurface_Live_Data!H12&gt;=Subsurface_Inputs!$C$42,Subsurface_Live_Data!N12+Subsurface_Inputs!$C$56*SIN(2*PI()*A12/27),NA())</f>
        <v/>
      </c>
      <c r="F12" s="50">
        <f>Subsurface_Live_Data!O12+Subsurface_Inputs!$C$56*SIN(2*PI()*A12/47)</f>
        <v/>
      </c>
      <c r="G12" s="50">
        <f>-55+3*SIN(2*PI()*A12/19)</f>
        <v/>
      </c>
    </row>
    <row r="13">
      <c r="A13" s="50">
        <f>Subsurface_Live_Data!A13</f>
        <v/>
      </c>
      <c r="B13" s="50" t="n">
        <v>0</v>
      </c>
      <c r="C13" s="50">
        <f>Subsurface_Inputs!$C$57+1.5*SIN(2*PI()*A13/35)</f>
        <v/>
      </c>
      <c r="D13" s="50">
        <f>Subsurface_Live_Data!M13+Subsurface_Inputs!$C$56*SIN(2*PI()*A13/31)</f>
        <v/>
      </c>
      <c r="E13" s="50">
        <f>IF(Subsurface_Live_Data!H13&gt;=Subsurface_Inputs!$C$42,Subsurface_Live_Data!N13+Subsurface_Inputs!$C$56*SIN(2*PI()*A13/27),NA())</f>
        <v/>
      </c>
      <c r="F13" s="50">
        <f>Subsurface_Live_Data!O13+Subsurface_Inputs!$C$56*SIN(2*PI()*A13/47)</f>
        <v/>
      </c>
      <c r="G13" s="50">
        <f>-55+3*SIN(2*PI()*A13/19)</f>
        <v/>
      </c>
    </row>
    <row r="14">
      <c r="A14" s="50">
        <f>Subsurface_Live_Data!A14</f>
        <v/>
      </c>
      <c r="B14" s="50" t="n">
        <v>0</v>
      </c>
      <c r="C14" s="50">
        <f>Subsurface_Inputs!$C$57+1.5*SIN(2*PI()*A14/35)</f>
        <v/>
      </c>
      <c r="D14" s="50">
        <f>Subsurface_Live_Data!M14+Subsurface_Inputs!$C$56*SIN(2*PI()*A14/31)</f>
        <v/>
      </c>
      <c r="E14" s="50">
        <f>IF(Subsurface_Live_Data!H14&gt;=Subsurface_Inputs!$C$42,Subsurface_Live_Data!N14+Subsurface_Inputs!$C$56*SIN(2*PI()*A14/27),NA())</f>
        <v/>
      </c>
      <c r="F14" s="50">
        <f>Subsurface_Live_Data!O14+Subsurface_Inputs!$C$56*SIN(2*PI()*A14/47)</f>
        <v/>
      </c>
      <c r="G14" s="50">
        <f>-55+3*SIN(2*PI()*A14/19)</f>
        <v/>
      </c>
    </row>
    <row r="15">
      <c r="A15" s="50">
        <f>Subsurface_Live_Data!A15</f>
        <v/>
      </c>
      <c r="B15" s="50" t="n">
        <v>0</v>
      </c>
      <c r="C15" s="50">
        <f>Subsurface_Inputs!$C$57+1.5*SIN(2*PI()*A15/35)</f>
        <v/>
      </c>
      <c r="D15" s="50">
        <f>Subsurface_Live_Data!M15+Subsurface_Inputs!$C$56*SIN(2*PI()*A15/31)</f>
        <v/>
      </c>
      <c r="E15" s="50">
        <f>IF(Subsurface_Live_Data!H15&gt;=Subsurface_Inputs!$C$42,Subsurface_Live_Data!N15+Subsurface_Inputs!$C$56*SIN(2*PI()*A15/27),NA())</f>
        <v/>
      </c>
      <c r="F15" s="50">
        <f>Subsurface_Live_Data!O15+Subsurface_Inputs!$C$56*SIN(2*PI()*A15/47)</f>
        <v/>
      </c>
      <c r="G15" s="50">
        <f>-55+3*SIN(2*PI()*A15/19)</f>
        <v/>
      </c>
    </row>
    <row r="16">
      <c r="A16" s="50">
        <f>Subsurface_Live_Data!A16</f>
        <v/>
      </c>
      <c r="B16" s="50" t="n">
        <v>0</v>
      </c>
      <c r="C16" s="50">
        <f>Subsurface_Inputs!$C$57+1.5*SIN(2*PI()*A16/35)</f>
        <v/>
      </c>
      <c r="D16" s="50">
        <f>Subsurface_Live_Data!M16+Subsurface_Inputs!$C$56*SIN(2*PI()*A16/31)</f>
        <v/>
      </c>
      <c r="E16" s="50">
        <f>IF(Subsurface_Live_Data!H16&gt;=Subsurface_Inputs!$C$42,Subsurface_Live_Data!N16+Subsurface_Inputs!$C$56*SIN(2*PI()*A16/27),NA())</f>
        <v/>
      </c>
      <c r="F16" s="50">
        <f>Subsurface_Live_Data!O16+Subsurface_Inputs!$C$56*SIN(2*PI()*A16/47)</f>
        <v/>
      </c>
      <c r="G16" s="50">
        <f>-55+3*SIN(2*PI()*A16/19)</f>
        <v/>
      </c>
    </row>
    <row r="17">
      <c r="A17" s="50">
        <f>Subsurface_Live_Data!A17</f>
        <v/>
      </c>
      <c r="B17" s="50" t="n">
        <v>0</v>
      </c>
      <c r="C17" s="50">
        <f>Subsurface_Inputs!$C$57+1.5*SIN(2*PI()*A17/35)</f>
        <v/>
      </c>
      <c r="D17" s="50">
        <f>Subsurface_Live_Data!M17+Subsurface_Inputs!$C$56*SIN(2*PI()*A17/31)</f>
        <v/>
      </c>
      <c r="E17" s="50">
        <f>IF(Subsurface_Live_Data!H17&gt;=Subsurface_Inputs!$C$42,Subsurface_Live_Data!N17+Subsurface_Inputs!$C$56*SIN(2*PI()*A17/27),NA())</f>
        <v/>
      </c>
      <c r="F17" s="50">
        <f>Subsurface_Live_Data!O17+Subsurface_Inputs!$C$56*SIN(2*PI()*A17/47)</f>
        <v/>
      </c>
      <c r="G17" s="50">
        <f>-55+3*SIN(2*PI()*A17/19)</f>
        <v/>
      </c>
    </row>
    <row r="18">
      <c r="A18" s="50">
        <f>Subsurface_Live_Data!A18</f>
        <v/>
      </c>
      <c r="B18" s="50" t="n">
        <v>0</v>
      </c>
      <c r="C18" s="50">
        <f>Subsurface_Inputs!$C$57+1.5*SIN(2*PI()*A18/35)</f>
        <v/>
      </c>
      <c r="D18" s="50">
        <f>Subsurface_Live_Data!M18+Subsurface_Inputs!$C$56*SIN(2*PI()*A18/31)</f>
        <v/>
      </c>
      <c r="E18" s="50">
        <f>IF(Subsurface_Live_Data!H18&gt;=Subsurface_Inputs!$C$42,Subsurface_Live_Data!N18+Subsurface_Inputs!$C$56*SIN(2*PI()*A18/27),NA())</f>
        <v/>
      </c>
      <c r="F18" s="50">
        <f>Subsurface_Live_Data!O18+Subsurface_Inputs!$C$56*SIN(2*PI()*A18/47)</f>
        <v/>
      </c>
      <c r="G18" s="50">
        <f>-55+3*SIN(2*PI()*A18/19)</f>
        <v/>
      </c>
    </row>
    <row r="19">
      <c r="A19" s="50">
        <f>Subsurface_Live_Data!A19</f>
        <v/>
      </c>
      <c r="B19" s="50" t="n">
        <v>0</v>
      </c>
      <c r="C19" s="50">
        <f>Subsurface_Inputs!$C$57+1.5*SIN(2*PI()*A19/35)</f>
        <v/>
      </c>
      <c r="D19" s="50">
        <f>Subsurface_Live_Data!M19+Subsurface_Inputs!$C$56*SIN(2*PI()*A19/31)</f>
        <v/>
      </c>
      <c r="E19" s="50">
        <f>IF(Subsurface_Live_Data!H19&gt;=Subsurface_Inputs!$C$42,Subsurface_Live_Data!N19+Subsurface_Inputs!$C$56*SIN(2*PI()*A19/27),NA())</f>
        <v/>
      </c>
      <c r="F19" s="50">
        <f>Subsurface_Live_Data!O19+Subsurface_Inputs!$C$56*SIN(2*PI()*A19/47)</f>
        <v/>
      </c>
      <c r="G19" s="50">
        <f>-55+3*SIN(2*PI()*A19/19)</f>
        <v/>
      </c>
    </row>
    <row r="20">
      <c r="A20" s="50">
        <f>Subsurface_Live_Data!A20</f>
        <v/>
      </c>
      <c r="B20" s="50" t="n">
        <v>0</v>
      </c>
      <c r="C20" s="50">
        <f>Subsurface_Inputs!$C$57+1.5*SIN(2*PI()*A20/35)</f>
        <v/>
      </c>
      <c r="D20" s="50">
        <f>Subsurface_Live_Data!M20+Subsurface_Inputs!$C$56*SIN(2*PI()*A20/31)</f>
        <v/>
      </c>
      <c r="E20" s="50">
        <f>IF(Subsurface_Live_Data!H20&gt;=Subsurface_Inputs!$C$42,Subsurface_Live_Data!N20+Subsurface_Inputs!$C$56*SIN(2*PI()*A20/27),NA())</f>
        <v/>
      </c>
      <c r="F20" s="50">
        <f>Subsurface_Live_Data!O20+Subsurface_Inputs!$C$56*SIN(2*PI()*A20/47)</f>
        <v/>
      </c>
      <c r="G20" s="50">
        <f>-55+3*SIN(2*PI()*A20/19)</f>
        <v/>
      </c>
    </row>
    <row r="21">
      <c r="A21" s="50">
        <f>Subsurface_Live_Data!A21</f>
        <v/>
      </c>
      <c r="B21" s="50" t="n">
        <v>0</v>
      </c>
      <c r="C21" s="50">
        <f>Subsurface_Inputs!$C$57+1.5*SIN(2*PI()*A21/35)</f>
        <v/>
      </c>
      <c r="D21" s="50">
        <f>Subsurface_Live_Data!M21+Subsurface_Inputs!$C$56*SIN(2*PI()*A21/31)</f>
        <v/>
      </c>
      <c r="E21" s="50">
        <f>IF(Subsurface_Live_Data!H21&gt;=Subsurface_Inputs!$C$42,Subsurface_Live_Data!N21+Subsurface_Inputs!$C$56*SIN(2*PI()*A21/27),NA())</f>
        <v/>
      </c>
      <c r="F21" s="50">
        <f>Subsurface_Live_Data!O21+Subsurface_Inputs!$C$56*SIN(2*PI()*A21/47)</f>
        <v/>
      </c>
      <c r="G21" s="50">
        <f>-55+3*SIN(2*PI()*A21/19)</f>
        <v/>
      </c>
    </row>
    <row r="22">
      <c r="A22" s="50">
        <f>Subsurface_Live_Data!A22</f>
        <v/>
      </c>
      <c r="B22" s="50" t="n">
        <v>0</v>
      </c>
      <c r="C22" s="50">
        <f>Subsurface_Inputs!$C$57+1.5*SIN(2*PI()*A22/35)</f>
        <v/>
      </c>
      <c r="D22" s="50">
        <f>Subsurface_Live_Data!M22+Subsurface_Inputs!$C$56*SIN(2*PI()*A22/31)</f>
        <v/>
      </c>
      <c r="E22" s="50">
        <f>IF(Subsurface_Live_Data!H22&gt;=Subsurface_Inputs!$C$42,Subsurface_Live_Data!N22+Subsurface_Inputs!$C$56*SIN(2*PI()*A22/27),NA())</f>
        <v/>
      </c>
      <c r="F22" s="50">
        <f>Subsurface_Live_Data!O22+Subsurface_Inputs!$C$56*SIN(2*PI()*A22/47)</f>
        <v/>
      </c>
      <c r="G22" s="50">
        <f>-55+3*SIN(2*PI()*A22/19)</f>
        <v/>
      </c>
    </row>
    <row r="23">
      <c r="A23" s="50">
        <f>Subsurface_Live_Data!A23</f>
        <v/>
      </c>
      <c r="B23" s="50" t="n">
        <v>0</v>
      </c>
      <c r="C23" s="50">
        <f>Subsurface_Inputs!$C$57+1.5*SIN(2*PI()*A23/35)</f>
        <v/>
      </c>
      <c r="D23" s="50">
        <f>Subsurface_Live_Data!M23+Subsurface_Inputs!$C$56*SIN(2*PI()*A23/31)</f>
        <v/>
      </c>
      <c r="E23" s="50">
        <f>IF(Subsurface_Live_Data!H23&gt;=Subsurface_Inputs!$C$42,Subsurface_Live_Data!N23+Subsurface_Inputs!$C$56*SIN(2*PI()*A23/27),NA())</f>
        <v/>
      </c>
      <c r="F23" s="50">
        <f>Subsurface_Live_Data!O23+Subsurface_Inputs!$C$56*SIN(2*PI()*A23/47)</f>
        <v/>
      </c>
      <c r="G23" s="50">
        <f>-55+3*SIN(2*PI()*A23/19)</f>
        <v/>
      </c>
    </row>
    <row r="24">
      <c r="A24" s="50">
        <f>Subsurface_Live_Data!A24</f>
        <v/>
      </c>
      <c r="B24" s="50" t="n">
        <v>0</v>
      </c>
      <c r="C24" s="50">
        <f>Subsurface_Inputs!$C$57+1.5*SIN(2*PI()*A24/35)</f>
        <v/>
      </c>
      <c r="D24" s="50">
        <f>Subsurface_Live_Data!M24+Subsurface_Inputs!$C$56*SIN(2*PI()*A24/31)</f>
        <v/>
      </c>
      <c r="E24" s="50">
        <f>IF(Subsurface_Live_Data!H24&gt;=Subsurface_Inputs!$C$42,Subsurface_Live_Data!N24+Subsurface_Inputs!$C$56*SIN(2*PI()*A24/27),NA())</f>
        <v/>
      </c>
      <c r="F24" s="50">
        <f>Subsurface_Live_Data!O24+Subsurface_Inputs!$C$56*SIN(2*PI()*A24/47)</f>
        <v/>
      </c>
      <c r="G24" s="50">
        <f>-55+3*SIN(2*PI()*A24/19)</f>
        <v/>
      </c>
    </row>
    <row r="25">
      <c r="A25" s="50">
        <f>Subsurface_Live_Data!A25</f>
        <v/>
      </c>
      <c r="B25" s="50" t="n">
        <v>0</v>
      </c>
      <c r="C25" s="50">
        <f>Subsurface_Inputs!$C$57+1.5*SIN(2*PI()*A25/35)</f>
        <v/>
      </c>
      <c r="D25" s="50">
        <f>Subsurface_Live_Data!M25+Subsurface_Inputs!$C$56*SIN(2*PI()*A25/31)</f>
        <v/>
      </c>
      <c r="E25" s="50">
        <f>IF(Subsurface_Live_Data!H25&gt;=Subsurface_Inputs!$C$42,Subsurface_Live_Data!N25+Subsurface_Inputs!$C$56*SIN(2*PI()*A25/27),NA())</f>
        <v/>
      </c>
      <c r="F25" s="50">
        <f>Subsurface_Live_Data!O25+Subsurface_Inputs!$C$56*SIN(2*PI()*A25/47)</f>
        <v/>
      </c>
      <c r="G25" s="50">
        <f>-55+3*SIN(2*PI()*A25/19)</f>
        <v/>
      </c>
    </row>
    <row r="26">
      <c r="A26" s="50">
        <f>Subsurface_Live_Data!A26</f>
        <v/>
      </c>
      <c r="B26" s="50" t="n">
        <v>0</v>
      </c>
      <c r="C26" s="50">
        <f>Subsurface_Inputs!$C$57+1.5*SIN(2*PI()*A26/35)</f>
        <v/>
      </c>
      <c r="D26" s="50">
        <f>Subsurface_Live_Data!M26+Subsurface_Inputs!$C$56*SIN(2*PI()*A26/31)</f>
        <v/>
      </c>
      <c r="E26" s="50">
        <f>IF(Subsurface_Live_Data!H26&gt;=Subsurface_Inputs!$C$42,Subsurface_Live_Data!N26+Subsurface_Inputs!$C$56*SIN(2*PI()*A26/27),NA())</f>
        <v/>
      </c>
      <c r="F26" s="50">
        <f>Subsurface_Live_Data!O26+Subsurface_Inputs!$C$56*SIN(2*PI()*A26/47)</f>
        <v/>
      </c>
      <c r="G26" s="50">
        <f>-55+3*SIN(2*PI()*A26/19)</f>
        <v/>
      </c>
    </row>
    <row r="27">
      <c r="A27" s="50">
        <f>Subsurface_Live_Data!A27</f>
        <v/>
      </c>
      <c r="B27" s="50" t="n">
        <v>0</v>
      </c>
      <c r="C27" s="50">
        <f>Subsurface_Inputs!$C$57+1.5*SIN(2*PI()*A27/35)</f>
        <v/>
      </c>
      <c r="D27" s="50">
        <f>Subsurface_Live_Data!M27+Subsurface_Inputs!$C$56*SIN(2*PI()*A27/31)</f>
        <v/>
      </c>
      <c r="E27" s="50">
        <f>IF(Subsurface_Live_Data!H27&gt;=Subsurface_Inputs!$C$42,Subsurface_Live_Data!N27+Subsurface_Inputs!$C$56*SIN(2*PI()*A27/27),NA())</f>
        <v/>
      </c>
      <c r="F27" s="50">
        <f>Subsurface_Live_Data!O27+Subsurface_Inputs!$C$56*SIN(2*PI()*A27/47)</f>
        <v/>
      </c>
      <c r="G27" s="50">
        <f>-55+3*SIN(2*PI()*A27/19)</f>
        <v/>
      </c>
    </row>
    <row r="28">
      <c r="A28" s="50">
        <f>Subsurface_Live_Data!A28</f>
        <v/>
      </c>
      <c r="B28" s="50" t="n">
        <v>0</v>
      </c>
      <c r="C28" s="50">
        <f>Subsurface_Inputs!$C$57+1.5*SIN(2*PI()*A28/35)</f>
        <v/>
      </c>
      <c r="D28" s="50">
        <f>Subsurface_Live_Data!M28+Subsurface_Inputs!$C$56*SIN(2*PI()*A28/31)</f>
        <v/>
      </c>
      <c r="E28" s="50">
        <f>IF(Subsurface_Live_Data!H28&gt;=Subsurface_Inputs!$C$42,Subsurface_Live_Data!N28+Subsurface_Inputs!$C$56*SIN(2*PI()*A28/27),NA())</f>
        <v/>
      </c>
      <c r="F28" s="50">
        <f>Subsurface_Live_Data!O28+Subsurface_Inputs!$C$56*SIN(2*PI()*A28/47)</f>
        <v/>
      </c>
      <c r="G28" s="50">
        <f>-55+3*SIN(2*PI()*A28/19)</f>
        <v/>
      </c>
    </row>
    <row r="29">
      <c r="A29" s="50">
        <f>Subsurface_Live_Data!A29</f>
        <v/>
      </c>
      <c r="B29" s="50" t="n">
        <v>0</v>
      </c>
      <c r="C29" s="50">
        <f>Subsurface_Inputs!$C$57+1.5*SIN(2*PI()*A29/35)</f>
        <v/>
      </c>
      <c r="D29" s="50">
        <f>Subsurface_Live_Data!M29+Subsurface_Inputs!$C$56*SIN(2*PI()*A29/31)</f>
        <v/>
      </c>
      <c r="E29" s="50">
        <f>IF(Subsurface_Live_Data!H29&gt;=Subsurface_Inputs!$C$42,Subsurface_Live_Data!N29+Subsurface_Inputs!$C$56*SIN(2*PI()*A29/27),NA())</f>
        <v/>
      </c>
      <c r="F29" s="50">
        <f>Subsurface_Live_Data!O29+Subsurface_Inputs!$C$56*SIN(2*PI()*A29/47)</f>
        <v/>
      </c>
      <c r="G29" s="50">
        <f>-55+3*SIN(2*PI()*A29/19)</f>
        <v/>
      </c>
    </row>
    <row r="30">
      <c r="A30" s="50">
        <f>Subsurface_Live_Data!A30</f>
        <v/>
      </c>
      <c r="B30" s="50" t="n">
        <v>0</v>
      </c>
      <c r="C30" s="50">
        <f>Subsurface_Inputs!$C$57+1.5*SIN(2*PI()*A30/35)</f>
        <v/>
      </c>
      <c r="D30" s="50">
        <f>Subsurface_Live_Data!M30+Subsurface_Inputs!$C$56*SIN(2*PI()*A30/31)</f>
        <v/>
      </c>
      <c r="E30" s="50">
        <f>IF(Subsurface_Live_Data!H30&gt;=Subsurface_Inputs!$C$42,Subsurface_Live_Data!N30+Subsurface_Inputs!$C$56*SIN(2*PI()*A30/27),NA())</f>
        <v/>
      </c>
      <c r="F30" s="50">
        <f>Subsurface_Live_Data!O30+Subsurface_Inputs!$C$56*SIN(2*PI()*A30/47)</f>
        <v/>
      </c>
      <c r="G30" s="50">
        <f>-55+3*SIN(2*PI()*A30/19)</f>
        <v/>
      </c>
    </row>
    <row r="31">
      <c r="A31" s="50">
        <f>Subsurface_Live_Data!A31</f>
        <v/>
      </c>
      <c r="B31" s="50" t="n">
        <v>0</v>
      </c>
      <c r="C31" s="50">
        <f>Subsurface_Inputs!$C$57+1.5*SIN(2*PI()*A31/35)</f>
        <v/>
      </c>
      <c r="D31" s="50">
        <f>Subsurface_Live_Data!M31+Subsurface_Inputs!$C$56*SIN(2*PI()*A31/31)</f>
        <v/>
      </c>
      <c r="E31" s="50">
        <f>IF(Subsurface_Live_Data!H31&gt;=Subsurface_Inputs!$C$42,Subsurface_Live_Data!N31+Subsurface_Inputs!$C$56*SIN(2*PI()*A31/27),NA())</f>
        <v/>
      </c>
      <c r="F31" s="50">
        <f>Subsurface_Live_Data!O31+Subsurface_Inputs!$C$56*SIN(2*PI()*A31/47)</f>
        <v/>
      </c>
      <c r="G31" s="50">
        <f>-55+3*SIN(2*PI()*A31/19)</f>
        <v/>
      </c>
    </row>
    <row r="32">
      <c r="A32" s="50">
        <f>Subsurface_Live_Data!A32</f>
        <v/>
      </c>
      <c r="B32" s="50" t="n">
        <v>0</v>
      </c>
      <c r="C32" s="50">
        <f>Subsurface_Inputs!$C$57+1.5*SIN(2*PI()*A32/35)</f>
        <v/>
      </c>
      <c r="D32" s="50">
        <f>Subsurface_Live_Data!M32+Subsurface_Inputs!$C$56*SIN(2*PI()*A32/31)</f>
        <v/>
      </c>
      <c r="E32" s="50">
        <f>IF(Subsurface_Live_Data!H32&gt;=Subsurface_Inputs!$C$42,Subsurface_Live_Data!N32+Subsurface_Inputs!$C$56*SIN(2*PI()*A32/27),NA())</f>
        <v/>
      </c>
      <c r="F32" s="50">
        <f>Subsurface_Live_Data!O32+Subsurface_Inputs!$C$56*SIN(2*PI()*A32/47)</f>
        <v/>
      </c>
      <c r="G32" s="50">
        <f>-55+3*SIN(2*PI()*A32/19)</f>
        <v/>
      </c>
    </row>
    <row r="33">
      <c r="A33" s="50">
        <f>Subsurface_Live_Data!A33</f>
        <v/>
      </c>
      <c r="B33" s="50" t="n">
        <v>0</v>
      </c>
      <c r="C33" s="50">
        <f>Subsurface_Inputs!$C$57+1.5*SIN(2*PI()*A33/35)</f>
        <v/>
      </c>
      <c r="D33" s="50">
        <f>Subsurface_Live_Data!M33+Subsurface_Inputs!$C$56*SIN(2*PI()*A33/31)</f>
        <v/>
      </c>
      <c r="E33" s="50">
        <f>IF(Subsurface_Live_Data!H33&gt;=Subsurface_Inputs!$C$42,Subsurface_Live_Data!N33+Subsurface_Inputs!$C$56*SIN(2*PI()*A33/27),NA())</f>
        <v/>
      </c>
      <c r="F33" s="50">
        <f>Subsurface_Live_Data!O33+Subsurface_Inputs!$C$56*SIN(2*PI()*A33/47)</f>
        <v/>
      </c>
      <c r="G33" s="50">
        <f>-55+3*SIN(2*PI()*A33/19)</f>
        <v/>
      </c>
    </row>
    <row r="34">
      <c r="A34" s="50">
        <f>Subsurface_Live_Data!A34</f>
        <v/>
      </c>
      <c r="B34" s="50" t="n">
        <v>0</v>
      </c>
      <c r="C34" s="50">
        <f>Subsurface_Inputs!$C$57+1.5*SIN(2*PI()*A34/35)</f>
        <v/>
      </c>
      <c r="D34" s="50">
        <f>Subsurface_Live_Data!M34+Subsurface_Inputs!$C$56*SIN(2*PI()*A34/31)</f>
        <v/>
      </c>
      <c r="E34" s="50">
        <f>IF(Subsurface_Live_Data!H34&gt;=Subsurface_Inputs!$C$42,Subsurface_Live_Data!N34+Subsurface_Inputs!$C$56*SIN(2*PI()*A34/27),NA())</f>
        <v/>
      </c>
      <c r="F34" s="50">
        <f>Subsurface_Live_Data!O34+Subsurface_Inputs!$C$56*SIN(2*PI()*A34/47)</f>
        <v/>
      </c>
      <c r="G34" s="50">
        <f>-55+3*SIN(2*PI()*A34/19)</f>
        <v/>
      </c>
    </row>
    <row r="35">
      <c r="A35" s="50">
        <f>Subsurface_Live_Data!A35</f>
        <v/>
      </c>
      <c r="B35" s="50" t="n">
        <v>0</v>
      </c>
      <c r="C35" s="50">
        <f>Subsurface_Inputs!$C$57+1.5*SIN(2*PI()*A35/35)</f>
        <v/>
      </c>
      <c r="D35" s="50">
        <f>Subsurface_Live_Data!M35+Subsurface_Inputs!$C$56*SIN(2*PI()*A35/31)</f>
        <v/>
      </c>
      <c r="E35" s="50">
        <f>IF(Subsurface_Live_Data!H35&gt;=Subsurface_Inputs!$C$42,Subsurface_Live_Data!N35+Subsurface_Inputs!$C$56*SIN(2*PI()*A35/27),NA())</f>
        <v/>
      </c>
      <c r="F35" s="50">
        <f>Subsurface_Live_Data!O35+Subsurface_Inputs!$C$56*SIN(2*PI()*A35/47)</f>
        <v/>
      </c>
      <c r="G35" s="50">
        <f>-55+3*SIN(2*PI()*A35/19)</f>
        <v/>
      </c>
    </row>
    <row r="36">
      <c r="A36" s="50">
        <f>Subsurface_Live_Data!A36</f>
        <v/>
      </c>
      <c r="B36" s="50" t="n">
        <v>0</v>
      </c>
      <c r="C36" s="50">
        <f>Subsurface_Inputs!$C$57+1.5*SIN(2*PI()*A36/35)</f>
        <v/>
      </c>
      <c r="D36" s="50">
        <f>Subsurface_Live_Data!M36+Subsurface_Inputs!$C$56*SIN(2*PI()*A36/31)</f>
        <v/>
      </c>
      <c r="E36" s="50">
        <f>IF(Subsurface_Live_Data!H36&gt;=Subsurface_Inputs!$C$42,Subsurface_Live_Data!N36+Subsurface_Inputs!$C$56*SIN(2*PI()*A36/27),NA())</f>
        <v/>
      </c>
      <c r="F36" s="50">
        <f>Subsurface_Live_Data!O36+Subsurface_Inputs!$C$56*SIN(2*PI()*A36/47)</f>
        <v/>
      </c>
      <c r="G36" s="50">
        <f>-55+3*SIN(2*PI()*A36/19)</f>
        <v/>
      </c>
    </row>
    <row r="37">
      <c r="A37" s="50">
        <f>Subsurface_Live_Data!A37</f>
        <v/>
      </c>
      <c r="B37" s="50" t="n">
        <v>0</v>
      </c>
      <c r="C37" s="50">
        <f>Subsurface_Inputs!$C$57+1.5*SIN(2*PI()*A37/35)</f>
        <v/>
      </c>
      <c r="D37" s="50">
        <f>Subsurface_Live_Data!M37+Subsurface_Inputs!$C$56*SIN(2*PI()*A37/31)</f>
        <v/>
      </c>
      <c r="E37" s="50">
        <f>IF(Subsurface_Live_Data!H37&gt;=Subsurface_Inputs!$C$42,Subsurface_Live_Data!N37+Subsurface_Inputs!$C$56*SIN(2*PI()*A37/27),NA())</f>
        <v/>
      </c>
      <c r="F37" s="50">
        <f>Subsurface_Live_Data!O37+Subsurface_Inputs!$C$56*SIN(2*PI()*A37/47)</f>
        <v/>
      </c>
      <c r="G37" s="50">
        <f>-55+3*SIN(2*PI()*A37/19)</f>
        <v/>
      </c>
    </row>
    <row r="38">
      <c r="A38" s="50">
        <f>Subsurface_Live_Data!A38</f>
        <v/>
      </c>
      <c r="B38" s="50" t="n">
        <v>0</v>
      </c>
      <c r="C38" s="50">
        <f>Subsurface_Inputs!$C$57+1.5*SIN(2*PI()*A38/35)</f>
        <v/>
      </c>
      <c r="D38" s="50">
        <f>Subsurface_Live_Data!M38+Subsurface_Inputs!$C$56*SIN(2*PI()*A38/31)</f>
        <v/>
      </c>
      <c r="E38" s="50">
        <f>IF(Subsurface_Live_Data!H38&gt;=Subsurface_Inputs!$C$42,Subsurface_Live_Data!N38+Subsurface_Inputs!$C$56*SIN(2*PI()*A38/27),NA())</f>
        <v/>
      </c>
      <c r="F38" s="50">
        <f>Subsurface_Live_Data!O38+Subsurface_Inputs!$C$56*SIN(2*PI()*A38/47)</f>
        <v/>
      </c>
      <c r="G38" s="50">
        <f>-55+3*SIN(2*PI()*A38/19)</f>
        <v/>
      </c>
    </row>
    <row r="39">
      <c r="A39" s="50">
        <f>Subsurface_Live_Data!A39</f>
        <v/>
      </c>
      <c r="B39" s="50" t="n">
        <v>0</v>
      </c>
      <c r="C39" s="50">
        <f>Subsurface_Inputs!$C$57+1.5*SIN(2*PI()*A39/35)</f>
        <v/>
      </c>
      <c r="D39" s="50">
        <f>Subsurface_Live_Data!M39+Subsurface_Inputs!$C$56*SIN(2*PI()*A39/31)</f>
        <v/>
      </c>
      <c r="E39" s="50">
        <f>IF(Subsurface_Live_Data!H39&gt;=Subsurface_Inputs!$C$42,Subsurface_Live_Data!N39+Subsurface_Inputs!$C$56*SIN(2*PI()*A39/27),NA())</f>
        <v/>
      </c>
      <c r="F39" s="50">
        <f>Subsurface_Live_Data!O39+Subsurface_Inputs!$C$56*SIN(2*PI()*A39/47)</f>
        <v/>
      </c>
      <c r="G39" s="50">
        <f>-55+3*SIN(2*PI()*A39/19)</f>
        <v/>
      </c>
    </row>
    <row r="40">
      <c r="A40" s="50">
        <f>Subsurface_Live_Data!A40</f>
        <v/>
      </c>
      <c r="B40" s="50" t="n">
        <v>0</v>
      </c>
      <c r="C40" s="50">
        <f>Subsurface_Inputs!$C$57+1.5*SIN(2*PI()*A40/35)</f>
        <v/>
      </c>
      <c r="D40" s="50">
        <f>Subsurface_Live_Data!M40+Subsurface_Inputs!$C$56*SIN(2*PI()*A40/31)</f>
        <v/>
      </c>
      <c r="E40" s="50">
        <f>IF(Subsurface_Live_Data!H40&gt;=Subsurface_Inputs!$C$42,Subsurface_Live_Data!N40+Subsurface_Inputs!$C$56*SIN(2*PI()*A40/27),NA())</f>
        <v/>
      </c>
      <c r="F40" s="50">
        <f>Subsurface_Live_Data!O40+Subsurface_Inputs!$C$56*SIN(2*PI()*A40/47)</f>
        <v/>
      </c>
      <c r="G40" s="50">
        <f>-55+3*SIN(2*PI()*A40/19)</f>
        <v/>
      </c>
    </row>
    <row r="41">
      <c r="A41" s="50">
        <f>Subsurface_Live_Data!A41</f>
        <v/>
      </c>
      <c r="B41" s="50" t="n">
        <v>0</v>
      </c>
      <c r="C41" s="50">
        <f>Subsurface_Inputs!$C$57+1.5*SIN(2*PI()*A41/35)</f>
        <v/>
      </c>
      <c r="D41" s="50">
        <f>Subsurface_Live_Data!M41+Subsurface_Inputs!$C$56*SIN(2*PI()*A41/31)</f>
        <v/>
      </c>
      <c r="E41" s="50">
        <f>IF(Subsurface_Live_Data!H41&gt;=Subsurface_Inputs!$C$42,Subsurface_Live_Data!N41+Subsurface_Inputs!$C$56*SIN(2*PI()*A41/27),NA())</f>
        <v/>
      </c>
      <c r="F41" s="50">
        <f>Subsurface_Live_Data!O41+Subsurface_Inputs!$C$56*SIN(2*PI()*A41/47)</f>
        <v/>
      </c>
      <c r="G41" s="50">
        <f>-55+3*SIN(2*PI()*A41/19)</f>
        <v/>
      </c>
    </row>
    <row r="42">
      <c r="A42" s="50">
        <f>Subsurface_Live_Data!A42</f>
        <v/>
      </c>
      <c r="B42" s="50" t="n">
        <v>0</v>
      </c>
      <c r="C42" s="50">
        <f>Subsurface_Inputs!$C$57+1.5*SIN(2*PI()*A42/35)</f>
        <v/>
      </c>
      <c r="D42" s="50">
        <f>Subsurface_Live_Data!M42+Subsurface_Inputs!$C$56*SIN(2*PI()*A42/31)</f>
        <v/>
      </c>
      <c r="E42" s="50">
        <f>IF(Subsurface_Live_Data!H42&gt;=Subsurface_Inputs!$C$42,Subsurface_Live_Data!N42+Subsurface_Inputs!$C$56*SIN(2*PI()*A42/27),NA())</f>
        <v/>
      </c>
      <c r="F42" s="50">
        <f>Subsurface_Live_Data!O42+Subsurface_Inputs!$C$56*SIN(2*PI()*A42/47)</f>
        <v/>
      </c>
      <c r="G42" s="50">
        <f>-55+3*SIN(2*PI()*A42/19)</f>
        <v/>
      </c>
    </row>
    <row r="43">
      <c r="A43" s="50">
        <f>Subsurface_Live_Data!A43</f>
        <v/>
      </c>
      <c r="B43" s="50" t="n">
        <v>0</v>
      </c>
      <c r="C43" s="50">
        <f>Subsurface_Inputs!$C$57+1.5*SIN(2*PI()*A43/35)</f>
        <v/>
      </c>
      <c r="D43" s="50">
        <f>Subsurface_Live_Data!M43+Subsurface_Inputs!$C$56*SIN(2*PI()*A43/31)</f>
        <v/>
      </c>
      <c r="E43" s="50">
        <f>IF(Subsurface_Live_Data!H43&gt;=Subsurface_Inputs!$C$42,Subsurface_Live_Data!N43+Subsurface_Inputs!$C$56*SIN(2*PI()*A43/27),NA())</f>
        <v/>
      </c>
      <c r="F43" s="50">
        <f>Subsurface_Live_Data!O43+Subsurface_Inputs!$C$56*SIN(2*PI()*A43/47)</f>
        <v/>
      </c>
      <c r="G43" s="50">
        <f>-55+3*SIN(2*PI()*A43/19)</f>
        <v/>
      </c>
    </row>
    <row r="44">
      <c r="A44" s="50">
        <f>Subsurface_Live_Data!A44</f>
        <v/>
      </c>
      <c r="B44" s="50" t="n">
        <v>0</v>
      </c>
      <c r="C44" s="50">
        <f>Subsurface_Inputs!$C$57+1.5*SIN(2*PI()*A44/35)</f>
        <v/>
      </c>
      <c r="D44" s="50">
        <f>Subsurface_Live_Data!M44+Subsurface_Inputs!$C$56*SIN(2*PI()*A44/31)</f>
        <v/>
      </c>
      <c r="E44" s="50">
        <f>IF(Subsurface_Live_Data!H44&gt;=Subsurface_Inputs!$C$42,Subsurface_Live_Data!N44+Subsurface_Inputs!$C$56*SIN(2*PI()*A44/27),NA())</f>
        <v/>
      </c>
      <c r="F44" s="50">
        <f>Subsurface_Live_Data!O44+Subsurface_Inputs!$C$56*SIN(2*PI()*A44/47)</f>
        <v/>
      </c>
      <c r="G44" s="50">
        <f>-55+3*SIN(2*PI()*A44/19)</f>
        <v/>
      </c>
    </row>
    <row r="45">
      <c r="A45" s="50">
        <f>Subsurface_Live_Data!A45</f>
        <v/>
      </c>
      <c r="B45" s="50" t="n">
        <v>0</v>
      </c>
      <c r="C45" s="50">
        <f>Subsurface_Inputs!$C$57+1.5*SIN(2*PI()*A45/35)</f>
        <v/>
      </c>
      <c r="D45" s="50">
        <f>Subsurface_Live_Data!M45+Subsurface_Inputs!$C$56*SIN(2*PI()*A45/31)</f>
        <v/>
      </c>
      <c r="E45" s="50">
        <f>IF(Subsurface_Live_Data!H45&gt;=Subsurface_Inputs!$C$42,Subsurface_Live_Data!N45+Subsurface_Inputs!$C$56*SIN(2*PI()*A45/27),NA())</f>
        <v/>
      </c>
      <c r="F45" s="50">
        <f>Subsurface_Live_Data!O45+Subsurface_Inputs!$C$56*SIN(2*PI()*A45/47)</f>
        <v/>
      </c>
      <c r="G45" s="50">
        <f>-55+3*SIN(2*PI()*A45/19)</f>
        <v/>
      </c>
    </row>
    <row r="46">
      <c r="A46" s="50">
        <f>Subsurface_Live_Data!A46</f>
        <v/>
      </c>
      <c r="B46" s="50" t="n">
        <v>0</v>
      </c>
      <c r="C46" s="50">
        <f>Subsurface_Inputs!$C$57+1.5*SIN(2*PI()*A46/35)</f>
        <v/>
      </c>
      <c r="D46" s="50">
        <f>Subsurface_Live_Data!M46+Subsurface_Inputs!$C$56*SIN(2*PI()*A46/31)</f>
        <v/>
      </c>
      <c r="E46" s="50">
        <f>IF(Subsurface_Live_Data!H46&gt;=Subsurface_Inputs!$C$42,Subsurface_Live_Data!N46+Subsurface_Inputs!$C$56*SIN(2*PI()*A46/27),NA())</f>
        <v/>
      </c>
      <c r="F46" s="50">
        <f>Subsurface_Live_Data!O46+Subsurface_Inputs!$C$56*SIN(2*PI()*A46/47)</f>
        <v/>
      </c>
      <c r="G46" s="50">
        <f>-55+3*SIN(2*PI()*A46/19)</f>
        <v/>
      </c>
    </row>
    <row r="47">
      <c r="A47" s="50">
        <f>Subsurface_Live_Data!A47</f>
        <v/>
      </c>
      <c r="B47" s="50" t="n">
        <v>0</v>
      </c>
      <c r="C47" s="50">
        <f>Subsurface_Inputs!$C$57+1.5*SIN(2*PI()*A47/35)</f>
        <v/>
      </c>
      <c r="D47" s="50">
        <f>Subsurface_Live_Data!M47+Subsurface_Inputs!$C$56*SIN(2*PI()*A47/31)</f>
        <v/>
      </c>
      <c r="E47" s="50">
        <f>IF(Subsurface_Live_Data!H47&gt;=Subsurface_Inputs!$C$42,Subsurface_Live_Data!N47+Subsurface_Inputs!$C$56*SIN(2*PI()*A47/27),NA())</f>
        <v/>
      </c>
      <c r="F47" s="50">
        <f>Subsurface_Live_Data!O47+Subsurface_Inputs!$C$56*SIN(2*PI()*A47/47)</f>
        <v/>
      </c>
      <c r="G47" s="50">
        <f>-55+3*SIN(2*PI()*A47/19)</f>
        <v/>
      </c>
    </row>
    <row r="48">
      <c r="A48" s="50">
        <f>Subsurface_Live_Data!A48</f>
        <v/>
      </c>
      <c r="B48" s="50" t="n">
        <v>0</v>
      </c>
      <c r="C48" s="50">
        <f>Subsurface_Inputs!$C$57+1.5*SIN(2*PI()*A48/35)</f>
        <v/>
      </c>
      <c r="D48" s="50">
        <f>Subsurface_Live_Data!M48+Subsurface_Inputs!$C$56*SIN(2*PI()*A48/31)</f>
        <v/>
      </c>
      <c r="E48" s="50">
        <f>IF(Subsurface_Live_Data!H48&gt;=Subsurface_Inputs!$C$42,Subsurface_Live_Data!N48+Subsurface_Inputs!$C$56*SIN(2*PI()*A48/27),NA())</f>
        <v/>
      </c>
      <c r="F48" s="50">
        <f>Subsurface_Live_Data!O48+Subsurface_Inputs!$C$56*SIN(2*PI()*A48/47)</f>
        <v/>
      </c>
      <c r="G48" s="50">
        <f>-55+3*SIN(2*PI()*A48/19)</f>
        <v/>
      </c>
    </row>
    <row r="49">
      <c r="A49" s="50">
        <f>Subsurface_Live_Data!A49</f>
        <v/>
      </c>
      <c r="B49" s="50" t="n">
        <v>0</v>
      </c>
      <c r="C49" s="50">
        <f>Subsurface_Inputs!$C$57+1.5*SIN(2*PI()*A49/35)</f>
        <v/>
      </c>
      <c r="D49" s="50">
        <f>Subsurface_Live_Data!M49+Subsurface_Inputs!$C$56*SIN(2*PI()*A49/31)</f>
        <v/>
      </c>
      <c r="E49" s="50">
        <f>IF(Subsurface_Live_Data!H49&gt;=Subsurface_Inputs!$C$42,Subsurface_Live_Data!N49+Subsurface_Inputs!$C$56*SIN(2*PI()*A49/27),NA())</f>
        <v/>
      </c>
      <c r="F49" s="50">
        <f>Subsurface_Live_Data!O49+Subsurface_Inputs!$C$56*SIN(2*PI()*A49/47)</f>
        <v/>
      </c>
      <c r="G49" s="50">
        <f>-55+3*SIN(2*PI()*A49/19)</f>
        <v/>
      </c>
    </row>
    <row r="50">
      <c r="A50" s="50">
        <f>Subsurface_Live_Data!A50</f>
        <v/>
      </c>
      <c r="B50" s="50" t="n">
        <v>0</v>
      </c>
      <c r="C50" s="50">
        <f>Subsurface_Inputs!$C$57+1.5*SIN(2*PI()*A50/35)</f>
        <v/>
      </c>
      <c r="D50" s="50">
        <f>Subsurface_Live_Data!M50+Subsurface_Inputs!$C$56*SIN(2*PI()*A50/31)</f>
        <v/>
      </c>
      <c r="E50" s="50">
        <f>IF(Subsurface_Live_Data!H50&gt;=Subsurface_Inputs!$C$42,Subsurface_Live_Data!N50+Subsurface_Inputs!$C$56*SIN(2*PI()*A50/27),NA())</f>
        <v/>
      </c>
      <c r="F50" s="50">
        <f>Subsurface_Live_Data!O50+Subsurface_Inputs!$C$56*SIN(2*PI()*A50/47)</f>
        <v/>
      </c>
      <c r="G50" s="50">
        <f>-55+3*SIN(2*PI()*A50/19)</f>
        <v/>
      </c>
    </row>
    <row r="51">
      <c r="A51" s="50">
        <f>Subsurface_Live_Data!A51</f>
        <v/>
      </c>
      <c r="B51" s="50" t="n">
        <v>0</v>
      </c>
      <c r="C51" s="50">
        <f>Subsurface_Inputs!$C$57+1.5*SIN(2*PI()*A51/35)</f>
        <v/>
      </c>
      <c r="D51" s="50">
        <f>Subsurface_Live_Data!M51+Subsurface_Inputs!$C$56*SIN(2*PI()*A51/31)</f>
        <v/>
      </c>
      <c r="E51" s="50">
        <f>IF(Subsurface_Live_Data!H51&gt;=Subsurface_Inputs!$C$42,Subsurface_Live_Data!N51+Subsurface_Inputs!$C$56*SIN(2*PI()*A51/27),NA())</f>
        <v/>
      </c>
      <c r="F51" s="50">
        <f>Subsurface_Live_Data!O51+Subsurface_Inputs!$C$56*SIN(2*PI()*A51/47)</f>
        <v/>
      </c>
      <c r="G51" s="50">
        <f>-55+3*SIN(2*PI()*A51/19)</f>
        <v/>
      </c>
    </row>
    <row r="52">
      <c r="A52" s="50">
        <f>Subsurface_Live_Data!A52</f>
        <v/>
      </c>
      <c r="B52" s="50" t="n">
        <v>0</v>
      </c>
      <c r="C52" s="50">
        <f>Subsurface_Inputs!$C$57+1.5*SIN(2*PI()*A52/35)</f>
        <v/>
      </c>
      <c r="D52" s="50">
        <f>Subsurface_Live_Data!M52+Subsurface_Inputs!$C$56*SIN(2*PI()*A52/31)</f>
        <v/>
      </c>
      <c r="E52" s="50">
        <f>IF(Subsurface_Live_Data!H52&gt;=Subsurface_Inputs!$C$42,Subsurface_Live_Data!N52+Subsurface_Inputs!$C$56*SIN(2*PI()*A52/27),NA())</f>
        <v/>
      </c>
      <c r="F52" s="50">
        <f>Subsurface_Live_Data!O52+Subsurface_Inputs!$C$56*SIN(2*PI()*A52/47)</f>
        <v/>
      </c>
      <c r="G52" s="50">
        <f>-55+3*SIN(2*PI()*A52/19)</f>
        <v/>
      </c>
    </row>
    <row r="53">
      <c r="A53" s="50">
        <f>Subsurface_Live_Data!A53</f>
        <v/>
      </c>
      <c r="B53" s="50" t="n">
        <v>0</v>
      </c>
      <c r="C53" s="50">
        <f>Subsurface_Inputs!$C$57+1.5*SIN(2*PI()*A53/35)</f>
        <v/>
      </c>
      <c r="D53" s="50">
        <f>Subsurface_Live_Data!M53+Subsurface_Inputs!$C$56*SIN(2*PI()*A53/31)</f>
        <v/>
      </c>
      <c r="E53" s="50">
        <f>IF(Subsurface_Live_Data!H53&gt;=Subsurface_Inputs!$C$42,Subsurface_Live_Data!N53+Subsurface_Inputs!$C$56*SIN(2*PI()*A53/27),NA())</f>
        <v/>
      </c>
      <c r="F53" s="50">
        <f>Subsurface_Live_Data!O53+Subsurface_Inputs!$C$56*SIN(2*PI()*A53/47)</f>
        <v/>
      </c>
      <c r="G53" s="50">
        <f>-55+3*SIN(2*PI()*A53/19)</f>
        <v/>
      </c>
    </row>
    <row r="54">
      <c r="A54" s="50">
        <f>Subsurface_Live_Data!A54</f>
        <v/>
      </c>
      <c r="B54" s="50" t="n">
        <v>0</v>
      </c>
      <c r="C54" s="50">
        <f>Subsurface_Inputs!$C$57+1.5*SIN(2*PI()*A54/35)</f>
        <v/>
      </c>
      <c r="D54" s="50">
        <f>Subsurface_Live_Data!M54+Subsurface_Inputs!$C$56*SIN(2*PI()*A54/31)</f>
        <v/>
      </c>
      <c r="E54" s="50">
        <f>IF(Subsurface_Live_Data!H54&gt;=Subsurface_Inputs!$C$42,Subsurface_Live_Data!N54+Subsurface_Inputs!$C$56*SIN(2*PI()*A54/27),NA())</f>
        <v/>
      </c>
      <c r="F54" s="50">
        <f>Subsurface_Live_Data!O54+Subsurface_Inputs!$C$56*SIN(2*PI()*A54/47)</f>
        <v/>
      </c>
      <c r="G54" s="50">
        <f>-55+3*SIN(2*PI()*A54/19)</f>
        <v/>
      </c>
    </row>
    <row r="55">
      <c r="A55" s="50">
        <f>Subsurface_Live_Data!A55</f>
        <v/>
      </c>
      <c r="B55" s="50" t="n">
        <v>0</v>
      </c>
      <c r="C55" s="50">
        <f>Subsurface_Inputs!$C$57+1.5*SIN(2*PI()*A55/35)</f>
        <v/>
      </c>
      <c r="D55" s="50">
        <f>Subsurface_Live_Data!M55+Subsurface_Inputs!$C$56*SIN(2*PI()*A55/31)</f>
        <v/>
      </c>
      <c r="E55" s="50">
        <f>IF(Subsurface_Live_Data!H55&gt;=Subsurface_Inputs!$C$42,Subsurface_Live_Data!N55+Subsurface_Inputs!$C$56*SIN(2*PI()*A55/27),NA())</f>
        <v/>
      </c>
      <c r="F55" s="50">
        <f>Subsurface_Live_Data!O55+Subsurface_Inputs!$C$56*SIN(2*PI()*A55/47)</f>
        <v/>
      </c>
      <c r="G55" s="50">
        <f>-55+3*SIN(2*PI()*A55/19)</f>
        <v/>
      </c>
    </row>
    <row r="56">
      <c r="A56" s="50">
        <f>Subsurface_Live_Data!A56</f>
        <v/>
      </c>
      <c r="B56" s="50" t="n">
        <v>0</v>
      </c>
      <c r="C56" s="50">
        <f>Subsurface_Inputs!$C$57+1.5*SIN(2*PI()*A56/35)</f>
        <v/>
      </c>
      <c r="D56" s="50">
        <f>Subsurface_Live_Data!M56+Subsurface_Inputs!$C$56*SIN(2*PI()*A56/31)</f>
        <v/>
      </c>
      <c r="E56" s="50">
        <f>IF(Subsurface_Live_Data!H56&gt;=Subsurface_Inputs!$C$42,Subsurface_Live_Data!N56+Subsurface_Inputs!$C$56*SIN(2*PI()*A56/27),NA())</f>
        <v/>
      </c>
      <c r="F56" s="50">
        <f>Subsurface_Live_Data!O56+Subsurface_Inputs!$C$56*SIN(2*PI()*A56/47)</f>
        <v/>
      </c>
      <c r="G56" s="50">
        <f>-55+3*SIN(2*PI()*A56/19)</f>
        <v/>
      </c>
    </row>
    <row r="57">
      <c r="A57" s="50">
        <f>Subsurface_Live_Data!A57</f>
        <v/>
      </c>
      <c r="B57" s="50" t="n">
        <v>0</v>
      </c>
      <c r="C57" s="50">
        <f>Subsurface_Inputs!$C$57+1.5*SIN(2*PI()*A57/35)</f>
        <v/>
      </c>
      <c r="D57" s="50">
        <f>Subsurface_Live_Data!M57+Subsurface_Inputs!$C$56*SIN(2*PI()*A57/31)</f>
        <v/>
      </c>
      <c r="E57" s="50">
        <f>IF(Subsurface_Live_Data!H57&gt;=Subsurface_Inputs!$C$42,Subsurface_Live_Data!N57+Subsurface_Inputs!$C$56*SIN(2*PI()*A57/27),NA())</f>
        <v/>
      </c>
      <c r="F57" s="50">
        <f>Subsurface_Live_Data!O57+Subsurface_Inputs!$C$56*SIN(2*PI()*A57/47)</f>
        <v/>
      </c>
      <c r="G57" s="50">
        <f>-55+3*SIN(2*PI()*A57/19)</f>
        <v/>
      </c>
    </row>
    <row r="58">
      <c r="A58" s="50">
        <f>Subsurface_Live_Data!A58</f>
        <v/>
      </c>
      <c r="B58" s="50" t="n">
        <v>0</v>
      </c>
      <c r="C58" s="50">
        <f>Subsurface_Inputs!$C$57+1.5*SIN(2*PI()*A58/35)</f>
        <v/>
      </c>
      <c r="D58" s="50">
        <f>Subsurface_Live_Data!M58+Subsurface_Inputs!$C$56*SIN(2*PI()*A58/31)</f>
        <v/>
      </c>
      <c r="E58" s="50">
        <f>IF(Subsurface_Live_Data!H58&gt;=Subsurface_Inputs!$C$42,Subsurface_Live_Data!N58+Subsurface_Inputs!$C$56*SIN(2*PI()*A58/27),NA())</f>
        <v/>
      </c>
      <c r="F58" s="50">
        <f>Subsurface_Live_Data!O58+Subsurface_Inputs!$C$56*SIN(2*PI()*A58/47)</f>
        <v/>
      </c>
      <c r="G58" s="50">
        <f>-55+3*SIN(2*PI()*A58/19)</f>
        <v/>
      </c>
    </row>
    <row r="59">
      <c r="A59" s="50">
        <f>Subsurface_Live_Data!A59</f>
        <v/>
      </c>
      <c r="B59" s="50" t="n">
        <v>0</v>
      </c>
      <c r="C59" s="50">
        <f>Subsurface_Inputs!$C$57+1.5*SIN(2*PI()*A59/35)</f>
        <v/>
      </c>
      <c r="D59" s="50">
        <f>Subsurface_Live_Data!M59+Subsurface_Inputs!$C$56*SIN(2*PI()*A59/31)</f>
        <v/>
      </c>
      <c r="E59" s="50">
        <f>IF(Subsurface_Live_Data!H59&gt;=Subsurface_Inputs!$C$42,Subsurface_Live_Data!N59+Subsurface_Inputs!$C$56*SIN(2*PI()*A59/27),NA())</f>
        <v/>
      </c>
      <c r="F59" s="50">
        <f>Subsurface_Live_Data!O59+Subsurface_Inputs!$C$56*SIN(2*PI()*A59/47)</f>
        <v/>
      </c>
      <c r="G59" s="50">
        <f>-55+3*SIN(2*PI()*A59/19)</f>
        <v/>
      </c>
    </row>
    <row r="60">
      <c r="A60" s="50">
        <f>Subsurface_Live_Data!A60</f>
        <v/>
      </c>
      <c r="B60" s="50" t="n">
        <v>0</v>
      </c>
      <c r="C60" s="50">
        <f>Subsurface_Inputs!$C$57+1.5*SIN(2*PI()*A60/35)</f>
        <v/>
      </c>
      <c r="D60" s="50">
        <f>Subsurface_Live_Data!M60+Subsurface_Inputs!$C$56*SIN(2*PI()*A60/31)</f>
        <v/>
      </c>
      <c r="E60" s="50">
        <f>IF(Subsurface_Live_Data!H60&gt;=Subsurface_Inputs!$C$42,Subsurface_Live_Data!N60+Subsurface_Inputs!$C$56*SIN(2*PI()*A60/27),NA())</f>
        <v/>
      </c>
      <c r="F60" s="50">
        <f>Subsurface_Live_Data!O60+Subsurface_Inputs!$C$56*SIN(2*PI()*A60/47)</f>
        <v/>
      </c>
      <c r="G60" s="50">
        <f>-55+3*SIN(2*PI()*A60/19)</f>
        <v/>
      </c>
    </row>
    <row r="61">
      <c r="A61" s="50">
        <f>Subsurface_Live_Data!A61</f>
        <v/>
      </c>
      <c r="B61" s="50" t="n">
        <v>0</v>
      </c>
      <c r="C61" s="50">
        <f>Subsurface_Inputs!$C$57+1.5*SIN(2*PI()*A61/35)</f>
        <v/>
      </c>
      <c r="D61" s="50">
        <f>Subsurface_Live_Data!M61+Subsurface_Inputs!$C$56*SIN(2*PI()*A61/31)</f>
        <v/>
      </c>
      <c r="E61" s="50">
        <f>IF(Subsurface_Live_Data!H61&gt;=Subsurface_Inputs!$C$42,Subsurface_Live_Data!N61+Subsurface_Inputs!$C$56*SIN(2*PI()*A61/27),NA())</f>
        <v/>
      </c>
      <c r="F61" s="50">
        <f>Subsurface_Live_Data!O61+Subsurface_Inputs!$C$56*SIN(2*PI()*A61/47)</f>
        <v/>
      </c>
      <c r="G61" s="50">
        <f>-55+3*SIN(2*PI()*A61/19)</f>
        <v/>
      </c>
    </row>
    <row r="62">
      <c r="A62" s="50">
        <f>Subsurface_Live_Data!A62</f>
        <v/>
      </c>
      <c r="B62" s="50" t="n">
        <v>0</v>
      </c>
      <c r="C62" s="50">
        <f>Subsurface_Inputs!$C$57+1.5*SIN(2*PI()*A62/35)</f>
        <v/>
      </c>
      <c r="D62" s="50">
        <f>Subsurface_Live_Data!M62+Subsurface_Inputs!$C$56*SIN(2*PI()*A62/31)</f>
        <v/>
      </c>
      <c r="E62" s="50">
        <f>IF(Subsurface_Live_Data!H62&gt;=Subsurface_Inputs!$C$42,Subsurface_Live_Data!N62+Subsurface_Inputs!$C$56*SIN(2*PI()*A62/27),NA())</f>
        <v/>
      </c>
      <c r="F62" s="50">
        <f>Subsurface_Live_Data!O62+Subsurface_Inputs!$C$56*SIN(2*PI()*A62/47)</f>
        <v/>
      </c>
      <c r="G62" s="50">
        <f>-55+3*SIN(2*PI()*A62/19)</f>
        <v/>
      </c>
    </row>
    <row r="63">
      <c r="A63" s="50">
        <f>Subsurface_Live_Data!A63</f>
        <v/>
      </c>
      <c r="B63" s="50" t="n">
        <v>0</v>
      </c>
      <c r="C63" s="50">
        <f>Subsurface_Inputs!$C$57+1.5*SIN(2*PI()*A63/35)</f>
        <v/>
      </c>
      <c r="D63" s="50">
        <f>Subsurface_Live_Data!M63+Subsurface_Inputs!$C$56*SIN(2*PI()*A63/31)</f>
        <v/>
      </c>
      <c r="E63" s="50">
        <f>IF(Subsurface_Live_Data!H63&gt;=Subsurface_Inputs!$C$42,Subsurface_Live_Data!N63+Subsurface_Inputs!$C$56*SIN(2*PI()*A63/27),NA())</f>
        <v/>
      </c>
      <c r="F63" s="50">
        <f>Subsurface_Live_Data!O63+Subsurface_Inputs!$C$56*SIN(2*PI()*A63/47)</f>
        <v/>
      </c>
      <c r="G63" s="50">
        <f>-55+3*SIN(2*PI()*A63/19)</f>
        <v/>
      </c>
    </row>
    <row r="64">
      <c r="A64" s="50">
        <f>Subsurface_Live_Data!A64</f>
        <v/>
      </c>
      <c r="B64" s="50" t="n">
        <v>0</v>
      </c>
      <c r="C64" s="50">
        <f>Subsurface_Inputs!$C$57+1.5*SIN(2*PI()*A64/35)</f>
        <v/>
      </c>
      <c r="D64" s="50">
        <f>Subsurface_Live_Data!M64+Subsurface_Inputs!$C$56*SIN(2*PI()*A64/31)</f>
        <v/>
      </c>
      <c r="E64" s="50">
        <f>IF(Subsurface_Live_Data!H64&gt;=Subsurface_Inputs!$C$42,Subsurface_Live_Data!N64+Subsurface_Inputs!$C$56*SIN(2*PI()*A64/27),NA())</f>
        <v/>
      </c>
      <c r="F64" s="50">
        <f>Subsurface_Live_Data!O64+Subsurface_Inputs!$C$56*SIN(2*PI()*A64/47)</f>
        <v/>
      </c>
      <c r="G64" s="50">
        <f>-55+3*SIN(2*PI()*A64/19)</f>
        <v/>
      </c>
    </row>
    <row r="65">
      <c r="A65" s="50">
        <f>Subsurface_Live_Data!A65</f>
        <v/>
      </c>
      <c r="B65" s="50" t="n">
        <v>0</v>
      </c>
      <c r="C65" s="50">
        <f>Subsurface_Inputs!$C$57+1.5*SIN(2*PI()*A65/35)</f>
        <v/>
      </c>
      <c r="D65" s="50">
        <f>Subsurface_Live_Data!M65+Subsurface_Inputs!$C$56*SIN(2*PI()*A65/31)</f>
        <v/>
      </c>
      <c r="E65" s="50">
        <f>IF(Subsurface_Live_Data!H65&gt;=Subsurface_Inputs!$C$42,Subsurface_Live_Data!N65+Subsurface_Inputs!$C$56*SIN(2*PI()*A65/27),NA())</f>
        <v/>
      </c>
      <c r="F65" s="50">
        <f>Subsurface_Live_Data!O65+Subsurface_Inputs!$C$56*SIN(2*PI()*A65/47)</f>
        <v/>
      </c>
      <c r="G65" s="50">
        <f>-55+3*SIN(2*PI()*A65/19)</f>
        <v/>
      </c>
    </row>
    <row r="66">
      <c r="A66" s="50">
        <f>Subsurface_Live_Data!A66</f>
        <v/>
      </c>
      <c r="B66" s="50" t="n">
        <v>0</v>
      </c>
      <c r="C66" s="50">
        <f>Subsurface_Inputs!$C$57+1.5*SIN(2*PI()*A66/35)</f>
        <v/>
      </c>
      <c r="D66" s="50">
        <f>Subsurface_Live_Data!M66+Subsurface_Inputs!$C$56*SIN(2*PI()*A66/31)</f>
        <v/>
      </c>
      <c r="E66" s="50">
        <f>IF(Subsurface_Live_Data!H66&gt;=Subsurface_Inputs!$C$42,Subsurface_Live_Data!N66+Subsurface_Inputs!$C$56*SIN(2*PI()*A66/27),NA())</f>
        <v/>
      </c>
      <c r="F66" s="50">
        <f>Subsurface_Live_Data!O66+Subsurface_Inputs!$C$56*SIN(2*PI()*A66/47)</f>
        <v/>
      </c>
      <c r="G66" s="50">
        <f>-55+3*SIN(2*PI()*A66/19)</f>
        <v/>
      </c>
    </row>
    <row r="67">
      <c r="A67" s="50">
        <f>Subsurface_Live_Data!A67</f>
        <v/>
      </c>
      <c r="B67" s="50" t="n">
        <v>0</v>
      </c>
      <c r="C67" s="50">
        <f>Subsurface_Inputs!$C$57+1.5*SIN(2*PI()*A67/35)</f>
        <v/>
      </c>
      <c r="D67" s="50">
        <f>Subsurface_Live_Data!M67+Subsurface_Inputs!$C$56*SIN(2*PI()*A67/31)</f>
        <v/>
      </c>
      <c r="E67" s="50">
        <f>IF(Subsurface_Live_Data!H67&gt;=Subsurface_Inputs!$C$42,Subsurface_Live_Data!N67+Subsurface_Inputs!$C$56*SIN(2*PI()*A67/27),NA())</f>
        <v/>
      </c>
      <c r="F67" s="50">
        <f>Subsurface_Live_Data!O67+Subsurface_Inputs!$C$56*SIN(2*PI()*A67/47)</f>
        <v/>
      </c>
      <c r="G67" s="50">
        <f>-55+3*SIN(2*PI()*A67/19)</f>
        <v/>
      </c>
    </row>
    <row r="68">
      <c r="A68" s="50">
        <f>Subsurface_Live_Data!A68</f>
        <v/>
      </c>
      <c r="B68" s="50" t="n">
        <v>0</v>
      </c>
      <c r="C68" s="50">
        <f>Subsurface_Inputs!$C$57+1.5*SIN(2*PI()*A68/35)</f>
        <v/>
      </c>
      <c r="D68" s="50">
        <f>Subsurface_Live_Data!M68+Subsurface_Inputs!$C$56*SIN(2*PI()*A68/31)</f>
        <v/>
      </c>
      <c r="E68" s="50">
        <f>IF(Subsurface_Live_Data!H68&gt;=Subsurface_Inputs!$C$42,Subsurface_Live_Data!N68+Subsurface_Inputs!$C$56*SIN(2*PI()*A68/27),NA())</f>
        <v/>
      </c>
      <c r="F68" s="50">
        <f>Subsurface_Live_Data!O68+Subsurface_Inputs!$C$56*SIN(2*PI()*A68/47)</f>
        <v/>
      </c>
      <c r="G68" s="50">
        <f>-55+3*SIN(2*PI()*A68/19)</f>
        <v/>
      </c>
    </row>
    <row r="69">
      <c r="A69" s="50">
        <f>Subsurface_Live_Data!A69</f>
        <v/>
      </c>
      <c r="B69" s="50" t="n">
        <v>0</v>
      </c>
      <c r="C69" s="50">
        <f>Subsurface_Inputs!$C$57+1.5*SIN(2*PI()*A69/35)</f>
        <v/>
      </c>
      <c r="D69" s="50">
        <f>Subsurface_Live_Data!M69+Subsurface_Inputs!$C$56*SIN(2*PI()*A69/31)</f>
        <v/>
      </c>
      <c r="E69" s="50">
        <f>IF(Subsurface_Live_Data!H69&gt;=Subsurface_Inputs!$C$42,Subsurface_Live_Data!N69+Subsurface_Inputs!$C$56*SIN(2*PI()*A69/27),NA())</f>
        <v/>
      </c>
      <c r="F69" s="50">
        <f>Subsurface_Live_Data!O69+Subsurface_Inputs!$C$56*SIN(2*PI()*A69/47)</f>
        <v/>
      </c>
      <c r="G69" s="50">
        <f>-55+3*SIN(2*PI()*A69/19)</f>
        <v/>
      </c>
    </row>
    <row r="70">
      <c r="A70" s="50">
        <f>Subsurface_Live_Data!A70</f>
        <v/>
      </c>
      <c r="B70" s="50" t="n">
        <v>0</v>
      </c>
      <c r="C70" s="50">
        <f>Subsurface_Inputs!$C$57+1.5*SIN(2*PI()*A70/35)</f>
        <v/>
      </c>
      <c r="D70" s="50">
        <f>Subsurface_Live_Data!M70+Subsurface_Inputs!$C$56*SIN(2*PI()*A70/31)</f>
        <v/>
      </c>
      <c r="E70" s="50">
        <f>IF(Subsurface_Live_Data!H70&gt;=Subsurface_Inputs!$C$42,Subsurface_Live_Data!N70+Subsurface_Inputs!$C$56*SIN(2*PI()*A70/27),NA())</f>
        <v/>
      </c>
      <c r="F70" s="50">
        <f>Subsurface_Live_Data!O70+Subsurface_Inputs!$C$56*SIN(2*PI()*A70/47)</f>
        <v/>
      </c>
      <c r="G70" s="50">
        <f>-55+3*SIN(2*PI()*A70/19)</f>
        <v/>
      </c>
    </row>
    <row r="71">
      <c r="A71" s="50">
        <f>Subsurface_Live_Data!A71</f>
        <v/>
      </c>
      <c r="B71" s="50" t="n">
        <v>0</v>
      </c>
      <c r="C71" s="50">
        <f>Subsurface_Inputs!$C$57+1.5*SIN(2*PI()*A71/35)</f>
        <v/>
      </c>
      <c r="D71" s="50">
        <f>Subsurface_Live_Data!M71+Subsurface_Inputs!$C$56*SIN(2*PI()*A71/31)</f>
        <v/>
      </c>
      <c r="E71" s="50">
        <f>IF(Subsurface_Live_Data!H71&gt;=Subsurface_Inputs!$C$42,Subsurface_Live_Data!N71+Subsurface_Inputs!$C$56*SIN(2*PI()*A71/27),NA())</f>
        <v/>
      </c>
      <c r="F71" s="50">
        <f>Subsurface_Live_Data!O71+Subsurface_Inputs!$C$56*SIN(2*PI()*A71/47)</f>
        <v/>
      </c>
      <c r="G71" s="50">
        <f>-55+3*SIN(2*PI()*A71/19)</f>
        <v/>
      </c>
    </row>
    <row r="72">
      <c r="A72" s="50">
        <f>Subsurface_Live_Data!A72</f>
        <v/>
      </c>
      <c r="B72" s="50" t="n">
        <v>0</v>
      </c>
      <c r="C72" s="50">
        <f>Subsurface_Inputs!$C$57+1.5*SIN(2*PI()*A72/35)</f>
        <v/>
      </c>
      <c r="D72" s="50">
        <f>Subsurface_Live_Data!M72+Subsurface_Inputs!$C$56*SIN(2*PI()*A72/31)</f>
        <v/>
      </c>
      <c r="E72" s="50">
        <f>IF(Subsurface_Live_Data!H72&gt;=Subsurface_Inputs!$C$42,Subsurface_Live_Data!N72+Subsurface_Inputs!$C$56*SIN(2*PI()*A72/27),NA())</f>
        <v/>
      </c>
      <c r="F72" s="50">
        <f>Subsurface_Live_Data!O72+Subsurface_Inputs!$C$56*SIN(2*PI()*A72/47)</f>
        <v/>
      </c>
      <c r="G72" s="50">
        <f>-55+3*SIN(2*PI()*A72/19)</f>
        <v/>
      </c>
    </row>
    <row r="73">
      <c r="A73" s="50">
        <f>Subsurface_Live_Data!A73</f>
        <v/>
      </c>
      <c r="B73" s="50" t="n">
        <v>0</v>
      </c>
      <c r="C73" s="50">
        <f>Subsurface_Inputs!$C$57+1.5*SIN(2*PI()*A73/35)</f>
        <v/>
      </c>
      <c r="D73" s="50">
        <f>Subsurface_Live_Data!M73+Subsurface_Inputs!$C$56*SIN(2*PI()*A73/31)</f>
        <v/>
      </c>
      <c r="E73" s="50">
        <f>IF(Subsurface_Live_Data!H73&gt;=Subsurface_Inputs!$C$42,Subsurface_Live_Data!N73+Subsurface_Inputs!$C$56*SIN(2*PI()*A73/27),NA())</f>
        <v/>
      </c>
      <c r="F73" s="50">
        <f>Subsurface_Live_Data!O73+Subsurface_Inputs!$C$56*SIN(2*PI()*A73/47)</f>
        <v/>
      </c>
      <c r="G73" s="50">
        <f>-55+3*SIN(2*PI()*A73/19)</f>
        <v/>
      </c>
    </row>
    <row r="74">
      <c r="A74" s="50">
        <f>Subsurface_Live_Data!A74</f>
        <v/>
      </c>
      <c r="B74" s="50" t="n">
        <v>0</v>
      </c>
      <c r="C74" s="50">
        <f>Subsurface_Inputs!$C$57+1.5*SIN(2*PI()*A74/35)</f>
        <v/>
      </c>
      <c r="D74" s="50">
        <f>Subsurface_Live_Data!M74+Subsurface_Inputs!$C$56*SIN(2*PI()*A74/31)</f>
        <v/>
      </c>
      <c r="E74" s="50">
        <f>IF(Subsurface_Live_Data!H74&gt;=Subsurface_Inputs!$C$42,Subsurface_Live_Data!N74+Subsurface_Inputs!$C$56*SIN(2*PI()*A74/27),NA())</f>
        <v/>
      </c>
      <c r="F74" s="50">
        <f>Subsurface_Live_Data!O74+Subsurface_Inputs!$C$56*SIN(2*PI()*A74/47)</f>
        <v/>
      </c>
      <c r="G74" s="50">
        <f>-55+3*SIN(2*PI()*A74/19)</f>
        <v/>
      </c>
    </row>
    <row r="75">
      <c r="A75" s="50">
        <f>Subsurface_Live_Data!A75</f>
        <v/>
      </c>
      <c r="B75" s="50" t="n">
        <v>0</v>
      </c>
      <c r="C75" s="50">
        <f>Subsurface_Inputs!$C$57+1.5*SIN(2*PI()*A75/35)</f>
        <v/>
      </c>
      <c r="D75" s="50">
        <f>Subsurface_Live_Data!M75+Subsurface_Inputs!$C$56*SIN(2*PI()*A75/31)</f>
        <v/>
      </c>
      <c r="E75" s="50">
        <f>IF(Subsurface_Live_Data!H75&gt;=Subsurface_Inputs!$C$42,Subsurface_Live_Data!N75+Subsurface_Inputs!$C$56*SIN(2*PI()*A75/27),NA())</f>
        <v/>
      </c>
      <c r="F75" s="50">
        <f>Subsurface_Live_Data!O75+Subsurface_Inputs!$C$56*SIN(2*PI()*A75/47)</f>
        <v/>
      </c>
      <c r="G75" s="50">
        <f>-55+3*SIN(2*PI()*A75/19)</f>
        <v/>
      </c>
    </row>
    <row r="76">
      <c r="A76" s="50">
        <f>Subsurface_Live_Data!A76</f>
        <v/>
      </c>
      <c r="B76" s="50" t="n">
        <v>0</v>
      </c>
      <c r="C76" s="50">
        <f>Subsurface_Inputs!$C$57+1.5*SIN(2*PI()*A76/35)</f>
        <v/>
      </c>
      <c r="D76" s="50">
        <f>Subsurface_Live_Data!M76+Subsurface_Inputs!$C$56*SIN(2*PI()*A76/31)</f>
        <v/>
      </c>
      <c r="E76" s="50">
        <f>IF(Subsurface_Live_Data!H76&gt;=Subsurface_Inputs!$C$42,Subsurface_Live_Data!N76+Subsurface_Inputs!$C$56*SIN(2*PI()*A76/27),NA())</f>
        <v/>
      </c>
      <c r="F76" s="50">
        <f>Subsurface_Live_Data!O76+Subsurface_Inputs!$C$56*SIN(2*PI()*A76/47)</f>
        <v/>
      </c>
      <c r="G76" s="50">
        <f>-55+3*SIN(2*PI()*A76/19)</f>
        <v/>
      </c>
    </row>
    <row r="77">
      <c r="A77" s="50">
        <f>Subsurface_Live_Data!A77</f>
        <v/>
      </c>
      <c r="B77" s="50" t="n">
        <v>0</v>
      </c>
      <c r="C77" s="50">
        <f>Subsurface_Inputs!$C$57+1.5*SIN(2*PI()*A77/35)</f>
        <v/>
      </c>
      <c r="D77" s="50">
        <f>Subsurface_Live_Data!M77+Subsurface_Inputs!$C$56*SIN(2*PI()*A77/31)</f>
        <v/>
      </c>
      <c r="E77" s="50">
        <f>IF(Subsurface_Live_Data!H77&gt;=Subsurface_Inputs!$C$42,Subsurface_Live_Data!N77+Subsurface_Inputs!$C$56*SIN(2*PI()*A77/27),NA())</f>
        <v/>
      </c>
      <c r="F77" s="50">
        <f>Subsurface_Live_Data!O77+Subsurface_Inputs!$C$56*SIN(2*PI()*A77/47)</f>
        <v/>
      </c>
      <c r="G77" s="50">
        <f>-55+3*SIN(2*PI()*A77/19)</f>
        <v/>
      </c>
    </row>
    <row r="78">
      <c r="A78" s="50">
        <f>Subsurface_Live_Data!A78</f>
        <v/>
      </c>
      <c r="B78" s="50" t="n">
        <v>0</v>
      </c>
      <c r="C78" s="50">
        <f>Subsurface_Inputs!$C$57+1.5*SIN(2*PI()*A78/35)</f>
        <v/>
      </c>
      <c r="D78" s="50">
        <f>Subsurface_Live_Data!M78+Subsurface_Inputs!$C$56*SIN(2*PI()*A78/31)</f>
        <v/>
      </c>
      <c r="E78" s="50">
        <f>IF(Subsurface_Live_Data!H78&gt;=Subsurface_Inputs!$C$42,Subsurface_Live_Data!N78+Subsurface_Inputs!$C$56*SIN(2*PI()*A78/27),NA())</f>
        <v/>
      </c>
      <c r="F78" s="50">
        <f>Subsurface_Live_Data!O78+Subsurface_Inputs!$C$56*SIN(2*PI()*A78/47)</f>
        <v/>
      </c>
      <c r="G78" s="50">
        <f>-55+3*SIN(2*PI()*A78/19)</f>
        <v/>
      </c>
    </row>
    <row r="79">
      <c r="A79" s="50">
        <f>Subsurface_Live_Data!A79</f>
        <v/>
      </c>
      <c r="B79" s="50" t="n">
        <v>0</v>
      </c>
      <c r="C79" s="50">
        <f>Subsurface_Inputs!$C$57+1.5*SIN(2*PI()*A79/35)</f>
        <v/>
      </c>
      <c r="D79" s="50">
        <f>Subsurface_Live_Data!M79+Subsurface_Inputs!$C$56*SIN(2*PI()*A79/31)</f>
        <v/>
      </c>
      <c r="E79" s="50">
        <f>IF(Subsurface_Live_Data!H79&gt;=Subsurface_Inputs!$C$42,Subsurface_Live_Data!N79+Subsurface_Inputs!$C$56*SIN(2*PI()*A79/27),NA())</f>
        <v/>
      </c>
      <c r="F79" s="50">
        <f>Subsurface_Live_Data!O79+Subsurface_Inputs!$C$56*SIN(2*PI()*A79/47)</f>
        <v/>
      </c>
      <c r="G79" s="50">
        <f>-55+3*SIN(2*PI()*A79/19)</f>
        <v/>
      </c>
    </row>
    <row r="80">
      <c r="A80" s="50">
        <f>Subsurface_Live_Data!A80</f>
        <v/>
      </c>
      <c r="B80" s="50" t="n">
        <v>0</v>
      </c>
      <c r="C80" s="50">
        <f>Subsurface_Inputs!$C$57+1.5*SIN(2*PI()*A80/35)</f>
        <v/>
      </c>
      <c r="D80" s="50">
        <f>Subsurface_Live_Data!M80+Subsurface_Inputs!$C$56*SIN(2*PI()*A80/31)</f>
        <v/>
      </c>
      <c r="E80" s="50">
        <f>IF(Subsurface_Live_Data!H80&gt;=Subsurface_Inputs!$C$42,Subsurface_Live_Data!N80+Subsurface_Inputs!$C$56*SIN(2*PI()*A80/27),NA())</f>
        <v/>
      </c>
      <c r="F80" s="50">
        <f>Subsurface_Live_Data!O80+Subsurface_Inputs!$C$56*SIN(2*PI()*A80/47)</f>
        <v/>
      </c>
      <c r="G80" s="50">
        <f>-55+3*SIN(2*PI()*A80/19)</f>
        <v/>
      </c>
    </row>
    <row r="81">
      <c r="A81" s="50">
        <f>Subsurface_Live_Data!A81</f>
        <v/>
      </c>
      <c r="B81" s="50" t="n">
        <v>0</v>
      </c>
      <c r="C81" s="50">
        <f>Subsurface_Inputs!$C$57+1.5*SIN(2*PI()*A81/35)</f>
        <v/>
      </c>
      <c r="D81" s="50">
        <f>Subsurface_Live_Data!M81+Subsurface_Inputs!$C$56*SIN(2*PI()*A81/31)</f>
        <v/>
      </c>
      <c r="E81" s="50">
        <f>IF(Subsurface_Live_Data!H81&gt;=Subsurface_Inputs!$C$42,Subsurface_Live_Data!N81+Subsurface_Inputs!$C$56*SIN(2*PI()*A81/27),NA())</f>
        <v/>
      </c>
      <c r="F81" s="50">
        <f>Subsurface_Live_Data!O81+Subsurface_Inputs!$C$56*SIN(2*PI()*A81/47)</f>
        <v/>
      </c>
      <c r="G81" s="50">
        <f>-55+3*SIN(2*PI()*A81/19)</f>
        <v/>
      </c>
    </row>
    <row r="82">
      <c r="A82" s="50">
        <f>Subsurface_Live_Data!A82</f>
        <v/>
      </c>
      <c r="B82" s="50" t="n">
        <v>0</v>
      </c>
      <c r="C82" s="50">
        <f>Subsurface_Inputs!$C$57+1.5*SIN(2*PI()*A82/35)</f>
        <v/>
      </c>
      <c r="D82" s="50">
        <f>Subsurface_Live_Data!M82+Subsurface_Inputs!$C$56*SIN(2*PI()*A82/31)</f>
        <v/>
      </c>
      <c r="E82" s="50">
        <f>IF(Subsurface_Live_Data!H82&gt;=Subsurface_Inputs!$C$42,Subsurface_Live_Data!N82+Subsurface_Inputs!$C$56*SIN(2*PI()*A82/27),NA())</f>
        <v/>
      </c>
      <c r="F82" s="50">
        <f>Subsurface_Live_Data!O82+Subsurface_Inputs!$C$56*SIN(2*PI()*A82/47)</f>
        <v/>
      </c>
      <c r="G82" s="50">
        <f>-55+3*SIN(2*PI()*A82/19)</f>
        <v/>
      </c>
    </row>
    <row r="83">
      <c r="A83" s="50">
        <f>Subsurface_Live_Data!A83</f>
        <v/>
      </c>
      <c r="B83" s="50" t="n">
        <v>0</v>
      </c>
      <c r="C83" s="50">
        <f>Subsurface_Inputs!$C$57+1.5*SIN(2*PI()*A83/35)</f>
        <v/>
      </c>
      <c r="D83" s="50">
        <f>Subsurface_Live_Data!M83+Subsurface_Inputs!$C$56*SIN(2*PI()*A83/31)</f>
        <v/>
      </c>
      <c r="E83" s="50">
        <f>IF(Subsurface_Live_Data!H83&gt;=Subsurface_Inputs!$C$42,Subsurface_Live_Data!N83+Subsurface_Inputs!$C$56*SIN(2*PI()*A83/27),NA())</f>
        <v/>
      </c>
      <c r="F83" s="50">
        <f>Subsurface_Live_Data!O83+Subsurface_Inputs!$C$56*SIN(2*PI()*A83/47)</f>
        <v/>
      </c>
      <c r="G83" s="50">
        <f>-55+3*SIN(2*PI()*A83/19)</f>
        <v/>
      </c>
    </row>
    <row r="84">
      <c r="A84" s="50">
        <f>Subsurface_Live_Data!A84</f>
        <v/>
      </c>
      <c r="B84" s="50" t="n">
        <v>0</v>
      </c>
      <c r="C84" s="50">
        <f>Subsurface_Inputs!$C$57+1.5*SIN(2*PI()*A84/35)</f>
        <v/>
      </c>
      <c r="D84" s="50">
        <f>Subsurface_Live_Data!M84+Subsurface_Inputs!$C$56*SIN(2*PI()*A84/31)</f>
        <v/>
      </c>
      <c r="E84" s="50">
        <f>IF(Subsurface_Live_Data!H84&gt;=Subsurface_Inputs!$C$42,Subsurface_Live_Data!N84+Subsurface_Inputs!$C$56*SIN(2*PI()*A84/27),NA())</f>
        <v/>
      </c>
      <c r="F84" s="50">
        <f>Subsurface_Live_Data!O84+Subsurface_Inputs!$C$56*SIN(2*PI()*A84/47)</f>
        <v/>
      </c>
      <c r="G84" s="50">
        <f>-55+3*SIN(2*PI()*A84/19)</f>
        <v/>
      </c>
    </row>
    <row r="85">
      <c r="A85" s="50">
        <f>Subsurface_Live_Data!A85</f>
        <v/>
      </c>
      <c r="B85" s="50" t="n">
        <v>0</v>
      </c>
      <c r="C85" s="50">
        <f>Subsurface_Inputs!$C$57+1.5*SIN(2*PI()*A85/35)</f>
        <v/>
      </c>
      <c r="D85" s="50">
        <f>Subsurface_Live_Data!M85+Subsurface_Inputs!$C$56*SIN(2*PI()*A85/31)</f>
        <v/>
      </c>
      <c r="E85" s="50">
        <f>IF(Subsurface_Live_Data!H85&gt;=Subsurface_Inputs!$C$42,Subsurface_Live_Data!N85+Subsurface_Inputs!$C$56*SIN(2*PI()*A85/27),NA())</f>
        <v/>
      </c>
      <c r="F85" s="50">
        <f>Subsurface_Live_Data!O85+Subsurface_Inputs!$C$56*SIN(2*PI()*A85/47)</f>
        <v/>
      </c>
      <c r="G85" s="50">
        <f>-55+3*SIN(2*PI()*A85/19)</f>
        <v/>
      </c>
    </row>
    <row r="86">
      <c r="A86" s="50">
        <f>Subsurface_Live_Data!A86</f>
        <v/>
      </c>
      <c r="B86" s="50" t="n">
        <v>0</v>
      </c>
      <c r="C86" s="50">
        <f>Subsurface_Inputs!$C$57+1.5*SIN(2*PI()*A86/35)</f>
        <v/>
      </c>
      <c r="D86" s="50">
        <f>Subsurface_Live_Data!M86+Subsurface_Inputs!$C$56*SIN(2*PI()*A86/31)</f>
        <v/>
      </c>
      <c r="E86" s="50">
        <f>IF(Subsurface_Live_Data!H86&gt;=Subsurface_Inputs!$C$42,Subsurface_Live_Data!N86+Subsurface_Inputs!$C$56*SIN(2*PI()*A86/27),NA())</f>
        <v/>
      </c>
      <c r="F86" s="50">
        <f>Subsurface_Live_Data!O86+Subsurface_Inputs!$C$56*SIN(2*PI()*A86/47)</f>
        <v/>
      </c>
      <c r="G86" s="50">
        <f>-55+3*SIN(2*PI()*A86/19)</f>
        <v/>
      </c>
    </row>
    <row r="87">
      <c r="A87" s="50">
        <f>Subsurface_Live_Data!A87</f>
        <v/>
      </c>
      <c r="B87" s="50" t="n">
        <v>0</v>
      </c>
      <c r="C87" s="50">
        <f>Subsurface_Inputs!$C$57+1.5*SIN(2*PI()*A87/35)</f>
        <v/>
      </c>
      <c r="D87" s="50">
        <f>Subsurface_Live_Data!M87+Subsurface_Inputs!$C$56*SIN(2*PI()*A87/31)</f>
        <v/>
      </c>
      <c r="E87" s="50">
        <f>IF(Subsurface_Live_Data!H87&gt;=Subsurface_Inputs!$C$42,Subsurface_Live_Data!N87+Subsurface_Inputs!$C$56*SIN(2*PI()*A87/27),NA())</f>
        <v/>
      </c>
      <c r="F87" s="50">
        <f>Subsurface_Live_Data!O87+Subsurface_Inputs!$C$56*SIN(2*PI()*A87/47)</f>
        <v/>
      </c>
      <c r="G87" s="50">
        <f>-55+3*SIN(2*PI()*A87/19)</f>
        <v/>
      </c>
    </row>
    <row r="88">
      <c r="A88" s="50">
        <f>Subsurface_Live_Data!A88</f>
        <v/>
      </c>
      <c r="B88" s="50" t="n">
        <v>0</v>
      </c>
      <c r="C88" s="50">
        <f>Subsurface_Inputs!$C$57+1.5*SIN(2*PI()*A88/35)</f>
        <v/>
      </c>
      <c r="D88" s="50">
        <f>Subsurface_Live_Data!M88+Subsurface_Inputs!$C$56*SIN(2*PI()*A88/31)</f>
        <v/>
      </c>
      <c r="E88" s="50">
        <f>IF(Subsurface_Live_Data!H88&gt;=Subsurface_Inputs!$C$42,Subsurface_Live_Data!N88+Subsurface_Inputs!$C$56*SIN(2*PI()*A88/27),NA())</f>
        <v/>
      </c>
      <c r="F88" s="50">
        <f>Subsurface_Live_Data!O88+Subsurface_Inputs!$C$56*SIN(2*PI()*A88/47)</f>
        <v/>
      </c>
      <c r="G88" s="50">
        <f>-55+3*SIN(2*PI()*A88/19)</f>
        <v/>
      </c>
    </row>
    <row r="89">
      <c r="A89" s="50">
        <f>Subsurface_Live_Data!A89</f>
        <v/>
      </c>
      <c r="B89" s="50" t="n">
        <v>0</v>
      </c>
      <c r="C89" s="50">
        <f>Subsurface_Inputs!$C$57+1.5*SIN(2*PI()*A89/35)</f>
        <v/>
      </c>
      <c r="D89" s="50">
        <f>Subsurface_Live_Data!M89+Subsurface_Inputs!$C$56*SIN(2*PI()*A89/31)</f>
        <v/>
      </c>
      <c r="E89" s="50">
        <f>IF(Subsurface_Live_Data!H89&gt;=Subsurface_Inputs!$C$42,Subsurface_Live_Data!N89+Subsurface_Inputs!$C$56*SIN(2*PI()*A89/27),NA())</f>
        <v/>
      </c>
      <c r="F89" s="50">
        <f>Subsurface_Live_Data!O89+Subsurface_Inputs!$C$56*SIN(2*PI()*A89/47)</f>
        <v/>
      </c>
      <c r="G89" s="50">
        <f>-55+3*SIN(2*PI()*A89/19)</f>
        <v/>
      </c>
    </row>
    <row r="90">
      <c r="A90" s="50">
        <f>Subsurface_Live_Data!A90</f>
        <v/>
      </c>
      <c r="B90" s="50" t="n">
        <v>0</v>
      </c>
      <c r="C90" s="50">
        <f>Subsurface_Inputs!$C$57+1.5*SIN(2*PI()*A90/35)</f>
        <v/>
      </c>
      <c r="D90" s="50">
        <f>Subsurface_Live_Data!M90+Subsurface_Inputs!$C$56*SIN(2*PI()*A90/31)</f>
        <v/>
      </c>
      <c r="E90" s="50">
        <f>IF(Subsurface_Live_Data!H90&gt;=Subsurface_Inputs!$C$42,Subsurface_Live_Data!N90+Subsurface_Inputs!$C$56*SIN(2*PI()*A90/27),NA())</f>
        <v/>
      </c>
      <c r="F90" s="50">
        <f>Subsurface_Live_Data!O90+Subsurface_Inputs!$C$56*SIN(2*PI()*A90/47)</f>
        <v/>
      </c>
      <c r="G90" s="50">
        <f>-55+3*SIN(2*PI()*A90/19)</f>
        <v/>
      </c>
    </row>
    <row r="91">
      <c r="A91" s="50">
        <f>Subsurface_Live_Data!A91</f>
        <v/>
      </c>
      <c r="B91" s="50" t="n">
        <v>0</v>
      </c>
      <c r="C91" s="50">
        <f>Subsurface_Inputs!$C$57+1.5*SIN(2*PI()*A91/35)</f>
        <v/>
      </c>
      <c r="D91" s="50">
        <f>Subsurface_Live_Data!M91+Subsurface_Inputs!$C$56*SIN(2*PI()*A91/31)</f>
        <v/>
      </c>
      <c r="E91" s="50">
        <f>IF(Subsurface_Live_Data!H91&gt;=Subsurface_Inputs!$C$42,Subsurface_Live_Data!N91+Subsurface_Inputs!$C$56*SIN(2*PI()*A91/27),NA())</f>
        <v/>
      </c>
      <c r="F91" s="50">
        <f>Subsurface_Live_Data!O91+Subsurface_Inputs!$C$56*SIN(2*PI()*A91/47)</f>
        <v/>
      </c>
      <c r="G91" s="50">
        <f>-55+3*SIN(2*PI()*A91/19)</f>
        <v/>
      </c>
    </row>
    <row r="92">
      <c r="A92" s="50">
        <f>Subsurface_Live_Data!A92</f>
        <v/>
      </c>
      <c r="B92" s="50" t="n">
        <v>0</v>
      </c>
      <c r="C92" s="50">
        <f>Subsurface_Inputs!$C$57+1.5*SIN(2*PI()*A92/35)</f>
        <v/>
      </c>
      <c r="D92" s="50">
        <f>Subsurface_Live_Data!M92+Subsurface_Inputs!$C$56*SIN(2*PI()*A92/31)</f>
        <v/>
      </c>
      <c r="E92" s="50">
        <f>IF(Subsurface_Live_Data!H92&gt;=Subsurface_Inputs!$C$42,Subsurface_Live_Data!N92+Subsurface_Inputs!$C$56*SIN(2*PI()*A92/27),NA())</f>
        <v/>
      </c>
      <c r="F92" s="50">
        <f>Subsurface_Live_Data!O92+Subsurface_Inputs!$C$56*SIN(2*PI()*A92/47)</f>
        <v/>
      </c>
      <c r="G92" s="50">
        <f>-55+3*SIN(2*PI()*A92/19)</f>
        <v/>
      </c>
    </row>
    <row r="93">
      <c r="A93" s="50">
        <f>Subsurface_Live_Data!A93</f>
        <v/>
      </c>
      <c r="B93" s="50" t="n">
        <v>0</v>
      </c>
      <c r="C93" s="50">
        <f>Subsurface_Inputs!$C$57+1.5*SIN(2*PI()*A93/35)</f>
        <v/>
      </c>
      <c r="D93" s="50">
        <f>Subsurface_Live_Data!M93+Subsurface_Inputs!$C$56*SIN(2*PI()*A93/31)</f>
        <v/>
      </c>
      <c r="E93" s="50">
        <f>IF(Subsurface_Live_Data!H93&gt;=Subsurface_Inputs!$C$42,Subsurface_Live_Data!N93+Subsurface_Inputs!$C$56*SIN(2*PI()*A93/27),NA())</f>
        <v/>
      </c>
      <c r="F93" s="50">
        <f>Subsurface_Live_Data!O93+Subsurface_Inputs!$C$56*SIN(2*PI()*A93/47)</f>
        <v/>
      </c>
      <c r="G93" s="50">
        <f>-55+3*SIN(2*PI()*A93/19)</f>
        <v/>
      </c>
    </row>
    <row r="94">
      <c r="A94" s="50">
        <f>Subsurface_Live_Data!A94</f>
        <v/>
      </c>
      <c r="B94" s="50" t="n">
        <v>0</v>
      </c>
      <c r="C94" s="50">
        <f>Subsurface_Inputs!$C$57+1.5*SIN(2*PI()*A94/35)</f>
        <v/>
      </c>
      <c r="D94" s="50">
        <f>Subsurface_Live_Data!M94+Subsurface_Inputs!$C$56*SIN(2*PI()*A94/31)</f>
        <v/>
      </c>
      <c r="E94" s="50">
        <f>IF(Subsurface_Live_Data!H94&gt;=Subsurface_Inputs!$C$42,Subsurface_Live_Data!N94+Subsurface_Inputs!$C$56*SIN(2*PI()*A94/27),NA())</f>
        <v/>
      </c>
      <c r="F94" s="50">
        <f>Subsurface_Live_Data!O94+Subsurface_Inputs!$C$56*SIN(2*PI()*A94/47)</f>
        <v/>
      </c>
      <c r="G94" s="50">
        <f>-55+3*SIN(2*PI()*A94/19)</f>
        <v/>
      </c>
    </row>
    <row r="95">
      <c r="A95" s="50">
        <f>Subsurface_Live_Data!A95</f>
        <v/>
      </c>
      <c r="B95" s="50" t="n">
        <v>0</v>
      </c>
      <c r="C95" s="50">
        <f>Subsurface_Inputs!$C$57+1.5*SIN(2*PI()*A95/35)</f>
        <v/>
      </c>
      <c r="D95" s="50">
        <f>Subsurface_Live_Data!M95+Subsurface_Inputs!$C$56*SIN(2*PI()*A95/31)</f>
        <v/>
      </c>
      <c r="E95" s="50">
        <f>IF(Subsurface_Live_Data!H95&gt;=Subsurface_Inputs!$C$42,Subsurface_Live_Data!N95+Subsurface_Inputs!$C$56*SIN(2*PI()*A95/27),NA())</f>
        <v/>
      </c>
      <c r="F95" s="50">
        <f>Subsurface_Live_Data!O95+Subsurface_Inputs!$C$56*SIN(2*PI()*A95/47)</f>
        <v/>
      </c>
      <c r="G95" s="50">
        <f>-55+3*SIN(2*PI()*A95/19)</f>
        <v/>
      </c>
    </row>
    <row r="96">
      <c r="A96" s="50">
        <f>Subsurface_Live_Data!A96</f>
        <v/>
      </c>
      <c r="B96" s="50" t="n">
        <v>0</v>
      </c>
      <c r="C96" s="50">
        <f>Subsurface_Inputs!$C$57+1.5*SIN(2*PI()*A96/35)</f>
        <v/>
      </c>
      <c r="D96" s="50">
        <f>Subsurface_Live_Data!M96+Subsurface_Inputs!$C$56*SIN(2*PI()*A96/31)</f>
        <v/>
      </c>
      <c r="E96" s="50">
        <f>IF(Subsurface_Live_Data!H96&gt;=Subsurface_Inputs!$C$42,Subsurface_Live_Data!N96+Subsurface_Inputs!$C$56*SIN(2*PI()*A96/27),NA())</f>
        <v/>
      </c>
      <c r="F96" s="50">
        <f>Subsurface_Live_Data!O96+Subsurface_Inputs!$C$56*SIN(2*PI()*A96/47)</f>
        <v/>
      </c>
      <c r="G96" s="50">
        <f>-55+3*SIN(2*PI()*A96/19)</f>
        <v/>
      </c>
    </row>
    <row r="97">
      <c r="A97" s="50">
        <f>Subsurface_Live_Data!A97</f>
        <v/>
      </c>
      <c r="B97" s="50" t="n">
        <v>0</v>
      </c>
      <c r="C97" s="50">
        <f>Subsurface_Inputs!$C$57+1.5*SIN(2*PI()*A97/35)</f>
        <v/>
      </c>
      <c r="D97" s="50">
        <f>Subsurface_Live_Data!M97+Subsurface_Inputs!$C$56*SIN(2*PI()*A97/31)</f>
        <v/>
      </c>
      <c r="E97" s="50">
        <f>IF(Subsurface_Live_Data!H97&gt;=Subsurface_Inputs!$C$42,Subsurface_Live_Data!N97+Subsurface_Inputs!$C$56*SIN(2*PI()*A97/27),NA())</f>
        <v/>
      </c>
      <c r="F97" s="50">
        <f>Subsurface_Live_Data!O97+Subsurface_Inputs!$C$56*SIN(2*PI()*A97/47)</f>
        <v/>
      </c>
      <c r="G97" s="50">
        <f>-55+3*SIN(2*PI()*A97/19)</f>
        <v/>
      </c>
    </row>
    <row r="98">
      <c r="A98" s="50">
        <f>Subsurface_Live_Data!A98</f>
        <v/>
      </c>
      <c r="B98" s="50" t="n">
        <v>0</v>
      </c>
      <c r="C98" s="50">
        <f>Subsurface_Inputs!$C$57+1.5*SIN(2*PI()*A98/35)</f>
        <v/>
      </c>
      <c r="D98" s="50">
        <f>Subsurface_Live_Data!M98+Subsurface_Inputs!$C$56*SIN(2*PI()*A98/31)</f>
        <v/>
      </c>
      <c r="E98" s="50">
        <f>IF(Subsurface_Live_Data!H98&gt;=Subsurface_Inputs!$C$42,Subsurface_Live_Data!N98+Subsurface_Inputs!$C$56*SIN(2*PI()*A98/27),NA())</f>
        <v/>
      </c>
      <c r="F98" s="50">
        <f>Subsurface_Live_Data!O98+Subsurface_Inputs!$C$56*SIN(2*PI()*A98/47)</f>
        <v/>
      </c>
      <c r="G98" s="50">
        <f>-55+3*SIN(2*PI()*A98/19)</f>
        <v/>
      </c>
    </row>
    <row r="99">
      <c r="A99" s="50">
        <f>Subsurface_Live_Data!A99</f>
        <v/>
      </c>
      <c r="B99" s="50" t="n">
        <v>0</v>
      </c>
      <c r="C99" s="50">
        <f>Subsurface_Inputs!$C$57+1.5*SIN(2*PI()*A99/35)</f>
        <v/>
      </c>
      <c r="D99" s="50">
        <f>Subsurface_Live_Data!M99+Subsurface_Inputs!$C$56*SIN(2*PI()*A99/31)</f>
        <v/>
      </c>
      <c r="E99" s="50">
        <f>IF(Subsurface_Live_Data!H99&gt;=Subsurface_Inputs!$C$42,Subsurface_Live_Data!N99+Subsurface_Inputs!$C$56*SIN(2*PI()*A99/27),NA())</f>
        <v/>
      </c>
      <c r="F99" s="50">
        <f>Subsurface_Live_Data!O99+Subsurface_Inputs!$C$56*SIN(2*PI()*A99/47)</f>
        <v/>
      </c>
      <c r="G99" s="50">
        <f>-55+3*SIN(2*PI()*A99/19)</f>
        <v/>
      </c>
    </row>
    <row r="100">
      <c r="A100" s="50">
        <f>Subsurface_Live_Data!A100</f>
        <v/>
      </c>
      <c r="B100" s="50" t="n">
        <v>0</v>
      </c>
      <c r="C100" s="50">
        <f>Subsurface_Inputs!$C$57+1.5*SIN(2*PI()*A100/35)</f>
        <v/>
      </c>
      <c r="D100" s="50">
        <f>Subsurface_Live_Data!M100+Subsurface_Inputs!$C$56*SIN(2*PI()*A100/31)</f>
        <v/>
      </c>
      <c r="E100" s="50">
        <f>IF(Subsurface_Live_Data!H100&gt;=Subsurface_Inputs!$C$42,Subsurface_Live_Data!N100+Subsurface_Inputs!$C$56*SIN(2*PI()*A100/27),NA())</f>
        <v/>
      </c>
      <c r="F100" s="50">
        <f>Subsurface_Live_Data!O100+Subsurface_Inputs!$C$56*SIN(2*PI()*A100/47)</f>
        <v/>
      </c>
      <c r="G100" s="50">
        <f>-55+3*SIN(2*PI()*A100/19)</f>
        <v/>
      </c>
    </row>
    <row r="101">
      <c r="A101" s="50">
        <f>Subsurface_Live_Data!A101</f>
        <v/>
      </c>
      <c r="B101" s="50" t="n">
        <v>0</v>
      </c>
      <c r="C101" s="50">
        <f>Subsurface_Inputs!$C$57+1.5*SIN(2*PI()*A101/35)</f>
        <v/>
      </c>
      <c r="D101" s="50">
        <f>Subsurface_Live_Data!M101+Subsurface_Inputs!$C$56*SIN(2*PI()*A101/31)</f>
        <v/>
      </c>
      <c r="E101" s="50">
        <f>IF(Subsurface_Live_Data!H101&gt;=Subsurface_Inputs!$C$42,Subsurface_Live_Data!N101+Subsurface_Inputs!$C$56*SIN(2*PI()*A101/27),NA())</f>
        <v/>
      </c>
      <c r="F101" s="50">
        <f>Subsurface_Live_Data!O101+Subsurface_Inputs!$C$56*SIN(2*PI()*A101/47)</f>
        <v/>
      </c>
      <c r="G101" s="50">
        <f>-55+3*SIN(2*PI()*A101/19)</f>
        <v/>
      </c>
    </row>
    <row r="102">
      <c r="A102" s="50">
        <f>Subsurface_Live_Data!A102</f>
        <v/>
      </c>
      <c r="B102" s="50" t="n">
        <v>0</v>
      </c>
      <c r="C102" s="50">
        <f>Subsurface_Inputs!$C$57+1.5*SIN(2*PI()*A102/35)</f>
        <v/>
      </c>
      <c r="D102" s="50">
        <f>Subsurface_Live_Data!M102+Subsurface_Inputs!$C$56*SIN(2*PI()*A102/31)</f>
        <v/>
      </c>
      <c r="E102" s="50">
        <f>IF(Subsurface_Live_Data!H102&gt;=Subsurface_Inputs!$C$42,Subsurface_Live_Data!N102+Subsurface_Inputs!$C$56*SIN(2*PI()*A102/27),NA())</f>
        <v/>
      </c>
      <c r="F102" s="50">
        <f>Subsurface_Live_Data!O102+Subsurface_Inputs!$C$56*SIN(2*PI()*A102/47)</f>
        <v/>
      </c>
      <c r="G102" s="50">
        <f>-55+3*SIN(2*PI()*A102/19)</f>
        <v/>
      </c>
    </row>
    <row r="103">
      <c r="A103" s="50">
        <f>Subsurface_Live_Data!A103</f>
        <v/>
      </c>
      <c r="B103" s="50" t="n">
        <v>0</v>
      </c>
      <c r="C103" s="50">
        <f>Subsurface_Inputs!$C$57+1.5*SIN(2*PI()*A103/35)</f>
        <v/>
      </c>
      <c r="D103" s="50">
        <f>Subsurface_Live_Data!M103+Subsurface_Inputs!$C$56*SIN(2*PI()*A103/31)</f>
        <v/>
      </c>
      <c r="E103" s="50">
        <f>IF(Subsurface_Live_Data!H103&gt;=Subsurface_Inputs!$C$42,Subsurface_Live_Data!N103+Subsurface_Inputs!$C$56*SIN(2*PI()*A103/27),NA())</f>
        <v/>
      </c>
      <c r="F103" s="50">
        <f>Subsurface_Live_Data!O103+Subsurface_Inputs!$C$56*SIN(2*PI()*A103/47)</f>
        <v/>
      </c>
      <c r="G103" s="50">
        <f>-55+3*SIN(2*PI()*A103/19)</f>
        <v/>
      </c>
    </row>
    <row r="104">
      <c r="A104" s="50">
        <f>Subsurface_Live_Data!A104</f>
        <v/>
      </c>
      <c r="B104" s="50" t="n">
        <v>0</v>
      </c>
      <c r="C104" s="50">
        <f>Subsurface_Inputs!$C$57+1.5*SIN(2*PI()*A104/35)</f>
        <v/>
      </c>
      <c r="D104" s="50">
        <f>Subsurface_Live_Data!M104+Subsurface_Inputs!$C$56*SIN(2*PI()*A104/31)</f>
        <v/>
      </c>
      <c r="E104" s="50">
        <f>IF(Subsurface_Live_Data!H104&gt;=Subsurface_Inputs!$C$42,Subsurface_Live_Data!N104+Subsurface_Inputs!$C$56*SIN(2*PI()*A104/27),NA())</f>
        <v/>
      </c>
      <c r="F104" s="50">
        <f>Subsurface_Live_Data!O104+Subsurface_Inputs!$C$56*SIN(2*PI()*A104/47)</f>
        <v/>
      </c>
      <c r="G104" s="50">
        <f>-55+3*SIN(2*PI()*A104/19)</f>
        <v/>
      </c>
    </row>
    <row r="105">
      <c r="A105" s="50">
        <f>Subsurface_Live_Data!A105</f>
        <v/>
      </c>
      <c r="B105" s="50" t="n">
        <v>0</v>
      </c>
      <c r="C105" s="50">
        <f>Subsurface_Inputs!$C$57+1.5*SIN(2*PI()*A105/35)</f>
        <v/>
      </c>
      <c r="D105" s="50">
        <f>Subsurface_Live_Data!M105+Subsurface_Inputs!$C$56*SIN(2*PI()*A105/31)</f>
        <v/>
      </c>
      <c r="E105" s="50">
        <f>IF(Subsurface_Live_Data!H105&gt;=Subsurface_Inputs!$C$42,Subsurface_Live_Data!N105+Subsurface_Inputs!$C$56*SIN(2*PI()*A105/27),NA())</f>
        <v/>
      </c>
      <c r="F105" s="50">
        <f>Subsurface_Live_Data!O105+Subsurface_Inputs!$C$56*SIN(2*PI()*A105/47)</f>
        <v/>
      </c>
      <c r="G105" s="50">
        <f>-55+3*SIN(2*PI()*A105/19)</f>
        <v/>
      </c>
    </row>
    <row r="106">
      <c r="A106" s="50">
        <f>Subsurface_Live_Data!A106</f>
        <v/>
      </c>
      <c r="B106" s="50" t="n">
        <v>0</v>
      </c>
      <c r="C106" s="50">
        <f>Subsurface_Inputs!$C$57+1.5*SIN(2*PI()*A106/35)</f>
        <v/>
      </c>
      <c r="D106" s="50">
        <f>Subsurface_Live_Data!M106+Subsurface_Inputs!$C$56*SIN(2*PI()*A106/31)</f>
        <v/>
      </c>
      <c r="E106" s="50">
        <f>IF(Subsurface_Live_Data!H106&gt;=Subsurface_Inputs!$C$42,Subsurface_Live_Data!N106+Subsurface_Inputs!$C$56*SIN(2*PI()*A106/27),NA())</f>
        <v/>
      </c>
      <c r="F106" s="50">
        <f>Subsurface_Live_Data!O106+Subsurface_Inputs!$C$56*SIN(2*PI()*A106/47)</f>
        <v/>
      </c>
      <c r="G106" s="50">
        <f>-55+3*SIN(2*PI()*A106/19)</f>
        <v/>
      </c>
    </row>
    <row r="107">
      <c r="A107" s="50">
        <f>Subsurface_Live_Data!A107</f>
        <v/>
      </c>
      <c r="B107" s="50" t="n">
        <v>0</v>
      </c>
      <c r="C107" s="50">
        <f>Subsurface_Inputs!$C$57+1.5*SIN(2*PI()*A107/35)</f>
        <v/>
      </c>
      <c r="D107" s="50">
        <f>Subsurface_Live_Data!M107+Subsurface_Inputs!$C$56*SIN(2*PI()*A107/31)</f>
        <v/>
      </c>
      <c r="E107" s="50">
        <f>IF(Subsurface_Live_Data!H107&gt;=Subsurface_Inputs!$C$42,Subsurface_Live_Data!N107+Subsurface_Inputs!$C$56*SIN(2*PI()*A107/27),NA())</f>
        <v/>
      </c>
      <c r="F107" s="50">
        <f>Subsurface_Live_Data!O107+Subsurface_Inputs!$C$56*SIN(2*PI()*A107/47)</f>
        <v/>
      </c>
      <c r="G107" s="50">
        <f>-55+3*SIN(2*PI()*A107/19)</f>
        <v/>
      </c>
    </row>
    <row r="108">
      <c r="A108" s="50">
        <f>Subsurface_Live_Data!A108</f>
        <v/>
      </c>
      <c r="B108" s="50" t="n">
        <v>0</v>
      </c>
      <c r="C108" s="50">
        <f>Subsurface_Inputs!$C$57+1.5*SIN(2*PI()*A108/35)</f>
        <v/>
      </c>
      <c r="D108" s="50">
        <f>Subsurface_Live_Data!M108+Subsurface_Inputs!$C$56*SIN(2*PI()*A108/31)</f>
        <v/>
      </c>
      <c r="E108" s="50">
        <f>IF(Subsurface_Live_Data!H108&gt;=Subsurface_Inputs!$C$42,Subsurface_Live_Data!N108+Subsurface_Inputs!$C$56*SIN(2*PI()*A108/27),NA())</f>
        <v/>
      </c>
      <c r="F108" s="50">
        <f>Subsurface_Live_Data!O108+Subsurface_Inputs!$C$56*SIN(2*PI()*A108/47)</f>
        <v/>
      </c>
      <c r="G108" s="50">
        <f>-55+3*SIN(2*PI()*A108/19)</f>
        <v/>
      </c>
    </row>
    <row r="109">
      <c r="A109" s="50">
        <f>Subsurface_Live_Data!A109</f>
        <v/>
      </c>
      <c r="B109" s="50" t="n">
        <v>0</v>
      </c>
      <c r="C109" s="50">
        <f>Subsurface_Inputs!$C$57+1.5*SIN(2*PI()*A109/35)</f>
        <v/>
      </c>
      <c r="D109" s="50">
        <f>Subsurface_Live_Data!M109+Subsurface_Inputs!$C$56*SIN(2*PI()*A109/31)</f>
        <v/>
      </c>
      <c r="E109" s="50">
        <f>IF(Subsurface_Live_Data!H109&gt;=Subsurface_Inputs!$C$42,Subsurface_Live_Data!N109+Subsurface_Inputs!$C$56*SIN(2*PI()*A109/27),NA())</f>
        <v/>
      </c>
      <c r="F109" s="50">
        <f>Subsurface_Live_Data!O109+Subsurface_Inputs!$C$56*SIN(2*PI()*A109/47)</f>
        <v/>
      </c>
      <c r="G109" s="50">
        <f>-55+3*SIN(2*PI()*A109/19)</f>
        <v/>
      </c>
    </row>
    <row r="110">
      <c r="A110" s="50">
        <f>Subsurface_Live_Data!A110</f>
        <v/>
      </c>
      <c r="B110" s="50" t="n">
        <v>0</v>
      </c>
      <c r="C110" s="50">
        <f>Subsurface_Inputs!$C$57+1.5*SIN(2*PI()*A110/35)</f>
        <v/>
      </c>
      <c r="D110" s="50">
        <f>Subsurface_Live_Data!M110+Subsurface_Inputs!$C$56*SIN(2*PI()*A110/31)</f>
        <v/>
      </c>
      <c r="E110" s="50">
        <f>IF(Subsurface_Live_Data!H110&gt;=Subsurface_Inputs!$C$42,Subsurface_Live_Data!N110+Subsurface_Inputs!$C$56*SIN(2*PI()*A110/27),NA())</f>
        <v/>
      </c>
      <c r="F110" s="50">
        <f>Subsurface_Live_Data!O110+Subsurface_Inputs!$C$56*SIN(2*PI()*A110/47)</f>
        <v/>
      </c>
      <c r="G110" s="50">
        <f>-55+3*SIN(2*PI()*A110/19)</f>
        <v/>
      </c>
    </row>
    <row r="111">
      <c r="A111" s="50">
        <f>Subsurface_Live_Data!A111</f>
        <v/>
      </c>
      <c r="B111" s="50" t="n">
        <v>0</v>
      </c>
      <c r="C111" s="50">
        <f>Subsurface_Inputs!$C$57+1.5*SIN(2*PI()*A111/35)</f>
        <v/>
      </c>
      <c r="D111" s="50">
        <f>Subsurface_Live_Data!M111+Subsurface_Inputs!$C$56*SIN(2*PI()*A111/31)</f>
        <v/>
      </c>
      <c r="E111" s="50">
        <f>IF(Subsurface_Live_Data!H111&gt;=Subsurface_Inputs!$C$42,Subsurface_Live_Data!N111+Subsurface_Inputs!$C$56*SIN(2*PI()*A111/27),NA())</f>
        <v/>
      </c>
      <c r="F111" s="50">
        <f>Subsurface_Live_Data!O111+Subsurface_Inputs!$C$56*SIN(2*PI()*A111/47)</f>
        <v/>
      </c>
      <c r="G111" s="50">
        <f>-55+3*SIN(2*PI()*A111/19)</f>
        <v/>
      </c>
    </row>
    <row r="112">
      <c r="A112" s="50">
        <f>Subsurface_Live_Data!A112</f>
        <v/>
      </c>
      <c r="B112" s="50" t="n">
        <v>0</v>
      </c>
      <c r="C112" s="50">
        <f>Subsurface_Inputs!$C$57+1.5*SIN(2*PI()*A112/35)</f>
        <v/>
      </c>
      <c r="D112" s="50">
        <f>Subsurface_Live_Data!M112+Subsurface_Inputs!$C$56*SIN(2*PI()*A112/31)</f>
        <v/>
      </c>
      <c r="E112" s="50">
        <f>IF(Subsurface_Live_Data!H112&gt;=Subsurface_Inputs!$C$42,Subsurface_Live_Data!N112+Subsurface_Inputs!$C$56*SIN(2*PI()*A112/27),NA())</f>
        <v/>
      </c>
      <c r="F112" s="50">
        <f>Subsurface_Live_Data!O112+Subsurface_Inputs!$C$56*SIN(2*PI()*A112/47)</f>
        <v/>
      </c>
      <c r="G112" s="50">
        <f>-55+3*SIN(2*PI()*A112/19)</f>
        <v/>
      </c>
    </row>
    <row r="113">
      <c r="A113" s="50">
        <f>Subsurface_Live_Data!A113</f>
        <v/>
      </c>
      <c r="B113" s="50" t="n">
        <v>0</v>
      </c>
      <c r="C113" s="50">
        <f>Subsurface_Inputs!$C$57+1.5*SIN(2*PI()*A113/35)</f>
        <v/>
      </c>
      <c r="D113" s="50">
        <f>Subsurface_Live_Data!M113+Subsurface_Inputs!$C$56*SIN(2*PI()*A113/31)</f>
        <v/>
      </c>
      <c r="E113" s="50">
        <f>IF(Subsurface_Live_Data!H113&gt;=Subsurface_Inputs!$C$42,Subsurface_Live_Data!N113+Subsurface_Inputs!$C$56*SIN(2*PI()*A113/27),NA())</f>
        <v/>
      </c>
      <c r="F113" s="50">
        <f>Subsurface_Live_Data!O113+Subsurface_Inputs!$C$56*SIN(2*PI()*A113/47)</f>
        <v/>
      </c>
      <c r="G113" s="50">
        <f>-55+3*SIN(2*PI()*A113/19)</f>
        <v/>
      </c>
    </row>
    <row r="114">
      <c r="A114" s="50">
        <f>Subsurface_Live_Data!A114</f>
        <v/>
      </c>
      <c r="B114" s="50" t="n">
        <v>0</v>
      </c>
      <c r="C114" s="50">
        <f>Subsurface_Inputs!$C$57+1.5*SIN(2*PI()*A114/35)</f>
        <v/>
      </c>
      <c r="D114" s="50">
        <f>Subsurface_Live_Data!M114+Subsurface_Inputs!$C$56*SIN(2*PI()*A114/31)</f>
        <v/>
      </c>
      <c r="E114" s="50">
        <f>IF(Subsurface_Live_Data!H114&gt;=Subsurface_Inputs!$C$42,Subsurface_Live_Data!N114+Subsurface_Inputs!$C$56*SIN(2*PI()*A114/27),NA())</f>
        <v/>
      </c>
      <c r="F114" s="50">
        <f>Subsurface_Live_Data!O114+Subsurface_Inputs!$C$56*SIN(2*PI()*A114/47)</f>
        <v/>
      </c>
      <c r="G114" s="50">
        <f>-55+3*SIN(2*PI()*A114/19)</f>
        <v/>
      </c>
    </row>
    <row r="115">
      <c r="A115" s="50">
        <f>Subsurface_Live_Data!A115</f>
        <v/>
      </c>
      <c r="B115" s="50" t="n">
        <v>0</v>
      </c>
      <c r="C115" s="50">
        <f>Subsurface_Inputs!$C$57+1.5*SIN(2*PI()*A115/35)</f>
        <v/>
      </c>
      <c r="D115" s="50">
        <f>Subsurface_Live_Data!M115+Subsurface_Inputs!$C$56*SIN(2*PI()*A115/31)</f>
        <v/>
      </c>
      <c r="E115" s="50">
        <f>IF(Subsurface_Live_Data!H115&gt;=Subsurface_Inputs!$C$42,Subsurface_Live_Data!N115+Subsurface_Inputs!$C$56*SIN(2*PI()*A115/27),NA())</f>
        <v/>
      </c>
      <c r="F115" s="50">
        <f>Subsurface_Live_Data!O115+Subsurface_Inputs!$C$56*SIN(2*PI()*A115/47)</f>
        <v/>
      </c>
      <c r="G115" s="50">
        <f>-55+3*SIN(2*PI()*A115/19)</f>
        <v/>
      </c>
    </row>
    <row r="116">
      <c r="A116" s="50">
        <f>Subsurface_Live_Data!A116</f>
        <v/>
      </c>
      <c r="B116" s="50" t="n">
        <v>0</v>
      </c>
      <c r="C116" s="50">
        <f>Subsurface_Inputs!$C$57+1.5*SIN(2*PI()*A116/35)</f>
        <v/>
      </c>
      <c r="D116" s="50">
        <f>Subsurface_Live_Data!M116+Subsurface_Inputs!$C$56*SIN(2*PI()*A116/31)</f>
        <v/>
      </c>
      <c r="E116" s="50">
        <f>IF(Subsurface_Live_Data!H116&gt;=Subsurface_Inputs!$C$42,Subsurface_Live_Data!N116+Subsurface_Inputs!$C$56*SIN(2*PI()*A116/27),NA())</f>
        <v/>
      </c>
      <c r="F116" s="50">
        <f>Subsurface_Live_Data!O116+Subsurface_Inputs!$C$56*SIN(2*PI()*A116/47)</f>
        <v/>
      </c>
      <c r="G116" s="50">
        <f>-55+3*SIN(2*PI()*A116/19)</f>
        <v/>
      </c>
    </row>
    <row r="117">
      <c r="A117" s="50">
        <f>Subsurface_Live_Data!A117</f>
        <v/>
      </c>
      <c r="B117" s="50" t="n">
        <v>0</v>
      </c>
      <c r="C117" s="50">
        <f>Subsurface_Inputs!$C$57+1.5*SIN(2*PI()*A117/35)</f>
        <v/>
      </c>
      <c r="D117" s="50">
        <f>Subsurface_Live_Data!M117+Subsurface_Inputs!$C$56*SIN(2*PI()*A117/31)</f>
        <v/>
      </c>
      <c r="E117" s="50">
        <f>IF(Subsurface_Live_Data!H117&gt;=Subsurface_Inputs!$C$42,Subsurface_Live_Data!N117+Subsurface_Inputs!$C$56*SIN(2*PI()*A117/27),NA())</f>
        <v/>
      </c>
      <c r="F117" s="50">
        <f>Subsurface_Live_Data!O117+Subsurface_Inputs!$C$56*SIN(2*PI()*A117/47)</f>
        <v/>
      </c>
      <c r="G117" s="50">
        <f>-55+3*SIN(2*PI()*A117/19)</f>
        <v/>
      </c>
    </row>
    <row r="118">
      <c r="A118" s="50">
        <f>Subsurface_Live_Data!A118</f>
        <v/>
      </c>
      <c r="B118" s="50" t="n">
        <v>0</v>
      </c>
      <c r="C118" s="50">
        <f>Subsurface_Inputs!$C$57+1.5*SIN(2*PI()*A118/35)</f>
        <v/>
      </c>
      <c r="D118" s="50">
        <f>Subsurface_Live_Data!M118+Subsurface_Inputs!$C$56*SIN(2*PI()*A118/31)</f>
        <v/>
      </c>
      <c r="E118" s="50">
        <f>IF(Subsurface_Live_Data!H118&gt;=Subsurface_Inputs!$C$42,Subsurface_Live_Data!N118+Subsurface_Inputs!$C$56*SIN(2*PI()*A118/27),NA())</f>
        <v/>
      </c>
      <c r="F118" s="50">
        <f>Subsurface_Live_Data!O118+Subsurface_Inputs!$C$56*SIN(2*PI()*A118/47)</f>
        <v/>
      </c>
      <c r="G118" s="50">
        <f>-55+3*SIN(2*PI()*A118/19)</f>
        <v/>
      </c>
    </row>
    <row r="119">
      <c r="A119" s="50">
        <f>Subsurface_Live_Data!A119</f>
        <v/>
      </c>
      <c r="B119" s="50" t="n">
        <v>0</v>
      </c>
      <c r="C119" s="50">
        <f>Subsurface_Inputs!$C$57+1.5*SIN(2*PI()*A119/35)</f>
        <v/>
      </c>
      <c r="D119" s="50">
        <f>Subsurface_Live_Data!M119+Subsurface_Inputs!$C$56*SIN(2*PI()*A119/31)</f>
        <v/>
      </c>
      <c r="E119" s="50">
        <f>IF(Subsurface_Live_Data!H119&gt;=Subsurface_Inputs!$C$42,Subsurface_Live_Data!N119+Subsurface_Inputs!$C$56*SIN(2*PI()*A119/27),NA())</f>
        <v/>
      </c>
      <c r="F119" s="50">
        <f>Subsurface_Live_Data!O119+Subsurface_Inputs!$C$56*SIN(2*PI()*A119/47)</f>
        <v/>
      </c>
      <c r="G119" s="50">
        <f>-55+3*SIN(2*PI()*A119/19)</f>
        <v/>
      </c>
    </row>
    <row r="120">
      <c r="A120" s="50">
        <f>Subsurface_Live_Data!A120</f>
        <v/>
      </c>
      <c r="B120" s="50" t="n">
        <v>0</v>
      </c>
      <c r="C120" s="50">
        <f>Subsurface_Inputs!$C$57+1.5*SIN(2*PI()*A120/35)</f>
        <v/>
      </c>
      <c r="D120" s="50">
        <f>Subsurface_Live_Data!M120+Subsurface_Inputs!$C$56*SIN(2*PI()*A120/31)</f>
        <v/>
      </c>
      <c r="E120" s="50">
        <f>IF(Subsurface_Live_Data!H120&gt;=Subsurface_Inputs!$C$42,Subsurface_Live_Data!N120+Subsurface_Inputs!$C$56*SIN(2*PI()*A120/27),NA())</f>
        <v/>
      </c>
      <c r="F120" s="50">
        <f>Subsurface_Live_Data!O120+Subsurface_Inputs!$C$56*SIN(2*PI()*A120/47)</f>
        <v/>
      </c>
      <c r="G120" s="50">
        <f>-55+3*SIN(2*PI()*A120/19)</f>
        <v/>
      </c>
    </row>
    <row r="121">
      <c r="A121" s="50">
        <f>Subsurface_Live_Data!A121</f>
        <v/>
      </c>
      <c r="B121" s="50" t="n">
        <v>0</v>
      </c>
      <c r="C121" s="50">
        <f>Subsurface_Inputs!$C$57+1.5*SIN(2*PI()*A121/35)</f>
        <v/>
      </c>
      <c r="D121" s="50">
        <f>Subsurface_Live_Data!M121+Subsurface_Inputs!$C$56*SIN(2*PI()*A121/31)</f>
        <v/>
      </c>
      <c r="E121" s="50">
        <f>IF(Subsurface_Live_Data!H121&gt;=Subsurface_Inputs!$C$42,Subsurface_Live_Data!N121+Subsurface_Inputs!$C$56*SIN(2*PI()*A121/27),NA())</f>
        <v/>
      </c>
      <c r="F121" s="50">
        <f>Subsurface_Live_Data!O121+Subsurface_Inputs!$C$56*SIN(2*PI()*A121/47)</f>
        <v/>
      </c>
      <c r="G121" s="50">
        <f>-55+3*SIN(2*PI()*A121/19)</f>
        <v/>
      </c>
    </row>
    <row r="122">
      <c r="A122" s="50">
        <f>Subsurface_Live_Data!A122</f>
        <v/>
      </c>
      <c r="B122" s="50" t="n">
        <v>0</v>
      </c>
      <c r="C122" s="50">
        <f>Subsurface_Inputs!$C$57+1.5*SIN(2*PI()*A122/35)</f>
        <v/>
      </c>
      <c r="D122" s="50">
        <f>Subsurface_Live_Data!M122+Subsurface_Inputs!$C$56*SIN(2*PI()*A122/31)</f>
        <v/>
      </c>
      <c r="E122" s="50">
        <f>IF(Subsurface_Live_Data!H122&gt;=Subsurface_Inputs!$C$42,Subsurface_Live_Data!N122+Subsurface_Inputs!$C$56*SIN(2*PI()*A122/27),NA())</f>
        <v/>
      </c>
      <c r="F122" s="50">
        <f>Subsurface_Live_Data!O122+Subsurface_Inputs!$C$56*SIN(2*PI()*A122/47)</f>
        <v/>
      </c>
      <c r="G122" s="50">
        <f>-55+3*SIN(2*PI()*A122/19)</f>
        <v/>
      </c>
    </row>
    <row r="123">
      <c r="A123" s="50">
        <f>Subsurface_Live_Data!A123</f>
        <v/>
      </c>
      <c r="B123" s="50" t="n">
        <v>0</v>
      </c>
      <c r="C123" s="50">
        <f>Subsurface_Inputs!$C$57+1.5*SIN(2*PI()*A123/35)</f>
        <v/>
      </c>
      <c r="D123" s="50">
        <f>Subsurface_Live_Data!M123+Subsurface_Inputs!$C$56*SIN(2*PI()*A123/31)</f>
        <v/>
      </c>
      <c r="E123" s="50">
        <f>IF(Subsurface_Live_Data!H123&gt;=Subsurface_Inputs!$C$42,Subsurface_Live_Data!N123+Subsurface_Inputs!$C$56*SIN(2*PI()*A123/27),NA())</f>
        <v/>
      </c>
      <c r="F123" s="50">
        <f>Subsurface_Live_Data!O123+Subsurface_Inputs!$C$56*SIN(2*PI()*A123/47)</f>
        <v/>
      </c>
      <c r="G123" s="50">
        <f>-55+3*SIN(2*PI()*A123/19)</f>
        <v/>
      </c>
    </row>
    <row r="124">
      <c r="A124" s="50">
        <f>Subsurface_Live_Data!A124</f>
        <v/>
      </c>
      <c r="B124" s="50" t="n">
        <v>0</v>
      </c>
      <c r="C124" s="50">
        <f>Subsurface_Inputs!$C$57+1.5*SIN(2*PI()*A124/35)</f>
        <v/>
      </c>
      <c r="D124" s="50">
        <f>Subsurface_Live_Data!M124+Subsurface_Inputs!$C$56*SIN(2*PI()*A124/31)</f>
        <v/>
      </c>
      <c r="E124" s="50">
        <f>IF(Subsurface_Live_Data!H124&gt;=Subsurface_Inputs!$C$42,Subsurface_Live_Data!N124+Subsurface_Inputs!$C$56*SIN(2*PI()*A124/27),NA())</f>
        <v/>
      </c>
      <c r="F124" s="50">
        <f>Subsurface_Live_Data!O124+Subsurface_Inputs!$C$56*SIN(2*PI()*A124/47)</f>
        <v/>
      </c>
      <c r="G124" s="50">
        <f>-55+3*SIN(2*PI()*A124/19)</f>
        <v/>
      </c>
    </row>
    <row r="125">
      <c r="A125" s="50">
        <f>Subsurface_Live_Data!A125</f>
        <v/>
      </c>
      <c r="B125" s="50" t="n">
        <v>0</v>
      </c>
      <c r="C125" s="50">
        <f>Subsurface_Inputs!$C$57+1.5*SIN(2*PI()*A125/35)</f>
        <v/>
      </c>
      <c r="D125" s="50">
        <f>Subsurface_Live_Data!M125+Subsurface_Inputs!$C$56*SIN(2*PI()*A125/31)</f>
        <v/>
      </c>
      <c r="E125" s="50">
        <f>IF(Subsurface_Live_Data!H125&gt;=Subsurface_Inputs!$C$42,Subsurface_Live_Data!N125+Subsurface_Inputs!$C$56*SIN(2*PI()*A125/27),NA())</f>
        <v/>
      </c>
      <c r="F125" s="50">
        <f>Subsurface_Live_Data!O125+Subsurface_Inputs!$C$56*SIN(2*PI()*A125/47)</f>
        <v/>
      </c>
      <c r="G125" s="50">
        <f>-55+3*SIN(2*PI()*A125/19)</f>
        <v/>
      </c>
    </row>
    <row r="126">
      <c r="A126" s="50">
        <f>Subsurface_Live_Data!A126</f>
        <v/>
      </c>
      <c r="B126" s="50" t="n">
        <v>0</v>
      </c>
      <c r="C126" s="50">
        <f>Subsurface_Inputs!$C$57+1.5*SIN(2*PI()*A126/35)</f>
        <v/>
      </c>
      <c r="D126" s="50">
        <f>Subsurface_Live_Data!M126+Subsurface_Inputs!$C$56*SIN(2*PI()*A126/31)</f>
        <v/>
      </c>
      <c r="E126" s="50">
        <f>IF(Subsurface_Live_Data!H126&gt;=Subsurface_Inputs!$C$42,Subsurface_Live_Data!N126+Subsurface_Inputs!$C$56*SIN(2*PI()*A126/27),NA())</f>
        <v/>
      </c>
      <c r="F126" s="50">
        <f>Subsurface_Live_Data!O126+Subsurface_Inputs!$C$56*SIN(2*PI()*A126/47)</f>
        <v/>
      </c>
      <c r="G126" s="50">
        <f>-55+3*SIN(2*PI()*A126/19)</f>
        <v/>
      </c>
    </row>
    <row r="127">
      <c r="A127" s="50">
        <f>Subsurface_Live_Data!A127</f>
        <v/>
      </c>
      <c r="B127" s="50" t="n">
        <v>0</v>
      </c>
      <c r="C127" s="50">
        <f>Subsurface_Inputs!$C$57+1.5*SIN(2*PI()*A127/35)</f>
        <v/>
      </c>
      <c r="D127" s="50">
        <f>Subsurface_Live_Data!M127+Subsurface_Inputs!$C$56*SIN(2*PI()*A127/31)</f>
        <v/>
      </c>
      <c r="E127" s="50">
        <f>IF(Subsurface_Live_Data!H127&gt;=Subsurface_Inputs!$C$42,Subsurface_Live_Data!N127+Subsurface_Inputs!$C$56*SIN(2*PI()*A127/27),NA())</f>
        <v/>
      </c>
      <c r="F127" s="50">
        <f>Subsurface_Live_Data!O127+Subsurface_Inputs!$C$56*SIN(2*PI()*A127/47)</f>
        <v/>
      </c>
      <c r="G127" s="50">
        <f>-55+3*SIN(2*PI()*A127/19)</f>
        <v/>
      </c>
    </row>
    <row r="128">
      <c r="A128" s="50">
        <f>Subsurface_Live_Data!A128</f>
        <v/>
      </c>
      <c r="B128" s="50" t="n">
        <v>0</v>
      </c>
      <c r="C128" s="50">
        <f>Subsurface_Inputs!$C$57+1.5*SIN(2*PI()*A128/35)</f>
        <v/>
      </c>
      <c r="D128" s="50">
        <f>Subsurface_Live_Data!M128+Subsurface_Inputs!$C$56*SIN(2*PI()*A128/31)</f>
        <v/>
      </c>
      <c r="E128" s="50">
        <f>IF(Subsurface_Live_Data!H128&gt;=Subsurface_Inputs!$C$42,Subsurface_Live_Data!N128+Subsurface_Inputs!$C$56*SIN(2*PI()*A128/27),NA())</f>
        <v/>
      </c>
      <c r="F128" s="50">
        <f>Subsurface_Live_Data!O128+Subsurface_Inputs!$C$56*SIN(2*PI()*A128/47)</f>
        <v/>
      </c>
      <c r="G128" s="50">
        <f>-55+3*SIN(2*PI()*A128/19)</f>
        <v/>
      </c>
    </row>
    <row r="129">
      <c r="A129" s="50">
        <f>Subsurface_Live_Data!A129</f>
        <v/>
      </c>
      <c r="B129" s="50" t="n">
        <v>0</v>
      </c>
      <c r="C129" s="50">
        <f>Subsurface_Inputs!$C$57+1.5*SIN(2*PI()*A129/35)</f>
        <v/>
      </c>
      <c r="D129" s="50">
        <f>Subsurface_Live_Data!M129+Subsurface_Inputs!$C$56*SIN(2*PI()*A129/31)</f>
        <v/>
      </c>
      <c r="E129" s="50">
        <f>IF(Subsurface_Live_Data!H129&gt;=Subsurface_Inputs!$C$42,Subsurface_Live_Data!N129+Subsurface_Inputs!$C$56*SIN(2*PI()*A129/27),NA())</f>
        <v/>
      </c>
      <c r="F129" s="50">
        <f>Subsurface_Live_Data!O129+Subsurface_Inputs!$C$56*SIN(2*PI()*A129/47)</f>
        <v/>
      </c>
      <c r="G129" s="50">
        <f>-55+3*SIN(2*PI()*A129/19)</f>
        <v/>
      </c>
    </row>
    <row r="130">
      <c r="A130" s="50">
        <f>Subsurface_Live_Data!A130</f>
        <v/>
      </c>
      <c r="B130" s="50" t="n">
        <v>0</v>
      </c>
      <c r="C130" s="50">
        <f>Subsurface_Inputs!$C$57+1.5*SIN(2*PI()*A130/35)</f>
        <v/>
      </c>
      <c r="D130" s="50">
        <f>Subsurface_Live_Data!M130+Subsurface_Inputs!$C$56*SIN(2*PI()*A130/31)</f>
        <v/>
      </c>
      <c r="E130" s="50">
        <f>IF(Subsurface_Live_Data!H130&gt;=Subsurface_Inputs!$C$42,Subsurface_Live_Data!N130+Subsurface_Inputs!$C$56*SIN(2*PI()*A130/27),NA())</f>
        <v/>
      </c>
      <c r="F130" s="50">
        <f>Subsurface_Live_Data!O130+Subsurface_Inputs!$C$56*SIN(2*PI()*A130/47)</f>
        <v/>
      </c>
      <c r="G130" s="50">
        <f>-55+3*SIN(2*PI()*A130/19)</f>
        <v/>
      </c>
    </row>
    <row r="131">
      <c r="A131" s="50">
        <f>Subsurface_Live_Data!A131</f>
        <v/>
      </c>
      <c r="B131" s="50" t="n">
        <v>0</v>
      </c>
      <c r="C131" s="50">
        <f>Subsurface_Inputs!$C$57+1.5*SIN(2*PI()*A131/35)</f>
        <v/>
      </c>
      <c r="D131" s="50">
        <f>Subsurface_Live_Data!M131+Subsurface_Inputs!$C$56*SIN(2*PI()*A131/31)</f>
        <v/>
      </c>
      <c r="E131" s="50">
        <f>IF(Subsurface_Live_Data!H131&gt;=Subsurface_Inputs!$C$42,Subsurface_Live_Data!N131+Subsurface_Inputs!$C$56*SIN(2*PI()*A131/27),NA())</f>
        <v/>
      </c>
      <c r="F131" s="50">
        <f>Subsurface_Live_Data!O131+Subsurface_Inputs!$C$56*SIN(2*PI()*A131/47)</f>
        <v/>
      </c>
      <c r="G131" s="50">
        <f>-55+3*SIN(2*PI()*A131/19)</f>
        <v/>
      </c>
    </row>
    <row r="132">
      <c r="A132" s="50">
        <f>Subsurface_Live_Data!A132</f>
        <v/>
      </c>
      <c r="B132" s="50" t="n">
        <v>0</v>
      </c>
      <c r="C132" s="50">
        <f>Subsurface_Inputs!$C$57+1.5*SIN(2*PI()*A132/35)</f>
        <v/>
      </c>
      <c r="D132" s="50">
        <f>Subsurface_Live_Data!M132+Subsurface_Inputs!$C$56*SIN(2*PI()*A132/31)</f>
        <v/>
      </c>
      <c r="E132" s="50">
        <f>IF(Subsurface_Live_Data!H132&gt;=Subsurface_Inputs!$C$42,Subsurface_Live_Data!N132+Subsurface_Inputs!$C$56*SIN(2*PI()*A132/27),NA())</f>
        <v/>
      </c>
      <c r="F132" s="50">
        <f>Subsurface_Live_Data!O132+Subsurface_Inputs!$C$56*SIN(2*PI()*A132/47)</f>
        <v/>
      </c>
      <c r="G132" s="50">
        <f>-55+3*SIN(2*PI()*A132/19)</f>
        <v/>
      </c>
    </row>
    <row r="133">
      <c r="A133" s="50">
        <f>Subsurface_Live_Data!A133</f>
        <v/>
      </c>
      <c r="B133" s="50" t="n">
        <v>0</v>
      </c>
      <c r="C133" s="50">
        <f>Subsurface_Inputs!$C$57+1.5*SIN(2*PI()*A133/35)</f>
        <v/>
      </c>
      <c r="D133" s="50">
        <f>Subsurface_Live_Data!M133+Subsurface_Inputs!$C$56*SIN(2*PI()*A133/31)</f>
        <v/>
      </c>
      <c r="E133" s="50">
        <f>IF(Subsurface_Live_Data!H133&gt;=Subsurface_Inputs!$C$42,Subsurface_Live_Data!N133+Subsurface_Inputs!$C$56*SIN(2*PI()*A133/27),NA())</f>
        <v/>
      </c>
      <c r="F133" s="50">
        <f>Subsurface_Live_Data!O133+Subsurface_Inputs!$C$56*SIN(2*PI()*A133/47)</f>
        <v/>
      </c>
      <c r="G133" s="50">
        <f>-55+3*SIN(2*PI()*A133/19)</f>
        <v/>
      </c>
    </row>
    <row r="134">
      <c r="A134" s="50">
        <f>Subsurface_Live_Data!A134</f>
        <v/>
      </c>
      <c r="B134" s="50" t="n">
        <v>0</v>
      </c>
      <c r="C134" s="50">
        <f>Subsurface_Inputs!$C$57+1.5*SIN(2*PI()*A134/35)</f>
        <v/>
      </c>
      <c r="D134" s="50">
        <f>Subsurface_Live_Data!M134+Subsurface_Inputs!$C$56*SIN(2*PI()*A134/31)</f>
        <v/>
      </c>
      <c r="E134" s="50">
        <f>IF(Subsurface_Live_Data!H134&gt;=Subsurface_Inputs!$C$42,Subsurface_Live_Data!N134+Subsurface_Inputs!$C$56*SIN(2*PI()*A134/27),NA())</f>
        <v/>
      </c>
      <c r="F134" s="50">
        <f>Subsurface_Live_Data!O134+Subsurface_Inputs!$C$56*SIN(2*PI()*A134/47)</f>
        <v/>
      </c>
      <c r="G134" s="50">
        <f>-55+3*SIN(2*PI()*A134/19)</f>
        <v/>
      </c>
    </row>
    <row r="135">
      <c r="A135" s="50">
        <f>Subsurface_Live_Data!A135</f>
        <v/>
      </c>
      <c r="B135" s="50" t="n">
        <v>0</v>
      </c>
      <c r="C135" s="50">
        <f>Subsurface_Inputs!$C$57+1.5*SIN(2*PI()*A135/35)</f>
        <v/>
      </c>
      <c r="D135" s="50">
        <f>Subsurface_Live_Data!M135+Subsurface_Inputs!$C$56*SIN(2*PI()*A135/31)</f>
        <v/>
      </c>
      <c r="E135" s="50">
        <f>IF(Subsurface_Live_Data!H135&gt;=Subsurface_Inputs!$C$42,Subsurface_Live_Data!N135+Subsurface_Inputs!$C$56*SIN(2*PI()*A135/27),NA())</f>
        <v/>
      </c>
      <c r="F135" s="50">
        <f>Subsurface_Live_Data!O135+Subsurface_Inputs!$C$56*SIN(2*PI()*A135/47)</f>
        <v/>
      </c>
      <c r="G135" s="50">
        <f>-55+3*SIN(2*PI()*A135/19)</f>
        <v/>
      </c>
    </row>
    <row r="136">
      <c r="A136" s="50">
        <f>Subsurface_Live_Data!A136</f>
        <v/>
      </c>
      <c r="B136" s="50" t="n">
        <v>0</v>
      </c>
      <c r="C136" s="50">
        <f>Subsurface_Inputs!$C$57+1.5*SIN(2*PI()*A136/35)</f>
        <v/>
      </c>
      <c r="D136" s="50">
        <f>Subsurface_Live_Data!M136+Subsurface_Inputs!$C$56*SIN(2*PI()*A136/31)</f>
        <v/>
      </c>
      <c r="E136" s="50">
        <f>IF(Subsurface_Live_Data!H136&gt;=Subsurface_Inputs!$C$42,Subsurface_Live_Data!N136+Subsurface_Inputs!$C$56*SIN(2*PI()*A136/27),NA())</f>
        <v/>
      </c>
      <c r="F136" s="50">
        <f>Subsurface_Live_Data!O136+Subsurface_Inputs!$C$56*SIN(2*PI()*A136/47)</f>
        <v/>
      </c>
      <c r="G136" s="50">
        <f>-55+3*SIN(2*PI()*A136/19)</f>
        <v/>
      </c>
    </row>
    <row r="137">
      <c r="A137" s="50">
        <f>Subsurface_Live_Data!A137</f>
        <v/>
      </c>
      <c r="B137" s="50" t="n">
        <v>0</v>
      </c>
      <c r="C137" s="50">
        <f>Subsurface_Inputs!$C$57+1.5*SIN(2*PI()*A137/35)</f>
        <v/>
      </c>
      <c r="D137" s="50">
        <f>Subsurface_Live_Data!M137+Subsurface_Inputs!$C$56*SIN(2*PI()*A137/31)</f>
        <v/>
      </c>
      <c r="E137" s="50">
        <f>IF(Subsurface_Live_Data!H137&gt;=Subsurface_Inputs!$C$42,Subsurface_Live_Data!N137+Subsurface_Inputs!$C$56*SIN(2*PI()*A137/27),NA())</f>
        <v/>
      </c>
      <c r="F137" s="50">
        <f>Subsurface_Live_Data!O137+Subsurface_Inputs!$C$56*SIN(2*PI()*A137/47)</f>
        <v/>
      </c>
      <c r="G137" s="50">
        <f>-55+3*SIN(2*PI()*A137/19)</f>
        <v/>
      </c>
    </row>
    <row r="138">
      <c r="A138" s="50">
        <f>Subsurface_Live_Data!A138</f>
        <v/>
      </c>
      <c r="B138" s="50" t="n">
        <v>0</v>
      </c>
      <c r="C138" s="50">
        <f>Subsurface_Inputs!$C$57+1.5*SIN(2*PI()*A138/35)</f>
        <v/>
      </c>
      <c r="D138" s="50">
        <f>Subsurface_Live_Data!M138+Subsurface_Inputs!$C$56*SIN(2*PI()*A138/31)</f>
        <v/>
      </c>
      <c r="E138" s="50">
        <f>IF(Subsurface_Live_Data!H138&gt;=Subsurface_Inputs!$C$42,Subsurface_Live_Data!N138+Subsurface_Inputs!$C$56*SIN(2*PI()*A138/27),NA())</f>
        <v/>
      </c>
      <c r="F138" s="50">
        <f>Subsurface_Live_Data!O138+Subsurface_Inputs!$C$56*SIN(2*PI()*A138/47)</f>
        <v/>
      </c>
      <c r="G138" s="50">
        <f>-55+3*SIN(2*PI()*A138/19)</f>
        <v/>
      </c>
    </row>
    <row r="139">
      <c r="A139" s="50">
        <f>Subsurface_Live_Data!A139</f>
        <v/>
      </c>
      <c r="B139" s="50" t="n">
        <v>0</v>
      </c>
      <c r="C139" s="50">
        <f>Subsurface_Inputs!$C$57+1.5*SIN(2*PI()*A139/35)</f>
        <v/>
      </c>
      <c r="D139" s="50">
        <f>Subsurface_Live_Data!M139+Subsurface_Inputs!$C$56*SIN(2*PI()*A139/31)</f>
        <v/>
      </c>
      <c r="E139" s="50">
        <f>IF(Subsurface_Live_Data!H139&gt;=Subsurface_Inputs!$C$42,Subsurface_Live_Data!N139+Subsurface_Inputs!$C$56*SIN(2*PI()*A139/27),NA())</f>
        <v/>
      </c>
      <c r="F139" s="50">
        <f>Subsurface_Live_Data!O139+Subsurface_Inputs!$C$56*SIN(2*PI()*A139/47)</f>
        <v/>
      </c>
      <c r="G139" s="50">
        <f>-55+3*SIN(2*PI()*A139/19)</f>
        <v/>
      </c>
    </row>
    <row r="140">
      <c r="A140" s="50">
        <f>Subsurface_Live_Data!A140</f>
        <v/>
      </c>
      <c r="B140" s="50" t="n">
        <v>0</v>
      </c>
      <c r="C140" s="50">
        <f>Subsurface_Inputs!$C$57+1.5*SIN(2*PI()*A140/35)</f>
        <v/>
      </c>
      <c r="D140" s="50">
        <f>Subsurface_Live_Data!M140+Subsurface_Inputs!$C$56*SIN(2*PI()*A140/31)</f>
        <v/>
      </c>
      <c r="E140" s="50">
        <f>IF(Subsurface_Live_Data!H140&gt;=Subsurface_Inputs!$C$42,Subsurface_Live_Data!N140+Subsurface_Inputs!$C$56*SIN(2*PI()*A140/27),NA())</f>
        <v/>
      </c>
      <c r="F140" s="50">
        <f>Subsurface_Live_Data!O140+Subsurface_Inputs!$C$56*SIN(2*PI()*A140/47)</f>
        <v/>
      </c>
      <c r="G140" s="50">
        <f>-55+3*SIN(2*PI()*A140/19)</f>
        <v/>
      </c>
    </row>
    <row r="141">
      <c r="A141" s="50">
        <f>Subsurface_Live_Data!A141</f>
        <v/>
      </c>
      <c r="B141" s="50" t="n">
        <v>0</v>
      </c>
      <c r="C141" s="50">
        <f>Subsurface_Inputs!$C$57+1.5*SIN(2*PI()*A141/35)</f>
        <v/>
      </c>
      <c r="D141" s="50">
        <f>Subsurface_Live_Data!M141+Subsurface_Inputs!$C$56*SIN(2*PI()*A141/31)</f>
        <v/>
      </c>
      <c r="E141" s="50">
        <f>IF(Subsurface_Live_Data!H141&gt;=Subsurface_Inputs!$C$42,Subsurface_Live_Data!N141+Subsurface_Inputs!$C$56*SIN(2*PI()*A141/27),NA())</f>
        <v/>
      </c>
      <c r="F141" s="50">
        <f>Subsurface_Live_Data!O141+Subsurface_Inputs!$C$56*SIN(2*PI()*A141/47)</f>
        <v/>
      </c>
      <c r="G141" s="50">
        <f>-55+3*SIN(2*PI()*A141/19)</f>
        <v/>
      </c>
    </row>
    <row r="142">
      <c r="A142" s="50">
        <f>Subsurface_Live_Data!A142</f>
        <v/>
      </c>
      <c r="B142" s="50" t="n">
        <v>0</v>
      </c>
      <c r="C142" s="50">
        <f>Subsurface_Inputs!$C$57+1.5*SIN(2*PI()*A142/35)</f>
        <v/>
      </c>
      <c r="D142" s="50">
        <f>Subsurface_Live_Data!M142+Subsurface_Inputs!$C$56*SIN(2*PI()*A142/31)</f>
        <v/>
      </c>
      <c r="E142" s="50">
        <f>IF(Subsurface_Live_Data!H142&gt;=Subsurface_Inputs!$C$42,Subsurface_Live_Data!N142+Subsurface_Inputs!$C$56*SIN(2*PI()*A142/27),NA())</f>
        <v/>
      </c>
      <c r="F142" s="50">
        <f>Subsurface_Live_Data!O142+Subsurface_Inputs!$C$56*SIN(2*PI()*A142/47)</f>
        <v/>
      </c>
      <c r="G142" s="50">
        <f>-55+3*SIN(2*PI()*A142/19)</f>
        <v/>
      </c>
    </row>
    <row r="143">
      <c r="A143" s="50">
        <f>Subsurface_Live_Data!A143</f>
        <v/>
      </c>
      <c r="B143" s="50" t="n">
        <v>0</v>
      </c>
      <c r="C143" s="50">
        <f>Subsurface_Inputs!$C$57+1.5*SIN(2*PI()*A143/35)</f>
        <v/>
      </c>
      <c r="D143" s="50">
        <f>Subsurface_Live_Data!M143+Subsurface_Inputs!$C$56*SIN(2*PI()*A143/31)</f>
        <v/>
      </c>
      <c r="E143" s="50">
        <f>IF(Subsurface_Live_Data!H143&gt;=Subsurface_Inputs!$C$42,Subsurface_Live_Data!N143+Subsurface_Inputs!$C$56*SIN(2*PI()*A143/27),NA())</f>
        <v/>
      </c>
      <c r="F143" s="50">
        <f>Subsurface_Live_Data!O143+Subsurface_Inputs!$C$56*SIN(2*PI()*A143/47)</f>
        <v/>
      </c>
      <c r="G143" s="50">
        <f>-55+3*SIN(2*PI()*A143/19)</f>
        <v/>
      </c>
    </row>
    <row r="144">
      <c r="A144" s="50">
        <f>Subsurface_Live_Data!A144</f>
        <v/>
      </c>
      <c r="B144" s="50" t="n">
        <v>0</v>
      </c>
      <c r="C144" s="50">
        <f>Subsurface_Inputs!$C$57+1.5*SIN(2*PI()*A144/35)</f>
        <v/>
      </c>
      <c r="D144" s="50">
        <f>Subsurface_Live_Data!M144+Subsurface_Inputs!$C$56*SIN(2*PI()*A144/31)</f>
        <v/>
      </c>
      <c r="E144" s="50">
        <f>IF(Subsurface_Live_Data!H144&gt;=Subsurface_Inputs!$C$42,Subsurface_Live_Data!N144+Subsurface_Inputs!$C$56*SIN(2*PI()*A144/27),NA())</f>
        <v/>
      </c>
      <c r="F144" s="50">
        <f>Subsurface_Live_Data!O144+Subsurface_Inputs!$C$56*SIN(2*PI()*A144/47)</f>
        <v/>
      </c>
      <c r="G144" s="50">
        <f>-55+3*SIN(2*PI()*A144/19)</f>
        <v/>
      </c>
    </row>
    <row r="145">
      <c r="A145" s="50">
        <f>Subsurface_Live_Data!A145</f>
        <v/>
      </c>
      <c r="B145" s="50" t="n">
        <v>0</v>
      </c>
      <c r="C145" s="50">
        <f>Subsurface_Inputs!$C$57+1.5*SIN(2*PI()*A145/35)</f>
        <v/>
      </c>
      <c r="D145" s="50">
        <f>Subsurface_Live_Data!M145+Subsurface_Inputs!$C$56*SIN(2*PI()*A145/31)</f>
        <v/>
      </c>
      <c r="E145" s="50">
        <f>IF(Subsurface_Live_Data!H145&gt;=Subsurface_Inputs!$C$42,Subsurface_Live_Data!N145+Subsurface_Inputs!$C$56*SIN(2*PI()*A145/27),NA())</f>
        <v/>
      </c>
      <c r="F145" s="50">
        <f>Subsurface_Live_Data!O145+Subsurface_Inputs!$C$56*SIN(2*PI()*A145/47)</f>
        <v/>
      </c>
      <c r="G145" s="50">
        <f>-55+3*SIN(2*PI()*A145/19)</f>
        <v/>
      </c>
    </row>
    <row r="146">
      <c r="A146" s="50">
        <f>Subsurface_Live_Data!A146</f>
        <v/>
      </c>
      <c r="B146" s="50" t="n">
        <v>0</v>
      </c>
      <c r="C146" s="50">
        <f>Subsurface_Inputs!$C$57+1.5*SIN(2*PI()*A146/35)</f>
        <v/>
      </c>
      <c r="D146" s="50">
        <f>Subsurface_Live_Data!M146+Subsurface_Inputs!$C$56*SIN(2*PI()*A146/31)</f>
        <v/>
      </c>
      <c r="E146" s="50">
        <f>IF(Subsurface_Live_Data!H146&gt;=Subsurface_Inputs!$C$42,Subsurface_Live_Data!N146+Subsurface_Inputs!$C$56*SIN(2*PI()*A146/27),NA())</f>
        <v/>
      </c>
      <c r="F146" s="50">
        <f>Subsurface_Live_Data!O146+Subsurface_Inputs!$C$56*SIN(2*PI()*A146/47)</f>
        <v/>
      </c>
      <c r="G146" s="50">
        <f>-55+3*SIN(2*PI()*A146/19)</f>
        <v/>
      </c>
    </row>
    <row r="147">
      <c r="A147" s="50">
        <f>Subsurface_Live_Data!A147</f>
        <v/>
      </c>
      <c r="B147" s="50" t="n">
        <v>0</v>
      </c>
      <c r="C147" s="50">
        <f>Subsurface_Inputs!$C$57+1.5*SIN(2*PI()*A147/35)</f>
        <v/>
      </c>
      <c r="D147" s="50">
        <f>Subsurface_Live_Data!M147+Subsurface_Inputs!$C$56*SIN(2*PI()*A147/31)</f>
        <v/>
      </c>
      <c r="E147" s="50">
        <f>IF(Subsurface_Live_Data!H147&gt;=Subsurface_Inputs!$C$42,Subsurface_Live_Data!N147+Subsurface_Inputs!$C$56*SIN(2*PI()*A147/27),NA())</f>
        <v/>
      </c>
      <c r="F147" s="50">
        <f>Subsurface_Live_Data!O147+Subsurface_Inputs!$C$56*SIN(2*PI()*A147/47)</f>
        <v/>
      </c>
      <c r="G147" s="50">
        <f>-55+3*SIN(2*PI()*A147/19)</f>
        <v/>
      </c>
    </row>
    <row r="148">
      <c r="A148" s="50">
        <f>Subsurface_Live_Data!A148</f>
        <v/>
      </c>
      <c r="B148" s="50" t="n">
        <v>0</v>
      </c>
      <c r="C148" s="50">
        <f>Subsurface_Inputs!$C$57+1.5*SIN(2*PI()*A148/35)</f>
        <v/>
      </c>
      <c r="D148" s="50">
        <f>Subsurface_Live_Data!M148+Subsurface_Inputs!$C$56*SIN(2*PI()*A148/31)</f>
        <v/>
      </c>
      <c r="E148" s="50">
        <f>IF(Subsurface_Live_Data!H148&gt;=Subsurface_Inputs!$C$42,Subsurface_Live_Data!N148+Subsurface_Inputs!$C$56*SIN(2*PI()*A148/27),NA())</f>
        <v/>
      </c>
      <c r="F148" s="50">
        <f>Subsurface_Live_Data!O148+Subsurface_Inputs!$C$56*SIN(2*PI()*A148/47)</f>
        <v/>
      </c>
      <c r="G148" s="50">
        <f>-55+3*SIN(2*PI()*A148/19)</f>
        <v/>
      </c>
    </row>
    <row r="149">
      <c r="A149" s="50">
        <f>Subsurface_Live_Data!A149</f>
        <v/>
      </c>
      <c r="B149" s="50" t="n">
        <v>0</v>
      </c>
      <c r="C149" s="50">
        <f>Subsurface_Inputs!$C$57+1.5*SIN(2*PI()*A149/35)</f>
        <v/>
      </c>
      <c r="D149" s="50">
        <f>Subsurface_Live_Data!M149+Subsurface_Inputs!$C$56*SIN(2*PI()*A149/31)</f>
        <v/>
      </c>
      <c r="E149" s="50">
        <f>IF(Subsurface_Live_Data!H149&gt;=Subsurface_Inputs!$C$42,Subsurface_Live_Data!N149+Subsurface_Inputs!$C$56*SIN(2*PI()*A149/27),NA())</f>
        <v/>
      </c>
      <c r="F149" s="50">
        <f>Subsurface_Live_Data!O149+Subsurface_Inputs!$C$56*SIN(2*PI()*A149/47)</f>
        <v/>
      </c>
      <c r="G149" s="50">
        <f>-55+3*SIN(2*PI()*A149/19)</f>
        <v/>
      </c>
    </row>
    <row r="150">
      <c r="A150" s="50">
        <f>Subsurface_Live_Data!A150</f>
        <v/>
      </c>
      <c r="B150" s="50" t="n">
        <v>0</v>
      </c>
      <c r="C150" s="50">
        <f>Subsurface_Inputs!$C$57+1.5*SIN(2*PI()*A150/35)</f>
        <v/>
      </c>
      <c r="D150" s="50">
        <f>Subsurface_Live_Data!M150+Subsurface_Inputs!$C$56*SIN(2*PI()*A150/31)</f>
        <v/>
      </c>
      <c r="E150" s="50">
        <f>IF(Subsurface_Live_Data!H150&gt;=Subsurface_Inputs!$C$42,Subsurface_Live_Data!N150+Subsurface_Inputs!$C$56*SIN(2*PI()*A150/27),NA())</f>
        <v/>
      </c>
      <c r="F150" s="50">
        <f>Subsurface_Live_Data!O150+Subsurface_Inputs!$C$56*SIN(2*PI()*A150/47)</f>
        <v/>
      </c>
      <c r="G150" s="50">
        <f>-55+3*SIN(2*PI()*A150/19)</f>
        <v/>
      </c>
    </row>
    <row r="151">
      <c r="A151" s="50">
        <f>Subsurface_Live_Data!A151</f>
        <v/>
      </c>
      <c r="B151" s="50" t="n">
        <v>0</v>
      </c>
      <c r="C151" s="50">
        <f>Subsurface_Inputs!$C$57+1.5*SIN(2*PI()*A151/35)</f>
        <v/>
      </c>
      <c r="D151" s="50">
        <f>Subsurface_Live_Data!M151+Subsurface_Inputs!$C$56*SIN(2*PI()*A151/31)</f>
        <v/>
      </c>
      <c r="E151" s="50">
        <f>IF(Subsurface_Live_Data!H151&gt;=Subsurface_Inputs!$C$42,Subsurface_Live_Data!N151+Subsurface_Inputs!$C$56*SIN(2*PI()*A151/27),NA())</f>
        <v/>
      </c>
      <c r="F151" s="50">
        <f>Subsurface_Live_Data!O151+Subsurface_Inputs!$C$56*SIN(2*PI()*A151/47)</f>
        <v/>
      </c>
      <c r="G151" s="50">
        <f>-55+3*SIN(2*PI()*A151/19)</f>
        <v/>
      </c>
    </row>
    <row r="152">
      <c r="A152" s="50">
        <f>Subsurface_Live_Data!A152</f>
        <v/>
      </c>
      <c r="B152" s="50" t="n">
        <v>0</v>
      </c>
      <c r="C152" s="50">
        <f>Subsurface_Inputs!$C$57+1.5*SIN(2*PI()*A152/35)</f>
        <v/>
      </c>
      <c r="D152" s="50">
        <f>Subsurface_Live_Data!M152+Subsurface_Inputs!$C$56*SIN(2*PI()*A152/31)</f>
        <v/>
      </c>
      <c r="E152" s="50">
        <f>IF(Subsurface_Live_Data!H152&gt;=Subsurface_Inputs!$C$42,Subsurface_Live_Data!N152+Subsurface_Inputs!$C$56*SIN(2*PI()*A152/27),NA())</f>
        <v/>
      </c>
      <c r="F152" s="50">
        <f>Subsurface_Live_Data!O152+Subsurface_Inputs!$C$56*SIN(2*PI()*A152/47)</f>
        <v/>
      </c>
      <c r="G152" s="50">
        <f>-55+3*SIN(2*PI()*A152/19)</f>
        <v/>
      </c>
    </row>
    <row r="153">
      <c r="A153" s="50">
        <f>Subsurface_Live_Data!A153</f>
        <v/>
      </c>
      <c r="B153" s="50" t="n">
        <v>0</v>
      </c>
      <c r="C153" s="50">
        <f>Subsurface_Inputs!$C$57+1.5*SIN(2*PI()*A153/35)</f>
        <v/>
      </c>
      <c r="D153" s="50">
        <f>Subsurface_Live_Data!M153+Subsurface_Inputs!$C$56*SIN(2*PI()*A153/31)</f>
        <v/>
      </c>
      <c r="E153" s="50">
        <f>IF(Subsurface_Live_Data!H153&gt;=Subsurface_Inputs!$C$42,Subsurface_Live_Data!N153+Subsurface_Inputs!$C$56*SIN(2*PI()*A153/27),NA())</f>
        <v/>
      </c>
      <c r="F153" s="50">
        <f>Subsurface_Live_Data!O153+Subsurface_Inputs!$C$56*SIN(2*PI()*A153/47)</f>
        <v/>
      </c>
      <c r="G153" s="50">
        <f>-55+3*SIN(2*PI()*A153/19)</f>
        <v/>
      </c>
    </row>
    <row r="154">
      <c r="A154" s="50">
        <f>Subsurface_Live_Data!A154</f>
        <v/>
      </c>
      <c r="B154" s="50" t="n">
        <v>0</v>
      </c>
      <c r="C154" s="50">
        <f>Subsurface_Inputs!$C$57+1.5*SIN(2*PI()*A154/35)</f>
        <v/>
      </c>
      <c r="D154" s="50">
        <f>Subsurface_Live_Data!M154+Subsurface_Inputs!$C$56*SIN(2*PI()*A154/31)</f>
        <v/>
      </c>
      <c r="E154" s="50">
        <f>IF(Subsurface_Live_Data!H154&gt;=Subsurface_Inputs!$C$42,Subsurface_Live_Data!N154+Subsurface_Inputs!$C$56*SIN(2*PI()*A154/27),NA())</f>
        <v/>
      </c>
      <c r="F154" s="50">
        <f>Subsurface_Live_Data!O154+Subsurface_Inputs!$C$56*SIN(2*PI()*A154/47)</f>
        <v/>
      </c>
      <c r="G154" s="50">
        <f>-55+3*SIN(2*PI()*A154/19)</f>
        <v/>
      </c>
    </row>
    <row r="155">
      <c r="A155" s="50">
        <f>Subsurface_Live_Data!A155</f>
        <v/>
      </c>
      <c r="B155" s="50" t="n">
        <v>0</v>
      </c>
      <c r="C155" s="50">
        <f>Subsurface_Inputs!$C$57+1.5*SIN(2*PI()*A155/35)</f>
        <v/>
      </c>
      <c r="D155" s="50">
        <f>Subsurface_Live_Data!M155+Subsurface_Inputs!$C$56*SIN(2*PI()*A155/31)</f>
        <v/>
      </c>
      <c r="E155" s="50">
        <f>IF(Subsurface_Live_Data!H155&gt;=Subsurface_Inputs!$C$42,Subsurface_Live_Data!N155+Subsurface_Inputs!$C$56*SIN(2*PI()*A155/27),NA())</f>
        <v/>
      </c>
      <c r="F155" s="50">
        <f>Subsurface_Live_Data!O155+Subsurface_Inputs!$C$56*SIN(2*PI()*A155/47)</f>
        <v/>
      </c>
      <c r="G155" s="50">
        <f>-55+3*SIN(2*PI()*A155/19)</f>
        <v/>
      </c>
    </row>
    <row r="156">
      <c r="A156" s="50">
        <f>Subsurface_Live_Data!A156</f>
        <v/>
      </c>
      <c r="B156" s="50" t="n">
        <v>0</v>
      </c>
      <c r="C156" s="50">
        <f>Subsurface_Inputs!$C$57+1.5*SIN(2*PI()*A156/35)</f>
        <v/>
      </c>
      <c r="D156" s="50">
        <f>Subsurface_Live_Data!M156+Subsurface_Inputs!$C$56*SIN(2*PI()*A156/31)</f>
        <v/>
      </c>
      <c r="E156" s="50">
        <f>IF(Subsurface_Live_Data!H156&gt;=Subsurface_Inputs!$C$42,Subsurface_Live_Data!N156+Subsurface_Inputs!$C$56*SIN(2*PI()*A156/27),NA())</f>
        <v/>
      </c>
      <c r="F156" s="50">
        <f>Subsurface_Live_Data!O156+Subsurface_Inputs!$C$56*SIN(2*PI()*A156/47)</f>
        <v/>
      </c>
      <c r="G156" s="50">
        <f>-55+3*SIN(2*PI()*A156/19)</f>
        <v/>
      </c>
    </row>
    <row r="157">
      <c r="A157" s="50">
        <f>Subsurface_Live_Data!A157</f>
        <v/>
      </c>
      <c r="B157" s="50" t="n">
        <v>0</v>
      </c>
      <c r="C157" s="50">
        <f>Subsurface_Inputs!$C$57+1.5*SIN(2*PI()*A157/35)</f>
        <v/>
      </c>
      <c r="D157" s="50">
        <f>Subsurface_Live_Data!M157+Subsurface_Inputs!$C$56*SIN(2*PI()*A157/31)</f>
        <v/>
      </c>
      <c r="E157" s="50">
        <f>IF(Subsurface_Live_Data!H157&gt;=Subsurface_Inputs!$C$42,Subsurface_Live_Data!N157+Subsurface_Inputs!$C$56*SIN(2*PI()*A157/27),NA())</f>
        <v/>
      </c>
      <c r="F157" s="50">
        <f>Subsurface_Live_Data!O157+Subsurface_Inputs!$C$56*SIN(2*PI()*A157/47)</f>
        <v/>
      </c>
      <c r="G157" s="50">
        <f>-55+3*SIN(2*PI()*A157/19)</f>
        <v/>
      </c>
    </row>
    <row r="158">
      <c r="A158" s="50">
        <f>Subsurface_Live_Data!A158</f>
        <v/>
      </c>
      <c r="B158" s="50" t="n">
        <v>0</v>
      </c>
      <c r="C158" s="50">
        <f>Subsurface_Inputs!$C$57+1.5*SIN(2*PI()*A158/35)</f>
        <v/>
      </c>
      <c r="D158" s="50">
        <f>Subsurface_Live_Data!M158+Subsurface_Inputs!$C$56*SIN(2*PI()*A158/31)</f>
        <v/>
      </c>
      <c r="E158" s="50">
        <f>IF(Subsurface_Live_Data!H158&gt;=Subsurface_Inputs!$C$42,Subsurface_Live_Data!N158+Subsurface_Inputs!$C$56*SIN(2*PI()*A158/27),NA())</f>
        <v/>
      </c>
      <c r="F158" s="50">
        <f>Subsurface_Live_Data!O158+Subsurface_Inputs!$C$56*SIN(2*PI()*A158/47)</f>
        <v/>
      </c>
      <c r="G158" s="50">
        <f>-55+3*SIN(2*PI()*A158/19)</f>
        <v/>
      </c>
    </row>
    <row r="159">
      <c r="A159" s="50">
        <f>Subsurface_Live_Data!A159</f>
        <v/>
      </c>
      <c r="B159" s="50" t="n">
        <v>0</v>
      </c>
      <c r="C159" s="50">
        <f>Subsurface_Inputs!$C$57+1.5*SIN(2*PI()*A159/35)</f>
        <v/>
      </c>
      <c r="D159" s="50">
        <f>Subsurface_Live_Data!M159+Subsurface_Inputs!$C$56*SIN(2*PI()*A159/31)</f>
        <v/>
      </c>
      <c r="E159" s="50">
        <f>IF(Subsurface_Live_Data!H159&gt;=Subsurface_Inputs!$C$42,Subsurface_Live_Data!N159+Subsurface_Inputs!$C$56*SIN(2*PI()*A159/27),NA())</f>
        <v/>
      </c>
      <c r="F159" s="50">
        <f>Subsurface_Live_Data!O159+Subsurface_Inputs!$C$56*SIN(2*PI()*A159/47)</f>
        <v/>
      </c>
      <c r="G159" s="50">
        <f>-55+3*SIN(2*PI()*A159/19)</f>
        <v/>
      </c>
    </row>
    <row r="160">
      <c r="A160" s="50">
        <f>Subsurface_Live_Data!A160</f>
        <v/>
      </c>
      <c r="B160" s="50" t="n">
        <v>0</v>
      </c>
      <c r="C160" s="50">
        <f>Subsurface_Inputs!$C$57+1.5*SIN(2*PI()*A160/35)</f>
        <v/>
      </c>
      <c r="D160" s="50">
        <f>Subsurface_Live_Data!M160+Subsurface_Inputs!$C$56*SIN(2*PI()*A160/31)</f>
        <v/>
      </c>
      <c r="E160" s="50">
        <f>IF(Subsurface_Live_Data!H160&gt;=Subsurface_Inputs!$C$42,Subsurface_Live_Data!N160+Subsurface_Inputs!$C$56*SIN(2*PI()*A160/27),NA())</f>
        <v/>
      </c>
      <c r="F160" s="50">
        <f>Subsurface_Live_Data!O160+Subsurface_Inputs!$C$56*SIN(2*PI()*A160/47)</f>
        <v/>
      </c>
      <c r="G160" s="50">
        <f>-55+3*SIN(2*PI()*A160/19)</f>
        <v/>
      </c>
    </row>
    <row r="161">
      <c r="A161" s="50">
        <f>Subsurface_Live_Data!A161</f>
        <v/>
      </c>
      <c r="B161" s="50" t="n">
        <v>0</v>
      </c>
      <c r="C161" s="50">
        <f>Subsurface_Inputs!$C$57+1.5*SIN(2*PI()*A161/35)</f>
        <v/>
      </c>
      <c r="D161" s="50">
        <f>Subsurface_Live_Data!M161+Subsurface_Inputs!$C$56*SIN(2*PI()*A161/31)</f>
        <v/>
      </c>
      <c r="E161" s="50">
        <f>IF(Subsurface_Live_Data!H161&gt;=Subsurface_Inputs!$C$42,Subsurface_Live_Data!N161+Subsurface_Inputs!$C$56*SIN(2*PI()*A161/27),NA())</f>
        <v/>
      </c>
      <c r="F161" s="50">
        <f>Subsurface_Live_Data!O161+Subsurface_Inputs!$C$56*SIN(2*PI()*A161/47)</f>
        <v/>
      </c>
      <c r="G161" s="50">
        <f>-55+3*SIN(2*PI()*A161/19)</f>
        <v/>
      </c>
    </row>
    <row r="162">
      <c r="A162" s="50">
        <f>Subsurface_Live_Data!A162</f>
        <v/>
      </c>
      <c r="B162" s="50" t="n">
        <v>0</v>
      </c>
      <c r="C162" s="50">
        <f>Subsurface_Inputs!$C$57+1.5*SIN(2*PI()*A162/35)</f>
        <v/>
      </c>
      <c r="D162" s="50">
        <f>Subsurface_Live_Data!M162+Subsurface_Inputs!$C$56*SIN(2*PI()*A162/31)</f>
        <v/>
      </c>
      <c r="E162" s="50">
        <f>IF(Subsurface_Live_Data!H162&gt;=Subsurface_Inputs!$C$42,Subsurface_Live_Data!N162+Subsurface_Inputs!$C$56*SIN(2*PI()*A162/27),NA())</f>
        <v/>
      </c>
      <c r="F162" s="50">
        <f>Subsurface_Live_Data!O162+Subsurface_Inputs!$C$56*SIN(2*PI()*A162/47)</f>
        <v/>
      </c>
      <c r="G162" s="50">
        <f>-55+3*SIN(2*PI()*A162/19)</f>
        <v/>
      </c>
    </row>
    <row r="163">
      <c r="A163" s="50">
        <f>Subsurface_Live_Data!A163</f>
        <v/>
      </c>
      <c r="B163" s="50" t="n">
        <v>0</v>
      </c>
      <c r="C163" s="50">
        <f>Subsurface_Inputs!$C$57+1.5*SIN(2*PI()*A163/35)</f>
        <v/>
      </c>
      <c r="D163" s="50">
        <f>Subsurface_Live_Data!M163+Subsurface_Inputs!$C$56*SIN(2*PI()*A163/31)</f>
        <v/>
      </c>
      <c r="E163" s="50">
        <f>IF(Subsurface_Live_Data!H163&gt;=Subsurface_Inputs!$C$42,Subsurface_Live_Data!N163+Subsurface_Inputs!$C$56*SIN(2*PI()*A163/27),NA())</f>
        <v/>
      </c>
      <c r="F163" s="50">
        <f>Subsurface_Live_Data!O163+Subsurface_Inputs!$C$56*SIN(2*PI()*A163/47)</f>
        <v/>
      </c>
      <c r="G163" s="50">
        <f>-55+3*SIN(2*PI()*A163/19)</f>
        <v/>
      </c>
    </row>
    <row r="164">
      <c r="A164" s="50">
        <f>Subsurface_Live_Data!A164</f>
        <v/>
      </c>
      <c r="B164" s="50" t="n">
        <v>0</v>
      </c>
      <c r="C164" s="50">
        <f>Subsurface_Inputs!$C$57+1.5*SIN(2*PI()*A164/35)</f>
        <v/>
      </c>
      <c r="D164" s="50">
        <f>Subsurface_Live_Data!M164+Subsurface_Inputs!$C$56*SIN(2*PI()*A164/31)</f>
        <v/>
      </c>
      <c r="E164" s="50">
        <f>IF(Subsurface_Live_Data!H164&gt;=Subsurface_Inputs!$C$42,Subsurface_Live_Data!N164+Subsurface_Inputs!$C$56*SIN(2*PI()*A164/27),NA())</f>
        <v/>
      </c>
      <c r="F164" s="50">
        <f>Subsurface_Live_Data!O164+Subsurface_Inputs!$C$56*SIN(2*PI()*A164/47)</f>
        <v/>
      </c>
      <c r="G164" s="50">
        <f>-55+3*SIN(2*PI()*A164/19)</f>
        <v/>
      </c>
    </row>
    <row r="165">
      <c r="A165" s="50">
        <f>Subsurface_Live_Data!A165</f>
        <v/>
      </c>
      <c r="B165" s="50" t="n">
        <v>0</v>
      </c>
      <c r="C165" s="50">
        <f>Subsurface_Inputs!$C$57+1.5*SIN(2*PI()*A165/35)</f>
        <v/>
      </c>
      <c r="D165" s="50">
        <f>Subsurface_Live_Data!M165+Subsurface_Inputs!$C$56*SIN(2*PI()*A165/31)</f>
        <v/>
      </c>
      <c r="E165" s="50">
        <f>IF(Subsurface_Live_Data!H165&gt;=Subsurface_Inputs!$C$42,Subsurface_Live_Data!N165+Subsurface_Inputs!$C$56*SIN(2*PI()*A165/27),NA())</f>
        <v/>
      </c>
      <c r="F165" s="50">
        <f>Subsurface_Live_Data!O165+Subsurface_Inputs!$C$56*SIN(2*PI()*A165/47)</f>
        <v/>
      </c>
      <c r="G165" s="50">
        <f>-55+3*SIN(2*PI()*A165/19)</f>
        <v/>
      </c>
    </row>
    <row r="166">
      <c r="A166" s="50">
        <f>Subsurface_Live_Data!A166</f>
        <v/>
      </c>
      <c r="B166" s="50" t="n">
        <v>0</v>
      </c>
      <c r="C166" s="50">
        <f>Subsurface_Inputs!$C$57+1.5*SIN(2*PI()*A166/35)</f>
        <v/>
      </c>
      <c r="D166" s="50">
        <f>Subsurface_Live_Data!M166+Subsurface_Inputs!$C$56*SIN(2*PI()*A166/31)</f>
        <v/>
      </c>
      <c r="E166" s="50">
        <f>IF(Subsurface_Live_Data!H166&gt;=Subsurface_Inputs!$C$42,Subsurface_Live_Data!N166+Subsurface_Inputs!$C$56*SIN(2*PI()*A166/27),NA())</f>
        <v/>
      </c>
      <c r="F166" s="50">
        <f>Subsurface_Live_Data!O166+Subsurface_Inputs!$C$56*SIN(2*PI()*A166/47)</f>
        <v/>
      </c>
      <c r="G166" s="50">
        <f>-55+3*SIN(2*PI()*A166/19)</f>
        <v/>
      </c>
    </row>
    <row r="167">
      <c r="A167" s="50">
        <f>Subsurface_Live_Data!A167</f>
        <v/>
      </c>
      <c r="B167" s="50" t="n">
        <v>0</v>
      </c>
      <c r="C167" s="50">
        <f>Subsurface_Inputs!$C$57+1.5*SIN(2*PI()*A167/35)</f>
        <v/>
      </c>
      <c r="D167" s="50">
        <f>Subsurface_Live_Data!M167+Subsurface_Inputs!$C$56*SIN(2*PI()*A167/31)</f>
        <v/>
      </c>
      <c r="E167" s="50">
        <f>IF(Subsurface_Live_Data!H167&gt;=Subsurface_Inputs!$C$42,Subsurface_Live_Data!N167+Subsurface_Inputs!$C$56*SIN(2*PI()*A167/27),NA())</f>
        <v/>
      </c>
      <c r="F167" s="50">
        <f>Subsurface_Live_Data!O167+Subsurface_Inputs!$C$56*SIN(2*PI()*A167/47)</f>
        <v/>
      </c>
      <c r="G167" s="50">
        <f>-55+3*SIN(2*PI()*A167/19)</f>
        <v/>
      </c>
    </row>
    <row r="168">
      <c r="A168" s="50">
        <f>Subsurface_Live_Data!A168</f>
        <v/>
      </c>
      <c r="B168" s="50" t="n">
        <v>0</v>
      </c>
      <c r="C168" s="50">
        <f>Subsurface_Inputs!$C$57+1.5*SIN(2*PI()*A168/35)</f>
        <v/>
      </c>
      <c r="D168" s="50">
        <f>Subsurface_Live_Data!M168+Subsurface_Inputs!$C$56*SIN(2*PI()*A168/31)</f>
        <v/>
      </c>
      <c r="E168" s="50">
        <f>IF(Subsurface_Live_Data!H168&gt;=Subsurface_Inputs!$C$42,Subsurface_Live_Data!N168+Subsurface_Inputs!$C$56*SIN(2*PI()*A168/27),NA())</f>
        <v/>
      </c>
      <c r="F168" s="50">
        <f>Subsurface_Live_Data!O168+Subsurface_Inputs!$C$56*SIN(2*PI()*A168/47)</f>
        <v/>
      </c>
      <c r="G168" s="50">
        <f>-55+3*SIN(2*PI()*A168/19)</f>
        <v/>
      </c>
    </row>
    <row r="169">
      <c r="A169" s="50">
        <f>Subsurface_Live_Data!A169</f>
        <v/>
      </c>
      <c r="B169" s="50" t="n">
        <v>0</v>
      </c>
      <c r="C169" s="50">
        <f>Subsurface_Inputs!$C$57+1.5*SIN(2*PI()*A169/35)</f>
        <v/>
      </c>
      <c r="D169" s="50">
        <f>Subsurface_Live_Data!M169+Subsurface_Inputs!$C$56*SIN(2*PI()*A169/31)</f>
        <v/>
      </c>
      <c r="E169" s="50">
        <f>IF(Subsurface_Live_Data!H169&gt;=Subsurface_Inputs!$C$42,Subsurface_Live_Data!N169+Subsurface_Inputs!$C$56*SIN(2*PI()*A169/27),NA())</f>
        <v/>
      </c>
      <c r="F169" s="50">
        <f>Subsurface_Live_Data!O169+Subsurface_Inputs!$C$56*SIN(2*PI()*A169/47)</f>
        <v/>
      </c>
      <c r="G169" s="50">
        <f>-55+3*SIN(2*PI()*A169/19)</f>
        <v/>
      </c>
    </row>
    <row r="170">
      <c r="A170" s="50">
        <f>Subsurface_Live_Data!A170</f>
        <v/>
      </c>
      <c r="B170" s="50" t="n">
        <v>0</v>
      </c>
      <c r="C170" s="50">
        <f>Subsurface_Inputs!$C$57+1.5*SIN(2*PI()*A170/35)</f>
        <v/>
      </c>
      <c r="D170" s="50">
        <f>Subsurface_Live_Data!M170+Subsurface_Inputs!$C$56*SIN(2*PI()*A170/31)</f>
        <v/>
      </c>
      <c r="E170" s="50">
        <f>IF(Subsurface_Live_Data!H170&gt;=Subsurface_Inputs!$C$42,Subsurface_Live_Data!N170+Subsurface_Inputs!$C$56*SIN(2*PI()*A170/27),NA())</f>
        <v/>
      </c>
      <c r="F170" s="50">
        <f>Subsurface_Live_Data!O170+Subsurface_Inputs!$C$56*SIN(2*PI()*A170/47)</f>
        <v/>
      </c>
      <c r="G170" s="50">
        <f>-55+3*SIN(2*PI()*A170/19)</f>
        <v/>
      </c>
    </row>
    <row r="171">
      <c r="A171" s="50">
        <f>Subsurface_Live_Data!A171</f>
        <v/>
      </c>
      <c r="B171" s="50" t="n">
        <v>0</v>
      </c>
      <c r="C171" s="50">
        <f>Subsurface_Inputs!$C$57+1.5*SIN(2*PI()*A171/35)</f>
        <v/>
      </c>
      <c r="D171" s="50">
        <f>Subsurface_Live_Data!M171+Subsurface_Inputs!$C$56*SIN(2*PI()*A171/31)</f>
        <v/>
      </c>
      <c r="E171" s="50">
        <f>IF(Subsurface_Live_Data!H171&gt;=Subsurface_Inputs!$C$42,Subsurface_Live_Data!N171+Subsurface_Inputs!$C$56*SIN(2*PI()*A171/27),NA())</f>
        <v/>
      </c>
      <c r="F171" s="50">
        <f>Subsurface_Live_Data!O171+Subsurface_Inputs!$C$56*SIN(2*PI()*A171/47)</f>
        <v/>
      </c>
      <c r="G171" s="50">
        <f>-55+3*SIN(2*PI()*A171/19)</f>
        <v/>
      </c>
    </row>
    <row r="172">
      <c r="A172" s="50">
        <f>Subsurface_Live_Data!A172</f>
        <v/>
      </c>
      <c r="B172" s="50" t="n">
        <v>0</v>
      </c>
      <c r="C172" s="50">
        <f>Subsurface_Inputs!$C$57+1.5*SIN(2*PI()*A172/35)</f>
        <v/>
      </c>
      <c r="D172" s="50">
        <f>Subsurface_Live_Data!M172+Subsurface_Inputs!$C$56*SIN(2*PI()*A172/31)</f>
        <v/>
      </c>
      <c r="E172" s="50">
        <f>IF(Subsurface_Live_Data!H172&gt;=Subsurface_Inputs!$C$42,Subsurface_Live_Data!N172+Subsurface_Inputs!$C$56*SIN(2*PI()*A172/27),NA())</f>
        <v/>
      </c>
      <c r="F172" s="50">
        <f>Subsurface_Live_Data!O172+Subsurface_Inputs!$C$56*SIN(2*PI()*A172/47)</f>
        <v/>
      </c>
      <c r="G172" s="50">
        <f>-55+3*SIN(2*PI()*A172/19)</f>
        <v/>
      </c>
    </row>
    <row r="173">
      <c r="A173" s="50">
        <f>Subsurface_Live_Data!A173</f>
        <v/>
      </c>
      <c r="B173" s="50" t="n">
        <v>0</v>
      </c>
      <c r="C173" s="50">
        <f>Subsurface_Inputs!$C$57+1.5*SIN(2*PI()*A173/35)</f>
        <v/>
      </c>
      <c r="D173" s="50">
        <f>Subsurface_Live_Data!M173+Subsurface_Inputs!$C$56*SIN(2*PI()*A173/31)</f>
        <v/>
      </c>
      <c r="E173" s="50">
        <f>IF(Subsurface_Live_Data!H173&gt;=Subsurface_Inputs!$C$42,Subsurface_Live_Data!N173+Subsurface_Inputs!$C$56*SIN(2*PI()*A173/27),NA())</f>
        <v/>
      </c>
      <c r="F173" s="50">
        <f>Subsurface_Live_Data!O173+Subsurface_Inputs!$C$56*SIN(2*PI()*A173/47)</f>
        <v/>
      </c>
      <c r="G173" s="50">
        <f>-55+3*SIN(2*PI()*A173/19)</f>
        <v/>
      </c>
    </row>
    <row r="174">
      <c r="A174" s="50">
        <f>Subsurface_Live_Data!A174</f>
        <v/>
      </c>
      <c r="B174" s="50" t="n">
        <v>0</v>
      </c>
      <c r="C174" s="50">
        <f>Subsurface_Inputs!$C$57+1.5*SIN(2*PI()*A174/35)</f>
        <v/>
      </c>
      <c r="D174" s="50">
        <f>Subsurface_Live_Data!M174+Subsurface_Inputs!$C$56*SIN(2*PI()*A174/31)</f>
        <v/>
      </c>
      <c r="E174" s="50">
        <f>IF(Subsurface_Live_Data!H174&gt;=Subsurface_Inputs!$C$42,Subsurface_Live_Data!N174+Subsurface_Inputs!$C$56*SIN(2*PI()*A174/27),NA())</f>
        <v/>
      </c>
      <c r="F174" s="50">
        <f>Subsurface_Live_Data!O174+Subsurface_Inputs!$C$56*SIN(2*PI()*A174/47)</f>
        <v/>
      </c>
      <c r="G174" s="50">
        <f>-55+3*SIN(2*PI()*A174/19)</f>
        <v/>
      </c>
    </row>
    <row r="175">
      <c r="A175" s="50">
        <f>Subsurface_Live_Data!A175</f>
        <v/>
      </c>
      <c r="B175" s="50" t="n">
        <v>0</v>
      </c>
      <c r="C175" s="50">
        <f>Subsurface_Inputs!$C$57+1.5*SIN(2*PI()*A175/35)</f>
        <v/>
      </c>
      <c r="D175" s="50">
        <f>Subsurface_Live_Data!M175+Subsurface_Inputs!$C$56*SIN(2*PI()*A175/31)</f>
        <v/>
      </c>
      <c r="E175" s="50">
        <f>IF(Subsurface_Live_Data!H175&gt;=Subsurface_Inputs!$C$42,Subsurface_Live_Data!N175+Subsurface_Inputs!$C$56*SIN(2*PI()*A175/27),NA())</f>
        <v/>
      </c>
      <c r="F175" s="50">
        <f>Subsurface_Live_Data!O175+Subsurface_Inputs!$C$56*SIN(2*PI()*A175/47)</f>
        <v/>
      </c>
      <c r="G175" s="50">
        <f>-55+3*SIN(2*PI()*A175/19)</f>
        <v/>
      </c>
    </row>
    <row r="176">
      <c r="A176" s="50">
        <f>Subsurface_Live_Data!A176</f>
        <v/>
      </c>
      <c r="B176" s="50" t="n">
        <v>0</v>
      </c>
      <c r="C176" s="50">
        <f>Subsurface_Inputs!$C$57+1.5*SIN(2*PI()*A176/35)</f>
        <v/>
      </c>
      <c r="D176" s="50">
        <f>Subsurface_Live_Data!M176+Subsurface_Inputs!$C$56*SIN(2*PI()*A176/31)</f>
        <v/>
      </c>
      <c r="E176" s="50">
        <f>IF(Subsurface_Live_Data!H176&gt;=Subsurface_Inputs!$C$42,Subsurface_Live_Data!N176+Subsurface_Inputs!$C$56*SIN(2*PI()*A176/27),NA())</f>
        <v/>
      </c>
      <c r="F176" s="50">
        <f>Subsurface_Live_Data!O176+Subsurface_Inputs!$C$56*SIN(2*PI()*A176/47)</f>
        <v/>
      </c>
      <c r="G176" s="50">
        <f>-55+3*SIN(2*PI()*A176/19)</f>
        <v/>
      </c>
    </row>
    <row r="177">
      <c r="A177" s="50">
        <f>Subsurface_Live_Data!A177</f>
        <v/>
      </c>
      <c r="B177" s="50" t="n">
        <v>0</v>
      </c>
      <c r="C177" s="50">
        <f>Subsurface_Inputs!$C$57+1.5*SIN(2*PI()*A177/35)</f>
        <v/>
      </c>
      <c r="D177" s="50">
        <f>Subsurface_Live_Data!M177+Subsurface_Inputs!$C$56*SIN(2*PI()*A177/31)</f>
        <v/>
      </c>
      <c r="E177" s="50">
        <f>IF(Subsurface_Live_Data!H177&gt;=Subsurface_Inputs!$C$42,Subsurface_Live_Data!N177+Subsurface_Inputs!$C$56*SIN(2*PI()*A177/27),NA())</f>
        <v/>
      </c>
      <c r="F177" s="50">
        <f>Subsurface_Live_Data!O177+Subsurface_Inputs!$C$56*SIN(2*PI()*A177/47)</f>
        <v/>
      </c>
      <c r="G177" s="50">
        <f>-55+3*SIN(2*PI()*A177/19)</f>
        <v/>
      </c>
    </row>
    <row r="178">
      <c r="A178" s="50">
        <f>Subsurface_Live_Data!A178</f>
        <v/>
      </c>
      <c r="B178" s="50" t="n">
        <v>0</v>
      </c>
      <c r="C178" s="50">
        <f>Subsurface_Inputs!$C$57+1.5*SIN(2*PI()*A178/35)</f>
        <v/>
      </c>
      <c r="D178" s="50">
        <f>Subsurface_Live_Data!M178+Subsurface_Inputs!$C$56*SIN(2*PI()*A178/31)</f>
        <v/>
      </c>
      <c r="E178" s="50">
        <f>IF(Subsurface_Live_Data!H178&gt;=Subsurface_Inputs!$C$42,Subsurface_Live_Data!N178+Subsurface_Inputs!$C$56*SIN(2*PI()*A178/27),NA())</f>
        <v/>
      </c>
      <c r="F178" s="50">
        <f>Subsurface_Live_Data!O178+Subsurface_Inputs!$C$56*SIN(2*PI()*A178/47)</f>
        <v/>
      </c>
      <c r="G178" s="50">
        <f>-55+3*SIN(2*PI()*A178/19)</f>
        <v/>
      </c>
    </row>
    <row r="179">
      <c r="A179" s="50">
        <f>Subsurface_Live_Data!A179</f>
        <v/>
      </c>
      <c r="B179" s="50" t="n">
        <v>0</v>
      </c>
      <c r="C179" s="50">
        <f>Subsurface_Inputs!$C$57+1.5*SIN(2*PI()*A179/35)</f>
        <v/>
      </c>
      <c r="D179" s="50">
        <f>Subsurface_Live_Data!M179+Subsurface_Inputs!$C$56*SIN(2*PI()*A179/31)</f>
        <v/>
      </c>
      <c r="E179" s="50">
        <f>IF(Subsurface_Live_Data!H179&gt;=Subsurface_Inputs!$C$42,Subsurface_Live_Data!N179+Subsurface_Inputs!$C$56*SIN(2*PI()*A179/27),NA())</f>
        <v/>
      </c>
      <c r="F179" s="50">
        <f>Subsurface_Live_Data!O179+Subsurface_Inputs!$C$56*SIN(2*PI()*A179/47)</f>
        <v/>
      </c>
      <c r="G179" s="50">
        <f>-55+3*SIN(2*PI()*A179/19)</f>
        <v/>
      </c>
    </row>
    <row r="180">
      <c r="A180" s="50">
        <f>Subsurface_Live_Data!A180</f>
        <v/>
      </c>
      <c r="B180" s="50" t="n">
        <v>0</v>
      </c>
      <c r="C180" s="50">
        <f>Subsurface_Inputs!$C$57+1.5*SIN(2*PI()*A180/35)</f>
        <v/>
      </c>
      <c r="D180" s="50">
        <f>Subsurface_Live_Data!M180+Subsurface_Inputs!$C$56*SIN(2*PI()*A180/31)</f>
        <v/>
      </c>
      <c r="E180" s="50">
        <f>IF(Subsurface_Live_Data!H180&gt;=Subsurface_Inputs!$C$42,Subsurface_Live_Data!N180+Subsurface_Inputs!$C$56*SIN(2*PI()*A180/27),NA())</f>
        <v/>
      </c>
      <c r="F180" s="50">
        <f>Subsurface_Live_Data!O180+Subsurface_Inputs!$C$56*SIN(2*PI()*A180/47)</f>
        <v/>
      </c>
      <c r="G180" s="50">
        <f>-55+3*SIN(2*PI()*A180/19)</f>
        <v/>
      </c>
    </row>
    <row r="181">
      <c r="A181" s="50">
        <f>Subsurface_Live_Data!A181</f>
        <v/>
      </c>
      <c r="B181" s="50" t="n">
        <v>0</v>
      </c>
      <c r="C181" s="50">
        <f>Subsurface_Inputs!$C$57+1.5*SIN(2*PI()*A181/35)</f>
        <v/>
      </c>
      <c r="D181" s="50">
        <f>Subsurface_Live_Data!M181+Subsurface_Inputs!$C$56*SIN(2*PI()*A181/31)</f>
        <v/>
      </c>
      <c r="E181" s="50">
        <f>IF(Subsurface_Live_Data!H181&gt;=Subsurface_Inputs!$C$42,Subsurface_Live_Data!N181+Subsurface_Inputs!$C$56*SIN(2*PI()*A181/27),NA())</f>
        <v/>
      </c>
      <c r="F181" s="50">
        <f>Subsurface_Live_Data!O181+Subsurface_Inputs!$C$56*SIN(2*PI()*A181/47)</f>
        <v/>
      </c>
      <c r="G181" s="50">
        <f>-55+3*SIN(2*PI()*A181/19)</f>
        <v/>
      </c>
    </row>
    <row r="182">
      <c r="A182" s="50">
        <f>Subsurface_Live_Data!A182</f>
        <v/>
      </c>
      <c r="B182" s="50" t="n">
        <v>0</v>
      </c>
      <c r="C182" s="50">
        <f>Subsurface_Inputs!$C$57+1.5*SIN(2*PI()*A182/35)</f>
        <v/>
      </c>
      <c r="D182" s="50">
        <f>Subsurface_Live_Data!M182+Subsurface_Inputs!$C$56*SIN(2*PI()*A182/31)</f>
        <v/>
      </c>
      <c r="E182" s="50">
        <f>IF(Subsurface_Live_Data!H182&gt;=Subsurface_Inputs!$C$42,Subsurface_Live_Data!N182+Subsurface_Inputs!$C$56*SIN(2*PI()*A182/27),NA())</f>
        <v/>
      </c>
      <c r="F182" s="50">
        <f>Subsurface_Live_Data!O182+Subsurface_Inputs!$C$56*SIN(2*PI()*A182/47)</f>
        <v/>
      </c>
      <c r="G182" s="50">
        <f>-55+3*SIN(2*PI()*A182/19)</f>
        <v/>
      </c>
    </row>
    <row r="183">
      <c r="A183" s="50">
        <f>Subsurface_Live_Data!A183</f>
        <v/>
      </c>
      <c r="B183" s="50" t="n">
        <v>0</v>
      </c>
      <c r="C183" s="50">
        <f>Subsurface_Inputs!$C$57+1.5*SIN(2*PI()*A183/35)</f>
        <v/>
      </c>
      <c r="D183" s="50">
        <f>Subsurface_Live_Data!M183+Subsurface_Inputs!$C$56*SIN(2*PI()*A183/31)</f>
        <v/>
      </c>
      <c r="E183" s="50">
        <f>IF(Subsurface_Live_Data!H183&gt;=Subsurface_Inputs!$C$42,Subsurface_Live_Data!N183+Subsurface_Inputs!$C$56*SIN(2*PI()*A183/27),NA())</f>
        <v/>
      </c>
      <c r="F183" s="50">
        <f>Subsurface_Live_Data!O183+Subsurface_Inputs!$C$56*SIN(2*PI()*A183/47)</f>
        <v/>
      </c>
      <c r="G183" s="50">
        <f>-55+3*SIN(2*PI()*A183/19)</f>
        <v/>
      </c>
    </row>
    <row r="184">
      <c r="A184" s="50">
        <f>Subsurface_Live_Data!A184</f>
        <v/>
      </c>
      <c r="B184" s="50" t="n">
        <v>0</v>
      </c>
      <c r="C184" s="50">
        <f>Subsurface_Inputs!$C$57+1.5*SIN(2*PI()*A184/35)</f>
        <v/>
      </c>
      <c r="D184" s="50">
        <f>Subsurface_Live_Data!M184+Subsurface_Inputs!$C$56*SIN(2*PI()*A184/31)</f>
        <v/>
      </c>
      <c r="E184" s="50">
        <f>IF(Subsurface_Live_Data!H184&gt;=Subsurface_Inputs!$C$42,Subsurface_Live_Data!N184+Subsurface_Inputs!$C$56*SIN(2*PI()*A184/27),NA())</f>
        <v/>
      </c>
      <c r="F184" s="50">
        <f>Subsurface_Live_Data!O184+Subsurface_Inputs!$C$56*SIN(2*PI()*A184/47)</f>
        <v/>
      </c>
      <c r="G184" s="50">
        <f>-55+3*SIN(2*PI()*A184/19)</f>
        <v/>
      </c>
    </row>
    <row r="185">
      <c r="A185" s="50">
        <f>Subsurface_Live_Data!A185</f>
        <v/>
      </c>
      <c r="B185" s="50" t="n">
        <v>0</v>
      </c>
      <c r="C185" s="50">
        <f>Subsurface_Inputs!$C$57+1.5*SIN(2*PI()*A185/35)</f>
        <v/>
      </c>
      <c r="D185" s="50">
        <f>Subsurface_Live_Data!M185+Subsurface_Inputs!$C$56*SIN(2*PI()*A185/31)</f>
        <v/>
      </c>
      <c r="E185" s="50">
        <f>IF(Subsurface_Live_Data!H185&gt;=Subsurface_Inputs!$C$42,Subsurface_Live_Data!N185+Subsurface_Inputs!$C$56*SIN(2*PI()*A185/27),NA())</f>
        <v/>
      </c>
      <c r="F185" s="50">
        <f>Subsurface_Live_Data!O185+Subsurface_Inputs!$C$56*SIN(2*PI()*A185/47)</f>
        <v/>
      </c>
      <c r="G185" s="50">
        <f>-55+3*SIN(2*PI()*A185/19)</f>
        <v/>
      </c>
    </row>
    <row r="186">
      <c r="A186" s="50">
        <f>Subsurface_Live_Data!A186</f>
        <v/>
      </c>
      <c r="B186" s="50" t="n">
        <v>0</v>
      </c>
      <c r="C186" s="50">
        <f>Subsurface_Inputs!$C$57+1.5*SIN(2*PI()*A186/35)</f>
        <v/>
      </c>
      <c r="D186" s="50">
        <f>Subsurface_Live_Data!M186+Subsurface_Inputs!$C$56*SIN(2*PI()*A186/31)</f>
        <v/>
      </c>
      <c r="E186" s="50">
        <f>IF(Subsurface_Live_Data!H186&gt;=Subsurface_Inputs!$C$42,Subsurface_Live_Data!N186+Subsurface_Inputs!$C$56*SIN(2*PI()*A186/27),NA())</f>
        <v/>
      </c>
      <c r="F186" s="50">
        <f>Subsurface_Live_Data!O186+Subsurface_Inputs!$C$56*SIN(2*PI()*A186/47)</f>
        <v/>
      </c>
      <c r="G186" s="50">
        <f>-55+3*SIN(2*PI()*A186/19)</f>
        <v/>
      </c>
    </row>
    <row r="187">
      <c r="A187" s="50">
        <f>Subsurface_Live_Data!A187</f>
        <v/>
      </c>
      <c r="B187" s="50" t="n">
        <v>0</v>
      </c>
      <c r="C187" s="50">
        <f>Subsurface_Inputs!$C$57+1.5*SIN(2*PI()*A187/35)</f>
        <v/>
      </c>
      <c r="D187" s="50">
        <f>Subsurface_Live_Data!M187+Subsurface_Inputs!$C$56*SIN(2*PI()*A187/31)</f>
        <v/>
      </c>
      <c r="E187" s="50">
        <f>IF(Subsurface_Live_Data!H187&gt;=Subsurface_Inputs!$C$42,Subsurface_Live_Data!N187+Subsurface_Inputs!$C$56*SIN(2*PI()*A187/27),NA())</f>
        <v/>
      </c>
      <c r="F187" s="50">
        <f>Subsurface_Live_Data!O187+Subsurface_Inputs!$C$56*SIN(2*PI()*A187/47)</f>
        <v/>
      </c>
      <c r="G187" s="50">
        <f>-55+3*SIN(2*PI()*A187/19)</f>
        <v/>
      </c>
    </row>
    <row r="188">
      <c r="A188" s="50">
        <f>Subsurface_Live_Data!A188</f>
        <v/>
      </c>
      <c r="B188" s="50" t="n">
        <v>0</v>
      </c>
      <c r="C188" s="50">
        <f>Subsurface_Inputs!$C$57+1.5*SIN(2*PI()*A188/35)</f>
        <v/>
      </c>
      <c r="D188" s="50">
        <f>Subsurface_Live_Data!M188+Subsurface_Inputs!$C$56*SIN(2*PI()*A188/31)</f>
        <v/>
      </c>
      <c r="E188" s="50">
        <f>IF(Subsurface_Live_Data!H188&gt;=Subsurface_Inputs!$C$42,Subsurface_Live_Data!N188+Subsurface_Inputs!$C$56*SIN(2*PI()*A188/27),NA())</f>
        <v/>
      </c>
      <c r="F188" s="50">
        <f>Subsurface_Live_Data!O188+Subsurface_Inputs!$C$56*SIN(2*PI()*A188/47)</f>
        <v/>
      </c>
      <c r="G188" s="50">
        <f>-55+3*SIN(2*PI()*A188/19)</f>
        <v/>
      </c>
    </row>
    <row r="189">
      <c r="A189" s="50">
        <f>Subsurface_Live_Data!A189</f>
        <v/>
      </c>
      <c r="B189" s="50" t="n">
        <v>0</v>
      </c>
      <c r="C189" s="50">
        <f>Subsurface_Inputs!$C$57+1.5*SIN(2*PI()*A189/35)</f>
        <v/>
      </c>
      <c r="D189" s="50">
        <f>Subsurface_Live_Data!M189+Subsurface_Inputs!$C$56*SIN(2*PI()*A189/31)</f>
        <v/>
      </c>
      <c r="E189" s="50">
        <f>IF(Subsurface_Live_Data!H189&gt;=Subsurface_Inputs!$C$42,Subsurface_Live_Data!N189+Subsurface_Inputs!$C$56*SIN(2*PI()*A189/27),NA())</f>
        <v/>
      </c>
      <c r="F189" s="50">
        <f>Subsurface_Live_Data!O189+Subsurface_Inputs!$C$56*SIN(2*PI()*A189/47)</f>
        <v/>
      </c>
      <c r="G189" s="50">
        <f>-55+3*SIN(2*PI()*A189/19)</f>
        <v/>
      </c>
    </row>
    <row r="190">
      <c r="A190" s="50">
        <f>Subsurface_Live_Data!A190</f>
        <v/>
      </c>
      <c r="B190" s="50" t="n">
        <v>0</v>
      </c>
      <c r="C190" s="50">
        <f>Subsurface_Inputs!$C$57+1.5*SIN(2*PI()*A190/35)</f>
        <v/>
      </c>
      <c r="D190" s="50">
        <f>Subsurface_Live_Data!M190+Subsurface_Inputs!$C$56*SIN(2*PI()*A190/31)</f>
        <v/>
      </c>
      <c r="E190" s="50">
        <f>IF(Subsurface_Live_Data!H190&gt;=Subsurface_Inputs!$C$42,Subsurface_Live_Data!N190+Subsurface_Inputs!$C$56*SIN(2*PI()*A190/27),NA())</f>
        <v/>
      </c>
      <c r="F190" s="50">
        <f>Subsurface_Live_Data!O190+Subsurface_Inputs!$C$56*SIN(2*PI()*A190/47)</f>
        <v/>
      </c>
      <c r="G190" s="50">
        <f>-55+3*SIN(2*PI()*A190/19)</f>
        <v/>
      </c>
    </row>
    <row r="191">
      <c r="A191" s="50">
        <f>Subsurface_Live_Data!A191</f>
        <v/>
      </c>
      <c r="B191" s="50" t="n">
        <v>0</v>
      </c>
      <c r="C191" s="50">
        <f>Subsurface_Inputs!$C$57+1.5*SIN(2*PI()*A191/35)</f>
        <v/>
      </c>
      <c r="D191" s="50">
        <f>Subsurface_Live_Data!M191+Subsurface_Inputs!$C$56*SIN(2*PI()*A191/31)</f>
        <v/>
      </c>
      <c r="E191" s="50">
        <f>IF(Subsurface_Live_Data!H191&gt;=Subsurface_Inputs!$C$42,Subsurface_Live_Data!N191+Subsurface_Inputs!$C$56*SIN(2*PI()*A191/27),NA())</f>
        <v/>
      </c>
      <c r="F191" s="50">
        <f>Subsurface_Live_Data!O191+Subsurface_Inputs!$C$56*SIN(2*PI()*A191/47)</f>
        <v/>
      </c>
      <c r="G191" s="50">
        <f>-55+3*SIN(2*PI()*A191/19)</f>
        <v/>
      </c>
    </row>
    <row r="192">
      <c r="A192" s="50">
        <f>Subsurface_Live_Data!A192</f>
        <v/>
      </c>
      <c r="B192" s="50" t="n">
        <v>0</v>
      </c>
      <c r="C192" s="50">
        <f>Subsurface_Inputs!$C$57+1.5*SIN(2*PI()*A192/35)</f>
        <v/>
      </c>
      <c r="D192" s="50">
        <f>Subsurface_Live_Data!M192+Subsurface_Inputs!$C$56*SIN(2*PI()*A192/31)</f>
        <v/>
      </c>
      <c r="E192" s="50">
        <f>IF(Subsurface_Live_Data!H192&gt;=Subsurface_Inputs!$C$42,Subsurface_Live_Data!N192+Subsurface_Inputs!$C$56*SIN(2*PI()*A192/27),NA())</f>
        <v/>
      </c>
      <c r="F192" s="50">
        <f>Subsurface_Live_Data!O192+Subsurface_Inputs!$C$56*SIN(2*PI()*A192/47)</f>
        <v/>
      </c>
      <c r="G192" s="50">
        <f>-55+3*SIN(2*PI()*A192/19)</f>
        <v/>
      </c>
    </row>
    <row r="193">
      <c r="A193" s="50">
        <f>Subsurface_Live_Data!A193</f>
        <v/>
      </c>
      <c r="B193" s="50" t="n">
        <v>0</v>
      </c>
      <c r="C193" s="50">
        <f>Subsurface_Inputs!$C$57+1.5*SIN(2*PI()*A193/35)</f>
        <v/>
      </c>
      <c r="D193" s="50">
        <f>Subsurface_Live_Data!M193+Subsurface_Inputs!$C$56*SIN(2*PI()*A193/31)</f>
        <v/>
      </c>
      <c r="E193" s="50">
        <f>IF(Subsurface_Live_Data!H193&gt;=Subsurface_Inputs!$C$42,Subsurface_Live_Data!N193+Subsurface_Inputs!$C$56*SIN(2*PI()*A193/27),NA())</f>
        <v/>
      </c>
      <c r="F193" s="50">
        <f>Subsurface_Live_Data!O193+Subsurface_Inputs!$C$56*SIN(2*PI()*A193/47)</f>
        <v/>
      </c>
      <c r="G193" s="50">
        <f>-55+3*SIN(2*PI()*A193/19)</f>
        <v/>
      </c>
    </row>
    <row r="194">
      <c r="A194" s="50">
        <f>Subsurface_Live_Data!A194</f>
        <v/>
      </c>
      <c r="B194" s="50" t="n">
        <v>0</v>
      </c>
      <c r="C194" s="50">
        <f>Subsurface_Inputs!$C$57+1.5*SIN(2*PI()*A194/35)</f>
        <v/>
      </c>
      <c r="D194" s="50">
        <f>Subsurface_Live_Data!M194+Subsurface_Inputs!$C$56*SIN(2*PI()*A194/31)</f>
        <v/>
      </c>
      <c r="E194" s="50">
        <f>IF(Subsurface_Live_Data!H194&gt;=Subsurface_Inputs!$C$42,Subsurface_Live_Data!N194+Subsurface_Inputs!$C$56*SIN(2*PI()*A194/27),NA())</f>
        <v/>
      </c>
      <c r="F194" s="50">
        <f>Subsurface_Live_Data!O194+Subsurface_Inputs!$C$56*SIN(2*PI()*A194/47)</f>
        <v/>
      </c>
      <c r="G194" s="50">
        <f>-55+3*SIN(2*PI()*A194/19)</f>
        <v/>
      </c>
    </row>
    <row r="195">
      <c r="A195" s="50">
        <f>Subsurface_Live_Data!A195</f>
        <v/>
      </c>
      <c r="B195" s="50" t="n">
        <v>0</v>
      </c>
      <c r="C195" s="50">
        <f>Subsurface_Inputs!$C$57+1.5*SIN(2*PI()*A195/35)</f>
        <v/>
      </c>
      <c r="D195" s="50">
        <f>Subsurface_Live_Data!M195+Subsurface_Inputs!$C$56*SIN(2*PI()*A195/31)</f>
        <v/>
      </c>
      <c r="E195" s="50">
        <f>IF(Subsurface_Live_Data!H195&gt;=Subsurface_Inputs!$C$42,Subsurface_Live_Data!N195+Subsurface_Inputs!$C$56*SIN(2*PI()*A195/27),NA())</f>
        <v/>
      </c>
      <c r="F195" s="50">
        <f>Subsurface_Live_Data!O195+Subsurface_Inputs!$C$56*SIN(2*PI()*A195/47)</f>
        <v/>
      </c>
      <c r="G195" s="50">
        <f>-55+3*SIN(2*PI()*A195/19)</f>
        <v/>
      </c>
    </row>
    <row r="196">
      <c r="A196" s="50">
        <f>Subsurface_Live_Data!A196</f>
        <v/>
      </c>
      <c r="B196" s="50" t="n">
        <v>0</v>
      </c>
      <c r="C196" s="50">
        <f>Subsurface_Inputs!$C$57+1.5*SIN(2*PI()*A196/35)</f>
        <v/>
      </c>
      <c r="D196" s="50">
        <f>Subsurface_Live_Data!M196+Subsurface_Inputs!$C$56*SIN(2*PI()*A196/31)</f>
        <v/>
      </c>
      <c r="E196" s="50">
        <f>IF(Subsurface_Live_Data!H196&gt;=Subsurface_Inputs!$C$42,Subsurface_Live_Data!N196+Subsurface_Inputs!$C$56*SIN(2*PI()*A196/27),NA())</f>
        <v/>
      </c>
      <c r="F196" s="50">
        <f>Subsurface_Live_Data!O196+Subsurface_Inputs!$C$56*SIN(2*PI()*A196/47)</f>
        <v/>
      </c>
      <c r="G196" s="50">
        <f>-55+3*SIN(2*PI()*A196/19)</f>
        <v/>
      </c>
    </row>
    <row r="197">
      <c r="A197" s="50">
        <f>Subsurface_Live_Data!A197</f>
        <v/>
      </c>
      <c r="B197" s="50" t="n">
        <v>0</v>
      </c>
      <c r="C197" s="50">
        <f>Subsurface_Inputs!$C$57+1.5*SIN(2*PI()*A197/35)</f>
        <v/>
      </c>
      <c r="D197" s="50">
        <f>Subsurface_Live_Data!M197+Subsurface_Inputs!$C$56*SIN(2*PI()*A197/31)</f>
        <v/>
      </c>
      <c r="E197" s="50">
        <f>IF(Subsurface_Live_Data!H197&gt;=Subsurface_Inputs!$C$42,Subsurface_Live_Data!N197+Subsurface_Inputs!$C$56*SIN(2*PI()*A197/27),NA())</f>
        <v/>
      </c>
      <c r="F197" s="50">
        <f>Subsurface_Live_Data!O197+Subsurface_Inputs!$C$56*SIN(2*PI()*A197/47)</f>
        <v/>
      </c>
      <c r="G197" s="50">
        <f>-55+3*SIN(2*PI()*A197/19)</f>
        <v/>
      </c>
    </row>
    <row r="198">
      <c r="A198" s="50">
        <f>Subsurface_Live_Data!A198</f>
        <v/>
      </c>
      <c r="B198" s="50" t="n">
        <v>0</v>
      </c>
      <c r="C198" s="50">
        <f>Subsurface_Inputs!$C$57+1.5*SIN(2*PI()*A198/35)</f>
        <v/>
      </c>
      <c r="D198" s="50">
        <f>Subsurface_Live_Data!M198+Subsurface_Inputs!$C$56*SIN(2*PI()*A198/31)</f>
        <v/>
      </c>
      <c r="E198" s="50">
        <f>IF(Subsurface_Live_Data!H198&gt;=Subsurface_Inputs!$C$42,Subsurface_Live_Data!N198+Subsurface_Inputs!$C$56*SIN(2*PI()*A198/27),NA())</f>
        <v/>
      </c>
      <c r="F198" s="50">
        <f>Subsurface_Live_Data!O198+Subsurface_Inputs!$C$56*SIN(2*PI()*A198/47)</f>
        <v/>
      </c>
      <c r="G198" s="50">
        <f>-55+3*SIN(2*PI()*A198/19)</f>
        <v/>
      </c>
    </row>
    <row r="199">
      <c r="A199" s="50">
        <f>Subsurface_Live_Data!A199</f>
        <v/>
      </c>
      <c r="B199" s="50" t="n">
        <v>0</v>
      </c>
      <c r="C199" s="50">
        <f>Subsurface_Inputs!$C$57+1.5*SIN(2*PI()*A199/35)</f>
        <v/>
      </c>
      <c r="D199" s="50">
        <f>Subsurface_Live_Data!M199+Subsurface_Inputs!$C$56*SIN(2*PI()*A199/31)</f>
        <v/>
      </c>
      <c r="E199" s="50">
        <f>IF(Subsurface_Live_Data!H199&gt;=Subsurface_Inputs!$C$42,Subsurface_Live_Data!N199+Subsurface_Inputs!$C$56*SIN(2*PI()*A199/27),NA())</f>
        <v/>
      </c>
      <c r="F199" s="50">
        <f>Subsurface_Live_Data!O199+Subsurface_Inputs!$C$56*SIN(2*PI()*A199/47)</f>
        <v/>
      </c>
      <c r="G199" s="50">
        <f>-55+3*SIN(2*PI()*A199/19)</f>
        <v/>
      </c>
    </row>
    <row r="200">
      <c r="A200" s="50">
        <f>Subsurface_Live_Data!A200</f>
        <v/>
      </c>
      <c r="B200" s="50" t="n">
        <v>0</v>
      </c>
      <c r="C200" s="50">
        <f>Subsurface_Inputs!$C$57+1.5*SIN(2*PI()*A200/35)</f>
        <v/>
      </c>
      <c r="D200" s="50">
        <f>Subsurface_Live_Data!M200+Subsurface_Inputs!$C$56*SIN(2*PI()*A200/31)</f>
        <v/>
      </c>
      <c r="E200" s="50">
        <f>IF(Subsurface_Live_Data!H200&gt;=Subsurface_Inputs!$C$42,Subsurface_Live_Data!N200+Subsurface_Inputs!$C$56*SIN(2*PI()*A200/27),NA())</f>
        <v/>
      </c>
      <c r="F200" s="50">
        <f>Subsurface_Live_Data!O200+Subsurface_Inputs!$C$56*SIN(2*PI()*A200/47)</f>
        <v/>
      </c>
      <c r="G200" s="50">
        <f>-55+3*SIN(2*PI()*A200/19)</f>
        <v/>
      </c>
    </row>
    <row r="201">
      <c r="A201" s="50">
        <f>Subsurface_Live_Data!A201</f>
        <v/>
      </c>
      <c r="B201" s="50" t="n">
        <v>0</v>
      </c>
      <c r="C201" s="50">
        <f>Subsurface_Inputs!$C$57+1.5*SIN(2*PI()*A201/35)</f>
        <v/>
      </c>
      <c r="D201" s="50">
        <f>Subsurface_Live_Data!M201+Subsurface_Inputs!$C$56*SIN(2*PI()*A201/31)</f>
        <v/>
      </c>
      <c r="E201" s="50">
        <f>IF(Subsurface_Live_Data!H201&gt;=Subsurface_Inputs!$C$42,Subsurface_Live_Data!N201+Subsurface_Inputs!$C$56*SIN(2*PI()*A201/27),NA())</f>
        <v/>
      </c>
      <c r="F201" s="50">
        <f>Subsurface_Live_Data!O201+Subsurface_Inputs!$C$56*SIN(2*PI()*A201/47)</f>
        <v/>
      </c>
      <c r="G201" s="50">
        <f>-55+3*SIN(2*PI()*A201/19)</f>
        <v/>
      </c>
    </row>
    <row r="202">
      <c r="A202" s="50">
        <f>Subsurface_Live_Data!A202</f>
        <v/>
      </c>
      <c r="B202" s="50" t="n">
        <v>0</v>
      </c>
      <c r="C202" s="50">
        <f>Subsurface_Inputs!$C$57+1.5*SIN(2*PI()*A202/35)</f>
        <v/>
      </c>
      <c r="D202" s="50">
        <f>Subsurface_Live_Data!M202+Subsurface_Inputs!$C$56*SIN(2*PI()*A202/31)</f>
        <v/>
      </c>
      <c r="E202" s="50">
        <f>IF(Subsurface_Live_Data!H202&gt;=Subsurface_Inputs!$C$42,Subsurface_Live_Data!N202+Subsurface_Inputs!$C$56*SIN(2*PI()*A202/27),NA())</f>
        <v/>
      </c>
      <c r="F202" s="50">
        <f>Subsurface_Live_Data!O202+Subsurface_Inputs!$C$56*SIN(2*PI()*A202/47)</f>
        <v/>
      </c>
      <c r="G202" s="50">
        <f>-55+3*SIN(2*PI()*A202/19)</f>
        <v/>
      </c>
    </row>
    <row r="203">
      <c r="A203" s="50">
        <f>Subsurface_Live_Data!A203</f>
        <v/>
      </c>
      <c r="B203" s="50" t="n">
        <v>0</v>
      </c>
      <c r="C203" s="50">
        <f>Subsurface_Inputs!$C$57+1.5*SIN(2*PI()*A203/35)</f>
        <v/>
      </c>
      <c r="D203" s="50">
        <f>Subsurface_Live_Data!M203+Subsurface_Inputs!$C$56*SIN(2*PI()*A203/31)</f>
        <v/>
      </c>
      <c r="E203" s="50">
        <f>IF(Subsurface_Live_Data!H203&gt;=Subsurface_Inputs!$C$42,Subsurface_Live_Data!N203+Subsurface_Inputs!$C$56*SIN(2*PI()*A203/27),NA())</f>
        <v/>
      </c>
      <c r="F203" s="50">
        <f>Subsurface_Live_Data!O203+Subsurface_Inputs!$C$56*SIN(2*PI()*A203/47)</f>
        <v/>
      </c>
      <c r="G203" s="50">
        <f>-55+3*SIN(2*PI()*A203/19)</f>
        <v/>
      </c>
    </row>
    <row r="204">
      <c r="A204" s="50">
        <f>Subsurface_Live_Data!A204</f>
        <v/>
      </c>
      <c r="B204" s="50" t="n">
        <v>0</v>
      </c>
      <c r="C204" s="50">
        <f>Subsurface_Inputs!$C$57+1.5*SIN(2*PI()*A204/35)</f>
        <v/>
      </c>
      <c r="D204" s="50">
        <f>Subsurface_Live_Data!M204+Subsurface_Inputs!$C$56*SIN(2*PI()*A204/31)</f>
        <v/>
      </c>
      <c r="E204" s="50">
        <f>IF(Subsurface_Live_Data!H204&gt;=Subsurface_Inputs!$C$42,Subsurface_Live_Data!N204+Subsurface_Inputs!$C$56*SIN(2*PI()*A204/27),NA())</f>
        <v/>
      </c>
      <c r="F204" s="50">
        <f>Subsurface_Live_Data!O204+Subsurface_Inputs!$C$56*SIN(2*PI()*A204/47)</f>
        <v/>
      </c>
      <c r="G204" s="50">
        <f>-55+3*SIN(2*PI()*A204/19)</f>
        <v/>
      </c>
    </row>
    <row r="205">
      <c r="A205" s="50">
        <f>Subsurface_Live_Data!A205</f>
        <v/>
      </c>
      <c r="B205" s="50" t="n">
        <v>0</v>
      </c>
      <c r="C205" s="50">
        <f>Subsurface_Inputs!$C$57+1.5*SIN(2*PI()*A205/35)</f>
        <v/>
      </c>
      <c r="D205" s="50">
        <f>Subsurface_Live_Data!M205+Subsurface_Inputs!$C$56*SIN(2*PI()*A205/31)</f>
        <v/>
      </c>
      <c r="E205" s="50">
        <f>IF(Subsurface_Live_Data!H205&gt;=Subsurface_Inputs!$C$42,Subsurface_Live_Data!N205+Subsurface_Inputs!$C$56*SIN(2*PI()*A205/27),NA())</f>
        <v/>
      </c>
      <c r="F205" s="50">
        <f>Subsurface_Live_Data!O205+Subsurface_Inputs!$C$56*SIN(2*PI()*A205/47)</f>
        <v/>
      </c>
      <c r="G205" s="50">
        <f>-55+3*SIN(2*PI()*A205/19)</f>
        <v/>
      </c>
    </row>
    <row r="206">
      <c r="A206" s="50">
        <f>Subsurface_Live_Data!A206</f>
        <v/>
      </c>
      <c r="B206" s="50" t="n">
        <v>0</v>
      </c>
      <c r="C206" s="50">
        <f>Subsurface_Inputs!$C$57+1.5*SIN(2*PI()*A206/35)</f>
        <v/>
      </c>
      <c r="D206" s="50">
        <f>Subsurface_Live_Data!M206+Subsurface_Inputs!$C$56*SIN(2*PI()*A206/31)</f>
        <v/>
      </c>
      <c r="E206" s="50">
        <f>IF(Subsurface_Live_Data!H206&gt;=Subsurface_Inputs!$C$42,Subsurface_Live_Data!N206+Subsurface_Inputs!$C$56*SIN(2*PI()*A206/27),NA())</f>
        <v/>
      </c>
      <c r="F206" s="50">
        <f>Subsurface_Live_Data!O206+Subsurface_Inputs!$C$56*SIN(2*PI()*A206/47)</f>
        <v/>
      </c>
      <c r="G206" s="50">
        <f>-55+3*SIN(2*PI()*A206/19)</f>
        <v/>
      </c>
    </row>
    <row r="207">
      <c r="A207" s="50">
        <f>Subsurface_Live_Data!A207</f>
        <v/>
      </c>
      <c r="B207" s="50" t="n">
        <v>0</v>
      </c>
      <c r="C207" s="50">
        <f>Subsurface_Inputs!$C$57+1.5*SIN(2*PI()*A207/35)</f>
        <v/>
      </c>
      <c r="D207" s="50">
        <f>Subsurface_Live_Data!M207+Subsurface_Inputs!$C$56*SIN(2*PI()*A207/31)</f>
        <v/>
      </c>
      <c r="E207" s="50">
        <f>IF(Subsurface_Live_Data!H207&gt;=Subsurface_Inputs!$C$42,Subsurface_Live_Data!N207+Subsurface_Inputs!$C$56*SIN(2*PI()*A207/27),NA())</f>
        <v/>
      </c>
      <c r="F207" s="50">
        <f>Subsurface_Live_Data!O207+Subsurface_Inputs!$C$56*SIN(2*PI()*A207/47)</f>
        <v/>
      </c>
      <c r="G207" s="50">
        <f>-55+3*SIN(2*PI()*A207/19)</f>
        <v/>
      </c>
    </row>
    <row r="208">
      <c r="A208" s="50">
        <f>Subsurface_Live_Data!A208</f>
        <v/>
      </c>
      <c r="B208" s="50" t="n">
        <v>0</v>
      </c>
      <c r="C208" s="50">
        <f>Subsurface_Inputs!$C$57+1.5*SIN(2*PI()*A208/35)</f>
        <v/>
      </c>
      <c r="D208" s="50">
        <f>Subsurface_Live_Data!M208+Subsurface_Inputs!$C$56*SIN(2*PI()*A208/31)</f>
        <v/>
      </c>
      <c r="E208" s="50">
        <f>IF(Subsurface_Live_Data!H208&gt;=Subsurface_Inputs!$C$42,Subsurface_Live_Data!N208+Subsurface_Inputs!$C$56*SIN(2*PI()*A208/27),NA())</f>
        <v/>
      </c>
      <c r="F208" s="50">
        <f>Subsurface_Live_Data!O208+Subsurface_Inputs!$C$56*SIN(2*PI()*A208/47)</f>
        <v/>
      </c>
      <c r="G208" s="50">
        <f>-55+3*SIN(2*PI()*A208/19)</f>
        <v/>
      </c>
    </row>
    <row r="209">
      <c r="A209" s="50">
        <f>Subsurface_Live_Data!A209</f>
        <v/>
      </c>
      <c r="B209" s="50" t="n">
        <v>0</v>
      </c>
      <c r="C209" s="50">
        <f>Subsurface_Inputs!$C$57+1.5*SIN(2*PI()*A209/35)</f>
        <v/>
      </c>
      <c r="D209" s="50">
        <f>Subsurface_Live_Data!M209+Subsurface_Inputs!$C$56*SIN(2*PI()*A209/31)</f>
        <v/>
      </c>
      <c r="E209" s="50">
        <f>IF(Subsurface_Live_Data!H209&gt;=Subsurface_Inputs!$C$42,Subsurface_Live_Data!N209+Subsurface_Inputs!$C$56*SIN(2*PI()*A209/27),NA())</f>
        <v/>
      </c>
      <c r="F209" s="50">
        <f>Subsurface_Live_Data!O209+Subsurface_Inputs!$C$56*SIN(2*PI()*A209/47)</f>
        <v/>
      </c>
      <c r="G209" s="50">
        <f>-55+3*SIN(2*PI()*A209/19)</f>
        <v/>
      </c>
    </row>
    <row r="210">
      <c r="A210" s="50">
        <f>Subsurface_Live_Data!A210</f>
        <v/>
      </c>
      <c r="B210" s="50" t="n">
        <v>0</v>
      </c>
      <c r="C210" s="50">
        <f>Subsurface_Inputs!$C$57+1.5*SIN(2*PI()*A210/35)</f>
        <v/>
      </c>
      <c r="D210" s="50">
        <f>Subsurface_Live_Data!M210+Subsurface_Inputs!$C$56*SIN(2*PI()*A210/31)</f>
        <v/>
      </c>
      <c r="E210" s="50">
        <f>IF(Subsurface_Live_Data!H210&gt;=Subsurface_Inputs!$C$42,Subsurface_Live_Data!N210+Subsurface_Inputs!$C$56*SIN(2*PI()*A210/27),NA())</f>
        <v/>
      </c>
      <c r="F210" s="50">
        <f>Subsurface_Live_Data!O210+Subsurface_Inputs!$C$56*SIN(2*PI()*A210/47)</f>
        <v/>
      </c>
      <c r="G210" s="50">
        <f>-55+3*SIN(2*PI()*A210/19)</f>
        <v/>
      </c>
    </row>
    <row r="211">
      <c r="A211" s="50">
        <f>Subsurface_Live_Data!A211</f>
        <v/>
      </c>
      <c r="B211" s="50" t="n">
        <v>0</v>
      </c>
      <c r="C211" s="50">
        <f>Subsurface_Inputs!$C$57+1.5*SIN(2*PI()*A211/35)</f>
        <v/>
      </c>
      <c r="D211" s="50">
        <f>Subsurface_Live_Data!M211+Subsurface_Inputs!$C$56*SIN(2*PI()*A211/31)</f>
        <v/>
      </c>
      <c r="E211" s="50">
        <f>IF(Subsurface_Live_Data!H211&gt;=Subsurface_Inputs!$C$42,Subsurface_Live_Data!N211+Subsurface_Inputs!$C$56*SIN(2*PI()*A211/27),NA())</f>
        <v/>
      </c>
      <c r="F211" s="50">
        <f>Subsurface_Live_Data!O211+Subsurface_Inputs!$C$56*SIN(2*PI()*A211/47)</f>
        <v/>
      </c>
      <c r="G211" s="50">
        <f>-55+3*SIN(2*PI()*A211/19)</f>
        <v/>
      </c>
    </row>
    <row r="212">
      <c r="A212" s="50">
        <f>Subsurface_Live_Data!A212</f>
        <v/>
      </c>
      <c r="B212" s="50" t="n">
        <v>0</v>
      </c>
      <c r="C212" s="50">
        <f>Subsurface_Inputs!$C$57+1.5*SIN(2*PI()*A212/35)</f>
        <v/>
      </c>
      <c r="D212" s="50">
        <f>Subsurface_Live_Data!M212+Subsurface_Inputs!$C$56*SIN(2*PI()*A212/31)</f>
        <v/>
      </c>
      <c r="E212" s="50">
        <f>IF(Subsurface_Live_Data!H212&gt;=Subsurface_Inputs!$C$42,Subsurface_Live_Data!N212+Subsurface_Inputs!$C$56*SIN(2*PI()*A212/27),NA())</f>
        <v/>
      </c>
      <c r="F212" s="50">
        <f>Subsurface_Live_Data!O212+Subsurface_Inputs!$C$56*SIN(2*PI()*A212/47)</f>
        <v/>
      </c>
      <c r="G212" s="50">
        <f>-55+3*SIN(2*PI()*A212/19)</f>
        <v/>
      </c>
    </row>
    <row r="213">
      <c r="A213" s="50">
        <f>Subsurface_Live_Data!A213</f>
        <v/>
      </c>
      <c r="B213" s="50" t="n">
        <v>0</v>
      </c>
      <c r="C213" s="50">
        <f>Subsurface_Inputs!$C$57+1.5*SIN(2*PI()*A213/35)</f>
        <v/>
      </c>
      <c r="D213" s="50">
        <f>Subsurface_Live_Data!M213+Subsurface_Inputs!$C$56*SIN(2*PI()*A213/31)</f>
        <v/>
      </c>
      <c r="E213" s="50">
        <f>IF(Subsurface_Live_Data!H213&gt;=Subsurface_Inputs!$C$42,Subsurface_Live_Data!N213+Subsurface_Inputs!$C$56*SIN(2*PI()*A213/27),NA())</f>
        <v/>
      </c>
      <c r="F213" s="50">
        <f>Subsurface_Live_Data!O213+Subsurface_Inputs!$C$56*SIN(2*PI()*A213/47)</f>
        <v/>
      </c>
      <c r="G213" s="50">
        <f>-55+3*SIN(2*PI()*A213/19)</f>
        <v/>
      </c>
    </row>
    <row r="214">
      <c r="A214" s="50">
        <f>Subsurface_Live_Data!A214</f>
        <v/>
      </c>
      <c r="B214" s="50" t="n">
        <v>0</v>
      </c>
      <c r="C214" s="50">
        <f>Subsurface_Inputs!$C$57+1.5*SIN(2*PI()*A214/35)</f>
        <v/>
      </c>
      <c r="D214" s="50">
        <f>Subsurface_Live_Data!M214+Subsurface_Inputs!$C$56*SIN(2*PI()*A214/31)</f>
        <v/>
      </c>
      <c r="E214" s="50">
        <f>IF(Subsurface_Live_Data!H214&gt;=Subsurface_Inputs!$C$42,Subsurface_Live_Data!N214+Subsurface_Inputs!$C$56*SIN(2*PI()*A214/27),NA())</f>
        <v/>
      </c>
      <c r="F214" s="50">
        <f>Subsurface_Live_Data!O214+Subsurface_Inputs!$C$56*SIN(2*PI()*A214/47)</f>
        <v/>
      </c>
      <c r="G214" s="50">
        <f>-55+3*SIN(2*PI()*A214/19)</f>
        <v/>
      </c>
    </row>
    <row r="215">
      <c r="A215" s="50">
        <f>Subsurface_Live_Data!A215</f>
        <v/>
      </c>
      <c r="B215" s="50" t="n">
        <v>0</v>
      </c>
      <c r="C215" s="50">
        <f>Subsurface_Inputs!$C$57+1.5*SIN(2*PI()*A215/35)</f>
        <v/>
      </c>
      <c r="D215" s="50">
        <f>Subsurface_Live_Data!M215+Subsurface_Inputs!$C$56*SIN(2*PI()*A215/31)</f>
        <v/>
      </c>
      <c r="E215" s="50">
        <f>IF(Subsurface_Live_Data!H215&gt;=Subsurface_Inputs!$C$42,Subsurface_Live_Data!N215+Subsurface_Inputs!$C$56*SIN(2*PI()*A215/27),NA())</f>
        <v/>
      </c>
      <c r="F215" s="50">
        <f>Subsurface_Live_Data!O215+Subsurface_Inputs!$C$56*SIN(2*PI()*A215/47)</f>
        <v/>
      </c>
      <c r="G215" s="50">
        <f>-55+3*SIN(2*PI()*A215/19)</f>
        <v/>
      </c>
    </row>
    <row r="216">
      <c r="A216" s="50">
        <f>Subsurface_Live_Data!A216</f>
        <v/>
      </c>
      <c r="B216" s="50" t="n">
        <v>0</v>
      </c>
      <c r="C216" s="50">
        <f>Subsurface_Inputs!$C$57+1.5*SIN(2*PI()*A216/35)</f>
        <v/>
      </c>
      <c r="D216" s="50">
        <f>Subsurface_Live_Data!M216+Subsurface_Inputs!$C$56*SIN(2*PI()*A216/31)</f>
        <v/>
      </c>
      <c r="E216" s="50">
        <f>IF(Subsurface_Live_Data!H216&gt;=Subsurface_Inputs!$C$42,Subsurface_Live_Data!N216+Subsurface_Inputs!$C$56*SIN(2*PI()*A216/27),NA())</f>
        <v/>
      </c>
      <c r="F216" s="50">
        <f>Subsurface_Live_Data!O216+Subsurface_Inputs!$C$56*SIN(2*PI()*A216/47)</f>
        <v/>
      </c>
      <c r="G216" s="50">
        <f>-55+3*SIN(2*PI()*A216/19)</f>
        <v/>
      </c>
    </row>
    <row r="217">
      <c r="A217" s="50">
        <f>Subsurface_Live_Data!A217</f>
        <v/>
      </c>
      <c r="B217" s="50" t="n">
        <v>0</v>
      </c>
      <c r="C217" s="50">
        <f>Subsurface_Inputs!$C$57+1.5*SIN(2*PI()*A217/35)</f>
        <v/>
      </c>
      <c r="D217" s="50">
        <f>Subsurface_Live_Data!M217+Subsurface_Inputs!$C$56*SIN(2*PI()*A217/31)</f>
        <v/>
      </c>
      <c r="E217" s="50">
        <f>IF(Subsurface_Live_Data!H217&gt;=Subsurface_Inputs!$C$42,Subsurface_Live_Data!N217+Subsurface_Inputs!$C$56*SIN(2*PI()*A217/27),NA())</f>
        <v/>
      </c>
      <c r="F217" s="50">
        <f>Subsurface_Live_Data!O217+Subsurface_Inputs!$C$56*SIN(2*PI()*A217/47)</f>
        <v/>
      </c>
      <c r="G217" s="50">
        <f>-55+3*SIN(2*PI()*A217/19)</f>
        <v/>
      </c>
    </row>
    <row r="218">
      <c r="A218" s="50">
        <f>Subsurface_Live_Data!A218</f>
        <v/>
      </c>
      <c r="B218" s="50" t="n">
        <v>0</v>
      </c>
      <c r="C218" s="50">
        <f>Subsurface_Inputs!$C$57+1.5*SIN(2*PI()*A218/35)</f>
        <v/>
      </c>
      <c r="D218" s="50">
        <f>Subsurface_Live_Data!M218+Subsurface_Inputs!$C$56*SIN(2*PI()*A218/31)</f>
        <v/>
      </c>
      <c r="E218" s="50">
        <f>IF(Subsurface_Live_Data!H218&gt;=Subsurface_Inputs!$C$42,Subsurface_Live_Data!N218+Subsurface_Inputs!$C$56*SIN(2*PI()*A218/27),NA())</f>
        <v/>
      </c>
      <c r="F218" s="50">
        <f>Subsurface_Live_Data!O218+Subsurface_Inputs!$C$56*SIN(2*PI()*A218/47)</f>
        <v/>
      </c>
      <c r="G218" s="50">
        <f>-55+3*SIN(2*PI()*A218/19)</f>
        <v/>
      </c>
    </row>
    <row r="219">
      <c r="A219" s="50">
        <f>Subsurface_Live_Data!A219</f>
        <v/>
      </c>
      <c r="B219" s="50" t="n">
        <v>0</v>
      </c>
      <c r="C219" s="50">
        <f>Subsurface_Inputs!$C$57+1.5*SIN(2*PI()*A219/35)</f>
        <v/>
      </c>
      <c r="D219" s="50">
        <f>Subsurface_Live_Data!M219+Subsurface_Inputs!$C$56*SIN(2*PI()*A219/31)</f>
        <v/>
      </c>
      <c r="E219" s="50">
        <f>IF(Subsurface_Live_Data!H219&gt;=Subsurface_Inputs!$C$42,Subsurface_Live_Data!N219+Subsurface_Inputs!$C$56*SIN(2*PI()*A219/27),NA())</f>
        <v/>
      </c>
      <c r="F219" s="50">
        <f>Subsurface_Live_Data!O219+Subsurface_Inputs!$C$56*SIN(2*PI()*A219/47)</f>
        <v/>
      </c>
      <c r="G219" s="50">
        <f>-55+3*SIN(2*PI()*A219/19)</f>
        <v/>
      </c>
    </row>
    <row r="220">
      <c r="A220" s="50">
        <f>Subsurface_Live_Data!A220</f>
        <v/>
      </c>
      <c r="B220" s="50" t="n">
        <v>0</v>
      </c>
      <c r="C220" s="50">
        <f>Subsurface_Inputs!$C$57+1.5*SIN(2*PI()*A220/35)</f>
        <v/>
      </c>
      <c r="D220" s="50">
        <f>Subsurface_Live_Data!M220+Subsurface_Inputs!$C$56*SIN(2*PI()*A220/31)</f>
        <v/>
      </c>
      <c r="E220" s="50">
        <f>IF(Subsurface_Live_Data!H220&gt;=Subsurface_Inputs!$C$42,Subsurface_Live_Data!N220+Subsurface_Inputs!$C$56*SIN(2*PI()*A220/27),NA())</f>
        <v/>
      </c>
      <c r="F220" s="50">
        <f>Subsurface_Live_Data!O220+Subsurface_Inputs!$C$56*SIN(2*PI()*A220/47)</f>
        <v/>
      </c>
      <c r="G220" s="50">
        <f>-55+3*SIN(2*PI()*A220/19)</f>
        <v/>
      </c>
    </row>
    <row r="221">
      <c r="A221" s="50">
        <f>Subsurface_Live_Data!A221</f>
        <v/>
      </c>
      <c r="B221" s="50" t="n">
        <v>0</v>
      </c>
      <c r="C221" s="50">
        <f>Subsurface_Inputs!$C$57+1.5*SIN(2*PI()*A221/35)</f>
        <v/>
      </c>
      <c r="D221" s="50">
        <f>Subsurface_Live_Data!M221+Subsurface_Inputs!$C$56*SIN(2*PI()*A221/31)</f>
        <v/>
      </c>
      <c r="E221" s="50">
        <f>IF(Subsurface_Live_Data!H221&gt;=Subsurface_Inputs!$C$42,Subsurface_Live_Data!N221+Subsurface_Inputs!$C$56*SIN(2*PI()*A221/27),NA())</f>
        <v/>
      </c>
      <c r="F221" s="50">
        <f>Subsurface_Live_Data!O221+Subsurface_Inputs!$C$56*SIN(2*PI()*A221/47)</f>
        <v/>
      </c>
      <c r="G221" s="50">
        <f>-55+3*SIN(2*PI()*A221/19)</f>
        <v/>
      </c>
    </row>
    <row r="222">
      <c r="A222" s="50">
        <f>Subsurface_Live_Data!A222</f>
        <v/>
      </c>
      <c r="B222" s="50" t="n">
        <v>0</v>
      </c>
      <c r="C222" s="50">
        <f>Subsurface_Inputs!$C$57+1.5*SIN(2*PI()*A222/35)</f>
        <v/>
      </c>
      <c r="D222" s="50">
        <f>Subsurface_Live_Data!M222+Subsurface_Inputs!$C$56*SIN(2*PI()*A222/31)</f>
        <v/>
      </c>
      <c r="E222" s="50">
        <f>IF(Subsurface_Live_Data!H222&gt;=Subsurface_Inputs!$C$42,Subsurface_Live_Data!N222+Subsurface_Inputs!$C$56*SIN(2*PI()*A222/27),NA())</f>
        <v/>
      </c>
      <c r="F222" s="50">
        <f>Subsurface_Live_Data!O222+Subsurface_Inputs!$C$56*SIN(2*PI()*A222/47)</f>
        <v/>
      </c>
      <c r="G222" s="50">
        <f>-55+3*SIN(2*PI()*A222/19)</f>
        <v/>
      </c>
    </row>
    <row r="223">
      <c r="A223" s="50">
        <f>Subsurface_Live_Data!A223</f>
        <v/>
      </c>
      <c r="B223" s="50" t="n">
        <v>0</v>
      </c>
      <c r="C223" s="50">
        <f>Subsurface_Inputs!$C$57+1.5*SIN(2*PI()*A223/35)</f>
        <v/>
      </c>
      <c r="D223" s="50">
        <f>Subsurface_Live_Data!M223+Subsurface_Inputs!$C$56*SIN(2*PI()*A223/31)</f>
        <v/>
      </c>
      <c r="E223" s="50">
        <f>IF(Subsurface_Live_Data!H223&gt;=Subsurface_Inputs!$C$42,Subsurface_Live_Data!N223+Subsurface_Inputs!$C$56*SIN(2*PI()*A223/27),NA())</f>
        <v/>
      </c>
      <c r="F223" s="50">
        <f>Subsurface_Live_Data!O223+Subsurface_Inputs!$C$56*SIN(2*PI()*A223/47)</f>
        <v/>
      </c>
      <c r="G223" s="50">
        <f>-55+3*SIN(2*PI()*A223/19)</f>
        <v/>
      </c>
    </row>
    <row r="224">
      <c r="A224" s="50">
        <f>Subsurface_Live_Data!A224</f>
        <v/>
      </c>
      <c r="B224" s="50" t="n">
        <v>0</v>
      </c>
      <c r="C224" s="50">
        <f>Subsurface_Inputs!$C$57+1.5*SIN(2*PI()*A224/35)</f>
        <v/>
      </c>
      <c r="D224" s="50">
        <f>Subsurface_Live_Data!M224+Subsurface_Inputs!$C$56*SIN(2*PI()*A224/31)</f>
        <v/>
      </c>
      <c r="E224" s="50">
        <f>IF(Subsurface_Live_Data!H224&gt;=Subsurface_Inputs!$C$42,Subsurface_Live_Data!N224+Subsurface_Inputs!$C$56*SIN(2*PI()*A224/27),NA())</f>
        <v/>
      </c>
      <c r="F224" s="50">
        <f>Subsurface_Live_Data!O224+Subsurface_Inputs!$C$56*SIN(2*PI()*A224/47)</f>
        <v/>
      </c>
      <c r="G224" s="50">
        <f>-55+3*SIN(2*PI()*A224/19)</f>
        <v/>
      </c>
    </row>
    <row r="225">
      <c r="A225" s="50">
        <f>Subsurface_Live_Data!A225</f>
        <v/>
      </c>
      <c r="B225" s="50" t="n">
        <v>0</v>
      </c>
      <c r="C225" s="50">
        <f>Subsurface_Inputs!$C$57+1.5*SIN(2*PI()*A225/35)</f>
        <v/>
      </c>
      <c r="D225" s="50">
        <f>Subsurface_Live_Data!M225+Subsurface_Inputs!$C$56*SIN(2*PI()*A225/31)</f>
        <v/>
      </c>
      <c r="E225" s="50">
        <f>IF(Subsurface_Live_Data!H225&gt;=Subsurface_Inputs!$C$42,Subsurface_Live_Data!N225+Subsurface_Inputs!$C$56*SIN(2*PI()*A225/27),NA())</f>
        <v/>
      </c>
      <c r="F225" s="50">
        <f>Subsurface_Live_Data!O225+Subsurface_Inputs!$C$56*SIN(2*PI()*A225/47)</f>
        <v/>
      </c>
      <c r="G225" s="50">
        <f>-55+3*SIN(2*PI()*A225/19)</f>
        <v/>
      </c>
    </row>
    <row r="226">
      <c r="A226" s="50">
        <f>Subsurface_Live_Data!A226</f>
        <v/>
      </c>
      <c r="B226" s="50" t="n">
        <v>0</v>
      </c>
      <c r="C226" s="50">
        <f>Subsurface_Inputs!$C$57+1.5*SIN(2*PI()*A226/35)</f>
        <v/>
      </c>
      <c r="D226" s="50">
        <f>Subsurface_Live_Data!M226+Subsurface_Inputs!$C$56*SIN(2*PI()*A226/31)</f>
        <v/>
      </c>
      <c r="E226" s="50">
        <f>IF(Subsurface_Live_Data!H226&gt;=Subsurface_Inputs!$C$42,Subsurface_Live_Data!N226+Subsurface_Inputs!$C$56*SIN(2*PI()*A226/27),NA())</f>
        <v/>
      </c>
      <c r="F226" s="50">
        <f>Subsurface_Live_Data!O226+Subsurface_Inputs!$C$56*SIN(2*PI()*A226/47)</f>
        <v/>
      </c>
      <c r="G226" s="50">
        <f>-55+3*SIN(2*PI()*A226/19)</f>
        <v/>
      </c>
    </row>
    <row r="227">
      <c r="A227" s="50">
        <f>Subsurface_Live_Data!A227</f>
        <v/>
      </c>
      <c r="B227" s="50" t="n">
        <v>0</v>
      </c>
      <c r="C227" s="50">
        <f>Subsurface_Inputs!$C$57+1.5*SIN(2*PI()*A227/35)</f>
        <v/>
      </c>
      <c r="D227" s="50">
        <f>Subsurface_Live_Data!M227+Subsurface_Inputs!$C$56*SIN(2*PI()*A227/31)</f>
        <v/>
      </c>
      <c r="E227" s="50">
        <f>IF(Subsurface_Live_Data!H227&gt;=Subsurface_Inputs!$C$42,Subsurface_Live_Data!N227+Subsurface_Inputs!$C$56*SIN(2*PI()*A227/27),NA())</f>
        <v/>
      </c>
      <c r="F227" s="50">
        <f>Subsurface_Live_Data!O227+Subsurface_Inputs!$C$56*SIN(2*PI()*A227/47)</f>
        <v/>
      </c>
      <c r="G227" s="50">
        <f>-55+3*SIN(2*PI()*A227/19)</f>
        <v/>
      </c>
    </row>
    <row r="228">
      <c r="A228" s="50">
        <f>Subsurface_Live_Data!A228</f>
        <v/>
      </c>
      <c r="B228" s="50" t="n">
        <v>0</v>
      </c>
      <c r="C228" s="50">
        <f>Subsurface_Inputs!$C$57+1.5*SIN(2*PI()*A228/35)</f>
        <v/>
      </c>
      <c r="D228" s="50">
        <f>Subsurface_Live_Data!M228+Subsurface_Inputs!$C$56*SIN(2*PI()*A228/31)</f>
        <v/>
      </c>
      <c r="E228" s="50">
        <f>IF(Subsurface_Live_Data!H228&gt;=Subsurface_Inputs!$C$42,Subsurface_Live_Data!N228+Subsurface_Inputs!$C$56*SIN(2*PI()*A228/27),NA())</f>
        <v/>
      </c>
      <c r="F228" s="50">
        <f>Subsurface_Live_Data!O228+Subsurface_Inputs!$C$56*SIN(2*PI()*A228/47)</f>
        <v/>
      </c>
      <c r="G228" s="50">
        <f>-55+3*SIN(2*PI()*A228/19)</f>
        <v/>
      </c>
    </row>
    <row r="229">
      <c r="A229" s="50">
        <f>Subsurface_Live_Data!A229</f>
        <v/>
      </c>
      <c r="B229" s="50" t="n">
        <v>0</v>
      </c>
      <c r="C229" s="50">
        <f>Subsurface_Inputs!$C$57+1.5*SIN(2*PI()*A229/35)</f>
        <v/>
      </c>
      <c r="D229" s="50">
        <f>Subsurface_Live_Data!M229+Subsurface_Inputs!$C$56*SIN(2*PI()*A229/31)</f>
        <v/>
      </c>
      <c r="E229" s="50">
        <f>IF(Subsurface_Live_Data!H229&gt;=Subsurface_Inputs!$C$42,Subsurface_Live_Data!N229+Subsurface_Inputs!$C$56*SIN(2*PI()*A229/27),NA())</f>
        <v/>
      </c>
      <c r="F229" s="50">
        <f>Subsurface_Live_Data!O229+Subsurface_Inputs!$C$56*SIN(2*PI()*A229/47)</f>
        <v/>
      </c>
      <c r="G229" s="50">
        <f>-55+3*SIN(2*PI()*A229/19)</f>
        <v/>
      </c>
    </row>
    <row r="230">
      <c r="A230" s="50">
        <f>Subsurface_Live_Data!A230</f>
        <v/>
      </c>
      <c r="B230" s="50" t="n">
        <v>0</v>
      </c>
      <c r="C230" s="50">
        <f>Subsurface_Inputs!$C$57+1.5*SIN(2*PI()*A230/35)</f>
        <v/>
      </c>
      <c r="D230" s="50">
        <f>Subsurface_Live_Data!M230+Subsurface_Inputs!$C$56*SIN(2*PI()*A230/31)</f>
        <v/>
      </c>
      <c r="E230" s="50">
        <f>IF(Subsurface_Live_Data!H230&gt;=Subsurface_Inputs!$C$42,Subsurface_Live_Data!N230+Subsurface_Inputs!$C$56*SIN(2*PI()*A230/27),NA())</f>
        <v/>
      </c>
      <c r="F230" s="50">
        <f>Subsurface_Live_Data!O230+Subsurface_Inputs!$C$56*SIN(2*PI()*A230/47)</f>
        <v/>
      </c>
      <c r="G230" s="50">
        <f>-55+3*SIN(2*PI()*A230/19)</f>
        <v/>
      </c>
    </row>
    <row r="231">
      <c r="A231" s="50">
        <f>Subsurface_Live_Data!A231</f>
        <v/>
      </c>
      <c r="B231" s="50" t="n">
        <v>0</v>
      </c>
      <c r="C231" s="50">
        <f>Subsurface_Inputs!$C$57+1.5*SIN(2*PI()*A231/35)</f>
        <v/>
      </c>
      <c r="D231" s="50">
        <f>Subsurface_Live_Data!M231+Subsurface_Inputs!$C$56*SIN(2*PI()*A231/31)</f>
        <v/>
      </c>
      <c r="E231" s="50">
        <f>IF(Subsurface_Live_Data!H231&gt;=Subsurface_Inputs!$C$42,Subsurface_Live_Data!N231+Subsurface_Inputs!$C$56*SIN(2*PI()*A231/27),NA())</f>
        <v/>
      </c>
      <c r="F231" s="50">
        <f>Subsurface_Live_Data!O231+Subsurface_Inputs!$C$56*SIN(2*PI()*A231/47)</f>
        <v/>
      </c>
      <c r="G231" s="50">
        <f>-55+3*SIN(2*PI()*A231/19)</f>
        <v/>
      </c>
    </row>
    <row r="232">
      <c r="A232" s="50">
        <f>Subsurface_Live_Data!A232</f>
        <v/>
      </c>
      <c r="B232" s="50" t="n">
        <v>0</v>
      </c>
      <c r="C232" s="50">
        <f>Subsurface_Inputs!$C$57+1.5*SIN(2*PI()*A232/35)</f>
        <v/>
      </c>
      <c r="D232" s="50">
        <f>Subsurface_Live_Data!M232+Subsurface_Inputs!$C$56*SIN(2*PI()*A232/31)</f>
        <v/>
      </c>
      <c r="E232" s="50">
        <f>IF(Subsurface_Live_Data!H232&gt;=Subsurface_Inputs!$C$42,Subsurface_Live_Data!N232+Subsurface_Inputs!$C$56*SIN(2*PI()*A232/27),NA())</f>
        <v/>
      </c>
      <c r="F232" s="50">
        <f>Subsurface_Live_Data!O232+Subsurface_Inputs!$C$56*SIN(2*PI()*A232/47)</f>
        <v/>
      </c>
      <c r="G232" s="50">
        <f>-55+3*SIN(2*PI()*A232/19)</f>
        <v/>
      </c>
    </row>
    <row r="233">
      <c r="A233" s="50">
        <f>Subsurface_Live_Data!A233</f>
        <v/>
      </c>
      <c r="B233" s="50" t="n">
        <v>0</v>
      </c>
      <c r="C233" s="50">
        <f>Subsurface_Inputs!$C$57+1.5*SIN(2*PI()*A233/35)</f>
        <v/>
      </c>
      <c r="D233" s="50">
        <f>Subsurface_Live_Data!M233+Subsurface_Inputs!$C$56*SIN(2*PI()*A233/31)</f>
        <v/>
      </c>
      <c r="E233" s="50">
        <f>IF(Subsurface_Live_Data!H233&gt;=Subsurface_Inputs!$C$42,Subsurface_Live_Data!N233+Subsurface_Inputs!$C$56*SIN(2*PI()*A233/27),NA())</f>
        <v/>
      </c>
      <c r="F233" s="50">
        <f>Subsurface_Live_Data!O233+Subsurface_Inputs!$C$56*SIN(2*PI()*A233/47)</f>
        <v/>
      </c>
      <c r="G233" s="50">
        <f>-55+3*SIN(2*PI()*A233/19)</f>
        <v/>
      </c>
    </row>
    <row r="234">
      <c r="A234" s="50">
        <f>Subsurface_Live_Data!A234</f>
        <v/>
      </c>
      <c r="B234" s="50" t="n">
        <v>0</v>
      </c>
      <c r="C234" s="50">
        <f>Subsurface_Inputs!$C$57+1.5*SIN(2*PI()*A234/35)</f>
        <v/>
      </c>
      <c r="D234" s="50">
        <f>Subsurface_Live_Data!M234+Subsurface_Inputs!$C$56*SIN(2*PI()*A234/31)</f>
        <v/>
      </c>
      <c r="E234" s="50">
        <f>IF(Subsurface_Live_Data!H234&gt;=Subsurface_Inputs!$C$42,Subsurface_Live_Data!N234+Subsurface_Inputs!$C$56*SIN(2*PI()*A234/27),NA())</f>
        <v/>
      </c>
      <c r="F234" s="50">
        <f>Subsurface_Live_Data!O234+Subsurface_Inputs!$C$56*SIN(2*PI()*A234/47)</f>
        <v/>
      </c>
      <c r="G234" s="50">
        <f>-55+3*SIN(2*PI()*A234/19)</f>
        <v/>
      </c>
    </row>
    <row r="235">
      <c r="A235" s="50">
        <f>Subsurface_Live_Data!A235</f>
        <v/>
      </c>
      <c r="B235" s="50" t="n">
        <v>0</v>
      </c>
      <c r="C235" s="50">
        <f>Subsurface_Inputs!$C$57+1.5*SIN(2*PI()*A235/35)</f>
        <v/>
      </c>
      <c r="D235" s="50">
        <f>Subsurface_Live_Data!M235+Subsurface_Inputs!$C$56*SIN(2*PI()*A235/31)</f>
        <v/>
      </c>
      <c r="E235" s="50">
        <f>IF(Subsurface_Live_Data!H235&gt;=Subsurface_Inputs!$C$42,Subsurface_Live_Data!N235+Subsurface_Inputs!$C$56*SIN(2*PI()*A235/27),NA())</f>
        <v/>
      </c>
      <c r="F235" s="50">
        <f>Subsurface_Live_Data!O235+Subsurface_Inputs!$C$56*SIN(2*PI()*A235/47)</f>
        <v/>
      </c>
      <c r="G235" s="50">
        <f>-55+3*SIN(2*PI()*A235/19)</f>
        <v/>
      </c>
    </row>
    <row r="236">
      <c r="A236" s="50">
        <f>Subsurface_Live_Data!A236</f>
        <v/>
      </c>
      <c r="B236" s="50" t="n">
        <v>0</v>
      </c>
      <c r="C236" s="50">
        <f>Subsurface_Inputs!$C$57+1.5*SIN(2*PI()*A236/35)</f>
        <v/>
      </c>
      <c r="D236" s="50">
        <f>Subsurface_Live_Data!M236+Subsurface_Inputs!$C$56*SIN(2*PI()*A236/31)</f>
        <v/>
      </c>
      <c r="E236" s="50">
        <f>IF(Subsurface_Live_Data!H236&gt;=Subsurface_Inputs!$C$42,Subsurface_Live_Data!N236+Subsurface_Inputs!$C$56*SIN(2*PI()*A236/27),NA())</f>
        <v/>
      </c>
      <c r="F236" s="50">
        <f>Subsurface_Live_Data!O236+Subsurface_Inputs!$C$56*SIN(2*PI()*A236/47)</f>
        <v/>
      </c>
      <c r="G236" s="50">
        <f>-55+3*SIN(2*PI()*A236/19)</f>
        <v/>
      </c>
    </row>
    <row r="237">
      <c r="A237" s="50">
        <f>Subsurface_Live_Data!A237</f>
        <v/>
      </c>
      <c r="B237" s="50" t="n">
        <v>0</v>
      </c>
      <c r="C237" s="50">
        <f>Subsurface_Inputs!$C$57+1.5*SIN(2*PI()*A237/35)</f>
        <v/>
      </c>
      <c r="D237" s="50">
        <f>Subsurface_Live_Data!M237+Subsurface_Inputs!$C$56*SIN(2*PI()*A237/31)</f>
        <v/>
      </c>
      <c r="E237" s="50">
        <f>IF(Subsurface_Live_Data!H237&gt;=Subsurface_Inputs!$C$42,Subsurface_Live_Data!N237+Subsurface_Inputs!$C$56*SIN(2*PI()*A237/27),NA())</f>
        <v/>
      </c>
      <c r="F237" s="50">
        <f>Subsurface_Live_Data!O237+Subsurface_Inputs!$C$56*SIN(2*PI()*A237/47)</f>
        <v/>
      </c>
      <c r="G237" s="50">
        <f>-55+3*SIN(2*PI()*A237/19)</f>
        <v/>
      </c>
    </row>
    <row r="238">
      <c r="A238" s="50">
        <f>Subsurface_Live_Data!A238</f>
        <v/>
      </c>
      <c r="B238" s="50" t="n">
        <v>0</v>
      </c>
      <c r="C238" s="50">
        <f>Subsurface_Inputs!$C$57+1.5*SIN(2*PI()*A238/35)</f>
        <v/>
      </c>
      <c r="D238" s="50">
        <f>Subsurface_Live_Data!M238+Subsurface_Inputs!$C$56*SIN(2*PI()*A238/31)</f>
        <v/>
      </c>
      <c r="E238" s="50">
        <f>IF(Subsurface_Live_Data!H238&gt;=Subsurface_Inputs!$C$42,Subsurface_Live_Data!N238+Subsurface_Inputs!$C$56*SIN(2*PI()*A238/27),NA())</f>
        <v/>
      </c>
      <c r="F238" s="50">
        <f>Subsurface_Live_Data!O238+Subsurface_Inputs!$C$56*SIN(2*PI()*A238/47)</f>
        <v/>
      </c>
      <c r="G238" s="50">
        <f>-55+3*SIN(2*PI()*A238/19)</f>
        <v/>
      </c>
    </row>
    <row r="239">
      <c r="A239" s="50">
        <f>Subsurface_Live_Data!A239</f>
        <v/>
      </c>
      <c r="B239" s="50" t="n">
        <v>0</v>
      </c>
      <c r="C239" s="50">
        <f>Subsurface_Inputs!$C$57+1.5*SIN(2*PI()*A239/35)</f>
        <v/>
      </c>
      <c r="D239" s="50">
        <f>Subsurface_Live_Data!M239+Subsurface_Inputs!$C$56*SIN(2*PI()*A239/31)</f>
        <v/>
      </c>
      <c r="E239" s="50">
        <f>IF(Subsurface_Live_Data!H239&gt;=Subsurface_Inputs!$C$42,Subsurface_Live_Data!N239+Subsurface_Inputs!$C$56*SIN(2*PI()*A239/27),NA())</f>
        <v/>
      </c>
      <c r="F239" s="50">
        <f>Subsurface_Live_Data!O239+Subsurface_Inputs!$C$56*SIN(2*PI()*A239/47)</f>
        <v/>
      </c>
      <c r="G239" s="50">
        <f>-55+3*SIN(2*PI()*A239/19)</f>
        <v/>
      </c>
    </row>
    <row r="240">
      <c r="A240" s="50">
        <f>Subsurface_Live_Data!A240</f>
        <v/>
      </c>
      <c r="B240" s="50" t="n">
        <v>0</v>
      </c>
      <c r="C240" s="50">
        <f>Subsurface_Inputs!$C$57+1.5*SIN(2*PI()*A240/35)</f>
        <v/>
      </c>
      <c r="D240" s="50">
        <f>Subsurface_Live_Data!M240+Subsurface_Inputs!$C$56*SIN(2*PI()*A240/31)</f>
        <v/>
      </c>
      <c r="E240" s="50">
        <f>IF(Subsurface_Live_Data!H240&gt;=Subsurface_Inputs!$C$42,Subsurface_Live_Data!N240+Subsurface_Inputs!$C$56*SIN(2*PI()*A240/27),NA())</f>
        <v/>
      </c>
      <c r="F240" s="50">
        <f>Subsurface_Live_Data!O240+Subsurface_Inputs!$C$56*SIN(2*PI()*A240/47)</f>
        <v/>
      </c>
      <c r="G240" s="50">
        <f>-55+3*SIN(2*PI()*A240/19)</f>
        <v/>
      </c>
    </row>
    <row r="241">
      <c r="A241" s="50">
        <f>Subsurface_Live_Data!A241</f>
        <v/>
      </c>
      <c r="B241" s="50" t="n">
        <v>0</v>
      </c>
      <c r="C241" s="50">
        <f>Subsurface_Inputs!$C$57+1.5*SIN(2*PI()*A241/35)</f>
        <v/>
      </c>
      <c r="D241" s="50">
        <f>Subsurface_Live_Data!M241+Subsurface_Inputs!$C$56*SIN(2*PI()*A241/31)</f>
        <v/>
      </c>
      <c r="E241" s="50">
        <f>IF(Subsurface_Live_Data!H241&gt;=Subsurface_Inputs!$C$42,Subsurface_Live_Data!N241+Subsurface_Inputs!$C$56*SIN(2*PI()*A241/27),NA())</f>
        <v/>
      </c>
      <c r="F241" s="50">
        <f>Subsurface_Live_Data!O241+Subsurface_Inputs!$C$56*SIN(2*PI()*A241/47)</f>
        <v/>
      </c>
      <c r="G241" s="50">
        <f>-55+3*SIN(2*PI()*A241/19)</f>
        <v/>
      </c>
    </row>
    <row r="242">
      <c r="A242" s="50">
        <f>Subsurface_Live_Data!A242</f>
        <v/>
      </c>
      <c r="B242" s="50" t="n">
        <v>0</v>
      </c>
      <c r="C242" s="50">
        <f>Subsurface_Inputs!$C$57+1.5*SIN(2*PI()*A242/35)</f>
        <v/>
      </c>
      <c r="D242" s="50">
        <f>Subsurface_Live_Data!M242+Subsurface_Inputs!$C$56*SIN(2*PI()*A242/31)</f>
        <v/>
      </c>
      <c r="E242" s="50">
        <f>IF(Subsurface_Live_Data!H242&gt;=Subsurface_Inputs!$C$42,Subsurface_Live_Data!N242+Subsurface_Inputs!$C$56*SIN(2*PI()*A242/27),NA())</f>
        <v/>
      </c>
      <c r="F242" s="50">
        <f>Subsurface_Live_Data!O242+Subsurface_Inputs!$C$56*SIN(2*PI()*A242/47)</f>
        <v/>
      </c>
      <c r="G242" s="50">
        <f>-55+3*SIN(2*PI()*A242/19)</f>
        <v/>
      </c>
    </row>
  </sheetData>
  <autoFilter ref="A1:G2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row r="42">
      <c r="A42" s="50" t="inlineStr">
        <is>
          <t>detectability_margin = echo_dB - detection_threshold_dB</t>
        </is>
      </c>
      <c r="B42" s="50" t="inlineStr">
        <is>
          <t>Positive means the simulated return is above the simple detection threshold.</t>
        </is>
      </c>
      <c r="C42" s="50" t="inlineStr">
        <is>
          <t>Subsurface_Inputs detection threshold, echo estimates</t>
        </is>
      </c>
      <c r="D42" s="50" t="inlineStr">
        <is>
          <t>detectability margin</t>
        </is>
      </c>
    </row>
    <row r="43">
      <c r="A43" s="50" t="inlineStr">
        <is>
          <t>realism/proof scores</t>
        </is>
      </c>
      <c r="B43" s="50" t="inlineStr">
        <is>
          <t>Judgment score for model credibility, not a measured science result.</t>
        </is>
      </c>
      <c r="C43" s="50" t="inlineStr">
        <is>
          <t>synthetic inputs and assumptions</t>
        </is>
      </c>
      <c r="D43" s="50" t="inlineStr">
        <is>
          <t>dashboard realism block</t>
        </is>
      </c>
    </row>
    <row r="45">
      <c r="A45" s="50" t="inlineStr">
        <is>
          <t>scenario_depth = mean_depth * scenario_multiplier</t>
        </is>
      </c>
      <c r="B45" s="50" t="inlineStr">
        <is>
          <t>Thin/medium/thick ice comparison.</t>
        </is>
      </c>
      <c r="C45" s="50" t="inlineStr">
        <is>
          <t>Subsurface_Inputs scenario multipliers</t>
        </is>
      </c>
      <c r="D45" s="50" t="inlineStr">
        <is>
          <t>scenario boundary depths</t>
        </is>
      </c>
    </row>
    <row r="46">
      <c r="A46" s="50" t="inlineStr">
        <is>
          <t>uncertainty band = boundary_depth +/- uncertainty_m</t>
        </is>
      </c>
      <c r="B46" s="50" t="inlineStr">
        <is>
          <t>Shows a range instead of one exact proposed boundary.</t>
        </is>
      </c>
      <c r="C46" s="50" t="inlineStr">
        <is>
          <t>Subsurface_Inputs boundary uncertainty</t>
        </is>
      </c>
      <c r="D46" s="50" t="inlineStr">
        <is>
          <t>low/high depth bounds</t>
        </is>
      </c>
    </row>
    <row r="47">
      <c r="A47" s="50" t="inlineStr">
        <is>
          <t>no_ocean_control_margin = no_ocean_echo - detection_threshold + clutter</t>
        </is>
      </c>
      <c r="B47" s="50" t="inlineStr">
        <is>
          <t>Control case for comparing against the ocean model.</t>
        </is>
      </c>
      <c r="C47" s="50" t="inlineStr">
        <is>
          <t>no-ocean echo, detection threshold</t>
        </is>
      </c>
      <c r="D47" s="50" t="inlineStr">
        <is>
          <t>control margin</t>
        </is>
      </c>
    </row>
    <row r="48">
      <c r="A48" s="50" t="inlineStr">
        <is>
          <t>evidence_score = weighted average of radar, thermal, composition, magnetic/plasma support</t>
        </is>
      </c>
      <c r="B48" s="50" t="inlineStr">
        <is>
          <t>Cross-instrument support estimate.</t>
        </is>
      </c>
      <c r="C48" s="50" t="inlineStr">
        <is>
          <t>Subsurface_Inputs evidence values and weights</t>
        </is>
      </c>
      <c r="D48" s="50" t="inlineStr">
        <is>
          <t>total evidence support</t>
        </is>
      </c>
    </row>
    <row r="49">
      <c r="A49" s="50" t="inlineStr">
        <is>
          <t>radargram_delay_with_jitter = layer_delay + timing_jitter*sin(...)</t>
        </is>
      </c>
      <c r="B49" s="50" t="inlineStr">
        <is>
          <t>Simple radargram-style noisy timing view.</t>
        </is>
      </c>
      <c r="C49" s="50" t="inlineStr">
        <is>
          <t>layer delays and radargram jitter</t>
        </is>
      </c>
      <c r="D49" s="50" t="inlineStr">
        <is>
          <t>noisy return timing</t>
        </is>
      </c>
    </row>
  </sheetData>
  <mergeCells count="1">
    <mergeCell ref="A1:D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row r="29">
      <c r="A29" s="50" t="inlineStr">
        <is>
          <t>Detectability Margin vs Threshold</t>
        </is>
      </c>
      <c r="B29" s="50" t="inlineStr">
        <is>
          <t>Shows whether lens/ocean echoes clear a simple detection threshold.</t>
        </is>
      </c>
      <c r="C29" s="50" t="inlineStr">
        <is>
          <t>Useful for judging whether the simulated bottom layer would be visible.</t>
        </is>
      </c>
      <c r="D29" s="50" t="inlineStr">
        <is>
          <t>0 dB is the threshold line.</t>
        </is>
      </c>
      <c r="E29" s="50" t="inlineStr">
        <is>
          <t>Subsurface_Live_Data!A:X:Y:AA</t>
        </is>
      </c>
      <c r="F29" s="50" t="inlineStr">
        <is>
          <t>margin = echo - threshold</t>
        </is>
      </c>
      <c r="G29" s="50" t="inlineStr">
        <is>
          <t>See Subsurface_Checks</t>
        </is>
      </c>
    </row>
    <row r="30">
      <c r="A30" s="50" t="inlineStr">
        <is>
          <t>Ice Shell Thickness Along Track</t>
        </is>
      </c>
      <c r="B30" s="50" t="inlineStr">
        <is>
          <t>Shows possible ice-ocean boundary depth as thickness.</t>
        </is>
      </c>
      <c r="C30" s="50" t="inlineStr">
        <is>
          <t>Useful because the mission question is about what is below the icy surface.</t>
        </is>
      </c>
      <c r="D30" s="50" t="inlineStr">
        <is>
          <t>No baseline; line is synthetic proposed thickness.</t>
        </is>
      </c>
      <c r="E30" s="50" t="inlineStr">
        <is>
          <t>Subsurface_Live_Data!A:K</t>
        </is>
      </c>
      <c r="F30" s="50" t="inlineStr">
        <is>
          <t>ocean_depth formula from Subsurface_Inputs</t>
        </is>
      </c>
      <c r="G30" s="50" t="inlineStr">
        <is>
          <t>See Subsurface_Checks</t>
        </is>
      </c>
    </row>
    <row r="32">
      <c r="A32" s="50" t="inlineStr">
        <is>
          <t>Scenario Comparison: Thin / Medium / Thick Ice</t>
        </is>
      </c>
      <c r="B32" s="50" t="inlineStr">
        <is>
          <t>Compares possible ice shell thickness cases.</t>
        </is>
      </c>
      <c r="C32" s="50" t="inlineStr">
        <is>
          <t>Shows whether conclusions depend on one chosen depth.</t>
        </is>
      </c>
      <c r="D32" s="50" t="inlineStr">
        <is>
          <t>Medium is the live model; thin/thick are scenario multipliers.</t>
        </is>
      </c>
      <c r="E32" s="50" t="inlineStr">
        <is>
          <t>Subsurface_Scenario_Data!A:E:G</t>
        </is>
      </c>
      <c r="F32" s="50" t="inlineStr">
        <is>
          <t>scenario_depth = mean_depth*multiplier</t>
        </is>
      </c>
      <c r="G32" s="50" t="inlineStr">
        <is>
          <t>Live from Subsurface_Inputs</t>
        </is>
      </c>
    </row>
    <row r="33">
      <c r="A33" s="50" t="inlineStr">
        <is>
          <t>Boundary Uncertainty Band</t>
        </is>
      </c>
      <c r="B33" s="50" t="inlineStr">
        <is>
          <t>Shows lower/mean/upper possible bottom reflector depths.</t>
        </is>
      </c>
      <c r="C33" s="50" t="inlineStr">
        <is>
          <t>Avoids pretending the boundary is exactly known.</t>
        </is>
      </c>
      <c r="D33" s="50" t="inlineStr">
        <is>
          <t>Mean is the live model.</t>
        </is>
      </c>
      <c r="E33" s="50" t="inlineStr">
        <is>
          <t>Subsurface_Scenario_Data!A:B:D</t>
        </is>
      </c>
      <c r="F33" s="50" t="inlineStr">
        <is>
          <t>mean +/- uncertainty</t>
        </is>
      </c>
      <c r="G33" s="50" t="inlineStr">
        <is>
          <t>Live from Subsurface_Inputs</t>
        </is>
      </c>
    </row>
    <row r="34">
      <c r="A34" s="50" t="inlineStr">
        <is>
          <t>Ocean Model vs No-Ocean Control</t>
        </is>
      </c>
      <c r="B34" s="50" t="inlineStr">
        <is>
          <t>Compares deep-reflector detectability against a no-ocean control.</t>
        </is>
      </c>
      <c r="C34" s="50" t="inlineStr">
        <is>
          <t>A proposed ocean model should separate from the control.</t>
        </is>
      </c>
      <c r="D34" s="50" t="inlineStr">
        <is>
          <t>0 dB is threshold.</t>
        </is>
      </c>
      <c r="E34" s="50" t="inlineStr">
        <is>
          <t>Subsurface_Scenario_Data!A:H:J</t>
        </is>
      </c>
      <c r="F34" s="50" t="inlineStr">
        <is>
          <t>margin = echo - threshold</t>
        </is>
      </c>
      <c r="G34" s="50" t="inlineStr">
        <is>
          <t>Live from Subsurface_Inputs</t>
        </is>
      </c>
    </row>
    <row r="35">
      <c r="A35" s="50" t="inlineStr">
        <is>
          <t>Radargram-Style Return Timing With Clutter</t>
        </is>
      </c>
      <c r="B35" s="50" t="inlineStr">
        <is>
          <t>Shows surface clutter, shallow return, lens return, and deep return timing.</t>
        </is>
      </c>
      <c r="C35" s="50" t="inlineStr">
        <is>
          <t>Closer to what radar interpretation feels like than clean depth lines.</t>
        </is>
      </c>
      <c r="D35" s="50" t="inlineStr">
        <is>
          <t>Delay is after surface return.</t>
        </is>
      </c>
      <c r="E35" s="50" t="inlineStr">
        <is>
          <t>Subsurface_Radargram_Data!A:F</t>
        </is>
      </c>
      <c r="F35" s="50" t="inlineStr">
        <is>
          <t>layer delay + jitter</t>
        </is>
      </c>
      <c r="G35" s="50" t="inlineStr">
        <is>
          <t>Live from Subsurface_Inputs</t>
        </is>
      </c>
    </row>
    <row r="36">
      <c r="A36" s="50" t="inlineStr">
        <is>
          <t>Reflection Strength by Material / Interface</t>
        </is>
      </c>
      <c r="B36" s="50" t="inlineStr">
        <is>
          <t>Compares relative reflector strength of likely ice/ocean materials.</t>
        </is>
      </c>
      <c r="C36" s="50" t="inlineStr">
        <is>
          <t>Material contrast matters as much as shape.</t>
        </is>
      </c>
      <c r="D36" s="50" t="inlineStr">
        <is>
          <t>Less negative is stronger.</t>
        </is>
      </c>
      <c r="E36" s="50" t="inlineStr">
        <is>
          <t>Subsurface_Materials_Evidence!A:B</t>
        </is>
      </c>
      <c r="F36" s="50" t="inlineStr">
        <is>
          <t>lookup assumptions</t>
        </is>
      </c>
      <c r="G36" s="50" t="inlineStr">
        <is>
          <t>Editable through table if needed</t>
        </is>
      </c>
    </row>
    <row r="37">
      <c r="A37" s="50" t="inlineStr">
        <is>
          <t>Cross-Instrument Evidence Score</t>
        </is>
      </c>
      <c r="B37" s="50" t="inlineStr">
        <is>
          <t>Radar, thermal, composition, and magnetic/plasma support inputs.</t>
        </is>
      </c>
      <c r="C37" s="50" t="inlineStr">
        <is>
          <t>Makes the model more realistic by not relying on radar alone.</t>
        </is>
      </c>
      <c r="D37" s="50" t="inlineStr">
        <is>
          <t>Higher percent means stronger support.</t>
        </is>
      </c>
      <c r="E37" s="50" t="inlineStr">
        <is>
          <t>Subsurface_Materials_Evidence!A:B</t>
        </is>
      </c>
      <c r="F37" s="50" t="inlineStr">
        <is>
          <t>weighted evidence score</t>
        </is>
      </c>
      <c r="G37" s="50" t="inlineStr">
        <is>
          <t>Live from Subsurface_Inputs</t>
        </is>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row r="9">
      <c r="A9" s="50" t="inlineStr">
        <is>
          <t>Detection threshold numeric</t>
        </is>
      </c>
      <c r="B9" s="50">
        <f>IF(ISNUMBER(Subsurface_Inputs!C43),"OK","Review")</f>
        <v/>
      </c>
      <c r="C9" s="50" t="inlineStr">
        <is>
          <t>Detection threshold should be a numeric dB value.</t>
        </is>
      </c>
    </row>
    <row r="10">
      <c r="A10" s="50" t="inlineStr">
        <is>
          <t>Detectability margins finite</t>
        </is>
      </c>
      <c r="B10" s="50">
        <f>IF(COUNT(Subsurface_Live_Data!X2:Y242)=ROWS(Subsurface_Live_Data!X2:Y242)*2,"OK","Review")</f>
        <v/>
      </c>
      <c r="C10" s="50" t="inlineStr">
        <is>
          <t>Lens/ocean margins should stay numeric.</t>
        </is>
      </c>
    </row>
    <row r="11">
      <c r="A11" s="50" t="inlineStr">
        <is>
          <t>Boundary uncertainty numeric</t>
        </is>
      </c>
      <c r="B11" s="50">
        <f>IF(ISNUMBER(Subsurface_Inputs!C44),"OK","Review")</f>
        <v/>
      </c>
      <c r="C11" s="50" t="inlineStr">
        <is>
          <t>Uncertainty band should be numeric.</t>
        </is>
      </c>
    </row>
    <row r="12">
      <c r="A12" s="50" t="inlineStr">
        <is>
          <t>Evidence weights positive</t>
        </is>
      </c>
      <c r="B12" s="50">
        <f>IF(SUM(Subsurface_Inputs!C52:C55)&gt;0,"OK","Review")</f>
        <v/>
      </c>
      <c r="C12" s="50" t="inlineStr">
        <is>
          <t>Evidence score needs positive weights.</t>
        </is>
      </c>
    </row>
    <row r="13">
      <c r="A13" s="50" t="inlineStr">
        <is>
          <t>Scenario data present</t>
        </is>
      </c>
      <c r="B13" s="50">
        <f>IF(COUNT(Subsurface_Scenario_Data!E2:G242)=ROWS(Subsurface_Scenario_Data!E2:G242)*3,"OK","Review")</f>
        <v/>
      </c>
      <c r="C13" s="50" t="inlineStr">
        <is>
          <t>Scenario comparison should remain numeric.</t>
        </is>
      </c>
    </row>
    <row r="14">
      <c r="A14" s="50" t="inlineStr">
        <is>
          <t>Radargram data present</t>
        </is>
      </c>
      <c r="B14" s="50">
        <f>IF(COUNT(Subsurface_Radargram_Data!C2:D242)&gt;0,"OK","Review")</f>
        <v/>
      </c>
      <c r="C14" s="50" t="inlineStr">
        <is>
          <t>Radargram timing helper should remain numeric.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row r="14">
      <c r="A14" s="50" t="inlineStr">
        <is>
          <t>detectability_margin = echo_dB - detection_threshold_dB</t>
        </is>
      </c>
      <c r="B14" s="50" t="inlineStr">
        <is>
          <t>Positive values are easier-to-see simulated returns.</t>
        </is>
      </c>
      <c r="C14" s="50" t="inlineStr">
        <is>
          <t>Subsurface_Inputs C43 and echo formulas</t>
        </is>
      </c>
      <c r="D14" s="50" t="inlineStr">
        <is>
          <t>lens/ocean echo margin</t>
        </is>
      </c>
    </row>
    <row r="15">
      <c r="A15" s="50" t="inlineStr">
        <is>
          <t>realism score</t>
        </is>
      </c>
      <c r="B15" s="50" t="inlineStr">
        <is>
          <t>A judgment estimate: useful for communication, not a scientific proof.</t>
        </is>
      </c>
      <c r="C15" s="50" t="inlineStr">
        <is>
          <t>model assumptions and missing real constraints</t>
        </is>
      </c>
      <c r="D15" s="50" t="inlineStr">
        <is>
          <t>dashboard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2026-06-10T00:31:21Z</dcterms:modified>
  <cp:lastModifiedBy>Tyler Lee</cp:lastModifiedBy>
</cp:coreProperties>
</file>