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2261920d1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d74d4634f2142a2"/>
    <x:sheet xmlns:r="http://schemas.openxmlformats.org/officeDocument/2006/relationships" name="Inputs" sheetId="2" r:id="Rd79c4c82db4248bf"/>
    <x:sheet xmlns:r="http://schemas.openxmlformats.org/officeDocument/2006/relationships" name="Model_Data" sheetId="3" r:id="R9719e254b8f849bb"/>
    <x:sheet xmlns:r="http://schemas.openxmlformats.org/officeDocument/2006/relationships" name="Chart_Data" sheetId="4" r:id="Rb96200a98c604ec9"/>
    <x:sheet xmlns:r="http://schemas.openxmlformats.org/officeDocument/2006/relationships" name="PRF_Results" sheetId="5" r:id="R136c73e8bfa24cf0"/>
    <x:sheet xmlns:r="http://schemas.openxmlformats.org/officeDocument/2006/relationships" name="Formula_Guide" sheetId="6" r:id="R483a18fe3bc347e5"/>
    <x:sheet xmlns:r="http://schemas.openxmlformats.org/officeDocument/2006/relationships" name="Checks" sheetId="7" r:id="R370502d5e50245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00"/>
  </x:numFmts>
  <x:fonts count="6">
    <x:font>
      <x:sz val="11"/>
      <x:name val="Carlito"/>
    </x:font>
    <x:font>
      <x:b/>
      <x:sz val="16"/>
      <x:color rgb="FFFFFFFF"/>
      <x:name val="Calibri"/>
    </x:font>
    <x:font>
      <x:i/>
      <x:sz val="10"/>
      <x:color rgb="FF344054"/>
      <x:name val="Calibri"/>
    </x:font>
    <x:font>
      <x:sz val="10"/>
      <x:color rgb="FF344054"/>
      <x:name val="Calibri"/>
    </x:font>
    <x:font>
      <x:b/>
      <x:sz val="10"/>
      <x:color rgb="FF0B2545"/>
      <x:name val="Calibri"/>
    </x:font>
    <x:font>
      <x:b/>
      <x:sz val="12"/>
      <x:color rgb="FF0B2545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FFF2CC"/>
      </x:patternFill>
    </x:fill>
    <x:fill>
      <x:patternFill patternType="solid">
        <x:fgColor rgb="FFFCEFD9"/>
      </x:patternFill>
    </x:fill>
    <x:fill>
      <x:patternFill patternType="solid">
        <x:fgColor rgb="FFEAF2FB"/>
      </x:patternFill>
    </x:fill>
  </x:fills>
  <x:borders count="5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horizontal="right" vertical="center" wrapText="1"/>
    </x:xf>
    <x:xf numFmtId="201" fontId="4" fillId="4" borderId="1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horizontal="left"/>
    </x:xf>
    <x:xf numFmtId="0" fontId="5" fillId="6" borderId="3" xfId="0" applyNumberFormat="1" applyFont="1" applyFill="1" applyBorder="1" applyAlignment="1">
      <x:alignment horizontal="left"/>
    </x:xf>
    <x:xf numFmtId="0" fontId="5" fillId="6" borderId="4" xfId="0" applyNumberFormat="1" applyFont="1" applyFill="1" applyBorder="1" applyAlignment="1">
      <x:alignment horizontal="left"/>
    </x:xf>
    <x:xf numFmtId="0" fontId="5" fillId="6" borderId="2" xfId="0" applyNumberFormat="1" applyFont="1" applyFill="1" applyBorder="1" applyAlignment="1">
      <x:alignment horizontal="left" vertical="center"/>
    </x:xf>
    <x:xf numFmtId="0" fontId="5" fillId="6" borderId="3" xfId="0" applyNumberFormat="1" applyFont="1" applyFill="1" applyBorder="1" applyAlignment="1">
      <x:alignment horizontal="left" vertical="center"/>
    </x:xf>
    <x:xf numFmtId="0" fontId="5" fillId="6" borderId="4" xfId="0" applyNumberFormat="1" applyFont="1" applyFill="1" applyBorder="1" applyAlignment="1">
      <x:alignment horizontal="left" vertical="center"/>
    </x:xf>
    <x:xf numFmtId="200" fontId="4" fillId="4" borderId="1" xfId="0" applyNumberFormat="1" applyFont="1" applyFill="1" applyBorder="1" applyAlignment="1">
      <x:alignment horizontal="center"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righ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2" fontId="4" fillId="6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0B2545"/>
      </x:font>
      <x:fill>
        <x:patternFill patternType="solid">
          <x:bgColor rgb="FFDFF4E6"/>
        </x:patternFill>
      </x:fill>
    </x:dxf>
    <x:dxf>
      <x:font>
        <x:b/>
        <x:color rgb="FF0B2545"/>
      </x:font>
      <x:fill>
        <x:patternFill patternType="solid">
          <x:bgColor rgb="FFFCEF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7aff583e7422c" /><Relationship Type="http://schemas.openxmlformats.org/officeDocument/2006/relationships/theme" Target="/xl/theme/theme1.xml" Id="Rd8097bfaadcc4812" /><Relationship Type="http://schemas.openxmlformats.org/officeDocument/2006/relationships/sharedStrings" Target="/xl/sharedStrings.xml" Id="Rb500bf4aff34488f" /><Relationship Type="http://schemas.openxmlformats.org/officeDocument/2006/relationships/worksheet" Target="/xl/worksheets/sheet1.xml" Id="R5d74d4634f2142a2" /><Relationship Type="http://schemas.openxmlformats.org/officeDocument/2006/relationships/worksheet" Target="/xl/worksheets/sheet2.xml" Id="Rd79c4c82db4248bf" /><Relationship Type="http://schemas.openxmlformats.org/officeDocument/2006/relationships/worksheet" Target="/xl/worksheets/sheet3.xml" Id="R9719e254b8f849bb" /><Relationship Type="http://schemas.openxmlformats.org/officeDocument/2006/relationships/worksheet" Target="/xl/worksheets/sheet4.xml" Id="Rb96200a98c604ec9" /><Relationship Type="http://schemas.openxmlformats.org/officeDocument/2006/relationships/worksheet" Target="/xl/worksheets/sheet5.xml" Id="R136c73e8bfa24cf0" /><Relationship Type="http://schemas.openxmlformats.org/officeDocument/2006/relationships/worksheet" Target="/xl/worksheets/sheet6.xml" Id="R483a18fe3bc347e5" /><Relationship Type="http://schemas.openxmlformats.org/officeDocument/2006/relationships/worksheet" Target="/xl/worksheets/sheet7.xml" Id="R370502d5e50245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24bfc11db9431e" /><Relationship Type="http://schemas.openxmlformats.org/officeDocument/2006/relationships/chart" Target="/xl/drawings/charts/chart2.xml" Id="Re182da047f814902" /><Relationship Type="http://schemas.openxmlformats.org/officeDocument/2006/relationships/chart" Target="/xl/drawings/charts/chart3.xml" Id="R7f5dbf53c56046d9" /><Relationship Type="http://schemas.openxmlformats.org/officeDocument/2006/relationships/chart" Target="/xl/drawings/charts/chart4.xml" Id="R7e3dbd79cf6d4f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Flat vs Topography-Adjusted Apparent Depth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Flat apparent depth (m)</c:v>
          </c:tx>
          <c:cat>
            <c:strRef>
              <c:f>'Chart_Data'!$A$2:$A$242</c:f>
              <c:strCache>
                <c:ptCount val="0"/>
              </c:strCache>
            </c:strRef>
          </c:cat>
          <c:val>
            <c:numRef>
              <c:f>'Chart_Data'!$B$2:$B$242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Topography-adjusted apparent depth (m)</c:v>
          </c:tx>
          <c:cat>
            <c:strRef>
              <c:f>'Chart_Data'!$A$2:$A$242</c:f>
              <c:strCache>
                <c:ptCount val="0"/>
              </c:strCache>
            </c:strRef>
          </c:cat>
          <c:val>
            <c:numRef>
              <c:f>'Chart_Data'!$C$2:$C$242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Representative Europa Topography Along the Pass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Target topography height (m)</c:v>
          </c:tx>
          <c:cat>
            <c:strRef>
              <c:f>'Chart_Data'!$E$2:$E$242</c:f>
              <c:strCache>
                <c:ptCount val="0"/>
              </c:strCache>
            </c:strRef>
          </c:cat>
          <c:val>
            <c:numRef>
              <c:f>'Chart_Data'!$F$2:$F$242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Nadir topography height (m)</c:v>
          </c:tx>
          <c:cat>
            <c:strRef>
              <c:f>'Chart_Data'!$E$2:$E$242</c:f>
              <c:strCache>
                <c:ptCount val="0"/>
              </c:strCache>
            </c:strRef>
          </c:cat>
          <c:val>
            <c:numRef>
              <c:f>'Chart_Data'!$G$2:$G$242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Topography-Driven Depth and Height Changes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Depth change from topography (m)</c:v>
          </c:tx>
          <c:cat>
            <c:strRef>
              <c:f>'Chart_Data'!$I$2:$I$242</c:f>
              <c:strCache>
                <c:ptCount val="0"/>
              </c:strCache>
            </c:strRef>
          </c:cat>
          <c:val>
            <c:numRef>
              <c:f>'Chart_Data'!$J$2:$J$242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Target-minus-nadir height (m)</c:v>
          </c:tx>
          <c:cat>
            <c:strRef>
              <c:f>'Chart_Data'!$I$2:$I$242</c:f>
              <c:strCache>
                <c:ptCount val="0"/>
              </c:strCache>
            </c:strRef>
          </c:cat>
          <c:val>
            <c:numRef>
              <c:f>'Chart_Data'!$K$2:$K$242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Flat vs Topography-Adjusted Doppler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Flat VHF Doppler (Hz)</c:v>
          </c:tx>
          <c:cat>
            <c:strRef>
              <c:f>'Chart_Data'!$M$2:$M$242</c:f>
              <c:strCache>
                <c:ptCount val="0"/>
              </c:strCache>
            </c:strRef>
          </c:cat>
          <c:val>
            <c:numRef>
              <c:f>'Chart_Data'!$N$2:$N$242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Topo VHF Doppler (Hz)</c:v>
          </c:tx>
          <c:cat>
            <c:strRef>
              <c:f>'Chart_Data'!$M$2:$M$242</c:f>
              <c:strCache>
                <c:ptCount val="0"/>
              </c:strCache>
            </c:strRef>
          </c:cat>
          <c:val>
            <c:numRef>
              <c:f>'Chart_Data'!$O$2:$O$242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Flat HF Doppler (Hz)</c:v>
          </c:tx>
          <c:cat>
            <c:strRef>
              <c:f>'Chart_Data'!$M$2:$M$242</c:f>
              <c:strCache>
                <c:ptCount val="0"/>
              </c:strCache>
            </c:strRef>
          </c:cat>
          <c:val>
            <c:numRef>
              <c:f>'Chart_Data'!$P$2:$P$242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Topo HF Doppler (Hz)</c:v>
          </c:tx>
          <c:cat>
            <c:strRef>
              <c:f>'Chart_Data'!$M$2:$M$242</c:f>
              <c:strCache>
                <c:ptCount val="0"/>
              </c:strCache>
            </c:strRef>
          </c:cat>
          <c:val>
            <c:numRef>
              <c:f>'Chart_Data'!$Q$2:$Q$242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24bfc11db9431e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82da047f81490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5dbf53c56046d9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3dbd79cf6d4f8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DataTable" displayName="ModelDataTable" ref="A1:AS242" headerRowCount="1">
  <x:tableColumns count="45">
    <x:tableColumn id="1" name="x_km"/>
    <x:tableColumn id="2" name="z_km"/>
    <x:tableColumn id="3" name="R_nadir_km"/>
    <x:tableColumn id="4" name="R_off_km"/>
    <x:tableColumn id="5" name="Delta_R_m"/>
    <x:tableColumn id="6" name="apparent_depth_m"/>
    <x:tableColumn id="7" name="extra_delay_us"/>
    <x:tableColumn id="8" name="horizontal_offset_km"/>
    <x:tableColumn id="9" name="look_angle_deg"/>
    <x:tableColumn id="10" name="vhf_phase_deg"/>
    <x:tableColumn id="11" name="relative_power"/>
    <x:tableColumn id="12" name="power_dB"/>
    <x:tableColumn id="13" name="dz_dx"/>
    <x:tableColumn id="14" name="dz_dt_km_s"/>
    <x:tableColumn id="15" name="range_rate_m_s"/>
    <x:tableColumn id="16" name="vhf_doppler_hz"/>
    <x:tableColumn id="17" name="hf_doppler_hz"/>
    <x:tableColumn id="18" name="vhf_band_low_m"/>
    <x:tableColumn id="19" name="vhf_band_high_m"/>
    <x:tableColumn id="20" name="hf_band_low_m"/>
    <x:tableColumn id="21" name="hf_band_high_m"/>
    <x:tableColumn id="22" name="abs_vhf_doppler_hz"/>
    <x:tableColumn id="23" name="abs_hf_doppler_hz"/>
    <x:tableColumn id="24" name="h_nadir_m"/>
    <x:tableColumn id="25" name="h_target_m"/>
    <x:tableColumn id="26" name="R_nadir_topo_km"/>
    <x:tableColumn id="27" name="R_off_topo_km"/>
    <x:tableColumn id="28" name="Delta_R_topo_m"/>
    <x:tableColumn id="29" name="apparent_depth_topo_m"/>
    <x:tableColumn id="30" name="extra_delay_topo_us"/>
    <x:tableColumn id="31" name="look_angle_topo_deg"/>
    <x:tableColumn id="32" name="vhf_phase_topo_deg"/>
    <x:tableColumn id="33" name="relative_power_topo"/>
    <x:tableColumn id="34" name="power_dB_topo"/>
    <x:tableColumn id="35" name="depth_change_topo_minus_flat_m"/>
    <x:tableColumn id="36" name="delay_change_topo_minus_flat_us"/>
    <x:tableColumn id="37" name="target_minus_nadir_height_m"/>
    <x:tableColumn id="38" name="range_rate_topo_m_s"/>
    <x:tableColumn id="39" name="vhf_doppler_topo_hz"/>
    <x:tableColumn id="40" name="hf_doppler_topo_hz"/>
    <x:tableColumn id="41" name="abs_vhf_doppler_topo_hz"/>
    <x:tableColumn id="42" name="abs_hf_doppler_topo_hz"/>
    <x:tableColumn id="43" name="topo_depth_uncertainty_m"/>
    <x:tableColumn id="44" name="topo_depth_low_m"/>
    <x:tableColumn id="45" name="topo_depth_high_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641bc85a7f4d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5aa854741464e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9" hidden="0" customWidth="1"/>
    <x:col min="4" max="4" width="48" hidden="0" customWidth="1"/>
    <x:col min="5" max="5" width="14" hidden="0" customWidth="1"/>
    <x:col min="6" max="6" width="30" hidden="0" customWidth="1"/>
    <x:col min="7" max="7" width="4" hidden="0" customWidth="1"/>
    <x:col min="8" max="8" width="4" hidden="0" customWidth="1"/>
    <x:col min="9" max="9" width="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4" t="str">
        <x:v>Parabolic Motion Radar + Topography Parameter Model</x:v>
      </x:c>
      <x:c r="B1" s="4"/>
      <x:c r="C1" s="4"/>
      <x:c r="D1" s="4"/>
      <x:c r="E1" s="4"/>
      <x:c r="F1" s="4"/>
      <x:c r="G1" s="4"/>
      <x:c r="H1" s="4"/>
    </x:row>
    <x:row r="2">
      <x:c r="A2" s="43" t="str">
        <x:v>Use the Inputs tab to change altitude, side offset, speed, path curvature, wavelength, PRF, and the topography ON/OFF dropdown. Charts compare flat-surface results against representative Europa topography.</x:v>
      </x:c>
      <x:c r="B2" s="43"/>
      <x:c r="C2" s="43"/>
      <x:c r="D2" s="43"/>
      <x:c r="E2" s="43"/>
      <x:c r="F2" s="43"/>
      <x:c r="G2" s="43"/>
      <x:c r="H2" s="43"/>
    </x:row>
    <x:row r="4">
      <x:c r="A4" s="36" t="str">
        <x:v>Key Output Results</x:v>
      </x:c>
      <x:c r="B4" s="37"/>
      <x:c r="C4" s="37"/>
      <x:c r="D4" s="38"/>
    </x:row>
    <x:row r="5">
      <x:c r="A5" s="14" t="str">
        <x:v>Output</x:v>
      </x:c>
      <x:c r="B5" s="14" t="str">
        <x:v>Value</x:v>
      </x:c>
      <x:c r="C5" s="14" t="str">
        <x:v>Unit</x:v>
      </x:c>
      <x:c r="D5" s="14" t="str">
        <x:v>What it means</x:v>
      </x:c>
    </x:row>
    <x:row r="6">
      <x:c r="A6" s="11" t="str">
        <x:v>Topography toggle</x:v>
      </x:c>
      <x:c r="B6" s="47" t="str">
        <x:f>IF(Inputs!$C$27="ON","☑ Topography ON","☐ Topography OFF")</x:f>
        <x:v>☑ Topography ON</x:v>
      </x:c>
      <x:c r="C6" s="11" t="str"/>
      <x:c r="D6" s="11" t="str">
        <x:v>Change Inputs!C27 between ON and OFF.</x:v>
      </x:c>
    </x:row>
    <x:row r="7">
      <x:c r="A7" s="11" t="str">
        <x:v>Flat apparent depth at mid-pass</x:v>
      </x:c>
      <x:c r="B7" s="48" t="n">
        <x:f>Model_Data!F122</x:f>
        <x:v>438.4767118173631</x:v>
      </x:c>
      <x:c r="C7" s="11" t="str">
        <x:v>m</x:v>
      </x:c>
      <x:c r="D7" s="11" t="str">
        <x:v>Original flat-surface result.</x:v>
      </x:c>
    </x:row>
    <x:row r="8">
      <x:c r="A8" s="11" t="str">
        <x:v>Topo apparent depth at mid-pass</x:v>
      </x:c>
      <x:c r="B8" s="48" t="n">
        <x:f>Model_Data!AC122</x:f>
        <x:v>242.63691340927176</x:v>
      </x:c>
      <x:c r="C8" s="11" t="str">
        <x:v>m</x:v>
      </x:c>
      <x:c r="D8" s="11" t="str">
        <x:v>Apparent depth after terrain height changes the range geometry.</x:v>
      </x:c>
    </x:row>
    <x:row r="9">
      <x:c r="A9" s="11" t="str">
        <x:v>Depth change from topography</x:v>
      </x:c>
      <x:c r="B9" s="48" t="n">
        <x:f>Model_Data!AI122</x:f>
        <x:v>-195.83979840809133</x:v>
      </x:c>
      <x:c r="C9" s="11" t="str">
        <x:v>m</x:v>
      </x:c>
      <x:c r="D9" s="11" t="str">
        <x:v>Topo apparent depth minus flat apparent depth.</x:v>
      </x:c>
    </x:row>
    <x:row r="10">
      <x:c r="A10" s="11" t="str">
        <x:v>Topo extra two-way delay</x:v>
      </x:c>
      <x:c r="B10" s="48" t="n">
        <x:f>Model_Data!AD122</x:f>
        <x:v>2.881284664396085</x:v>
      </x:c>
      <x:c r="C10" s="11" t="str">
        <x:v>us</x:v>
      </x:c>
      <x:c r="D10" s="11" t="str">
        <x:v>Two-way delay after topography is included.</x:v>
      </x:c>
    </x:row>
    <x:row r="11">
      <x:c r="A11" s="11" t="str">
        <x:v>Topo VHF interferometric phase</x:v>
      </x:c>
      <x:c r="B11" s="48" t="n">
        <x:f>Model_Data!AF122</x:f>
        <x:v>22.476161884487176</x:v>
      </x:c>
      <x:c r="C11" s="11" t="str">
        <x:v>deg</x:v>
      </x:c>
      <x:c r="D11" s="11" t="str">
        <x:v>VHF phase after topography changes the look geometry.</x:v>
      </x:c>
    </x:row>
    <x:row r="12">
      <x:c r="A12" s="11" t="str">
        <x:v>Max target terrain height</x:v>
      </x:c>
      <x:c r="B12" s="48" t="n">
        <x:f>MAX(Model_Data!Y2:Y242)</x:f>
        <x:v>414.32753063820945</x:v>
      </x:c>
      <x:c r="C12" s="11" t="str">
        <x:v>m</x:v>
      </x:c>
      <x:c r="D12" s="11" t="str">
        <x:v>Highest modeled terrain at the side-offset target path.</x:v>
      </x:c>
    </x:row>
    <x:row r="13">
      <x:c r="A13" s="11" t="str">
        <x:v>Min target terrain height</x:v>
      </x:c>
      <x:c r="B13" s="48" t="n">
        <x:f>MIN(Model_Data!Y2:Y242)</x:f>
        <x:v>-28.616366122175435</x:v>
      </x:c>
      <x:c r="C13" s="11" t="str">
        <x:v>m</x:v>
      </x:c>
      <x:c r="D13" s="11" t="str">
        <x:v>Lowest modeled terrain at the side-offset target path.</x:v>
      </x:c>
    </x:row>
    <x:row r="14">
      <x:c r="A14" s="11" t="str">
        <x:v>Max absolute topo depth change</x:v>
      </x:c>
      <x:c r="B14" s="48" t="n">
        <x:f>MAX(MAX(Model_Data!AI2:AI242),-MIN(Model_Data!AI2:AI242))</x:f>
        <x:v>212.34087365119296</x:v>
      </x:c>
      <x:c r="C14" s="11" t="str">
        <x:v>m</x:v>
      </x:c>
      <x:c r="D14" s="11" t="str">
        <x:v>Largest magnitude of topography-driven apparent-depth change.</x:v>
      </x:c>
    </x:row>
    <x:row r="15">
      <x:c r="A15" s="11" t="str">
        <x:v>Max topo VHF Doppler magnitude</x:v>
      </x:c>
      <x:c r="B15" s="48" t="n">
        <x:f>MAX(Model_Data!AO2:AO242)</x:f>
        <x:v>463.50278849422466</x:v>
      </x:c>
      <x:c r="C15" s="11" t="str">
        <x:v>Hz</x:v>
      </x:c>
      <x:c r="D15" s="11" t="str">
        <x:v>Largest VHF Doppler after topography is included.</x:v>
      </x:c>
    </x:row>
    <x:row r="16">
      <x:c r="A16" s="11" t="str">
        <x:v>Simple minimum PRF with topo</x:v>
      </x:c>
      <x:c r="B16" s="48" t="n">
        <x:f>2*B15</x:f>
        <x:v>927.0055769884493</x:v>
      </x:c>
      <x:c r="C16" s="11" t="str">
        <x:v>Hz</x:v>
      </x:c>
      <x:c r="D16" s="11" t="str">
        <x:v>Twice max topo VHF Doppler, a simple no-alias floor.</x:v>
      </x:c>
    </x:row>
    <x:row r="17">
      <x:c r="A17" s="11" t="str">
        <x:v>Topo depth uncertainty band</x:v>
      </x:c>
      <x:c r="B17" s="48" t="n">
        <x:f>Model_Data!AQ122</x:f>
        <x:v>42.13483146067416</x:v>
      </x:c>
      <x:c r="C17" s="11" t="str">
        <x:v>m</x:v>
      </x:c>
      <x:c r="D17" s="11" t="str">
        <x:v>Representative vertical uncertainty converted to apparent-depth uncertainty.</x:v>
      </x:c>
    </x:row>
    <x:row r="19">
      <x:c r="A19" s="36" t="str">
        <x:v>PRF Choices</x:v>
      </x:c>
      <x:c r="B19" s="37"/>
      <x:c r="C19" s="37"/>
      <x:c r="D19" s="37"/>
      <x:c r="E19" s="37"/>
      <x:c r="F19" s="38"/>
    </x:row>
    <x:row r="20">
      <x:c r="A20" s="14" t="str">
        <x:v>PRF (Hz)</x:v>
      </x:c>
      <x:c r="B20" s="14" t="str">
        <x:v>Pulse interval (ms)</x:v>
      </x:c>
      <x:c r="C20" s="14" t="str">
        <x:v>Along-track spacing (m)</x:v>
      </x:c>
      <x:c r="D20" s="14" t="str">
        <x:v>Unambiguous range (km)</x:v>
      </x:c>
      <x:c r="E20" s="14" t="str">
        <x:v>Pulses in air at z0</x:v>
      </x:c>
      <x:c r="F20" s="14" t="str">
        <x:v>Status</x:v>
      </x:c>
    </x:row>
    <x:row r="21">
      <x:c r="A21" s="40" t="n">
        <x:f>PRF_Results!A4</x:f>
        <x:v>50</x:v>
      </x:c>
      <x:c r="B21" s="40" t="n">
        <x:f>PRF_Results!B4</x:f>
        <x:v>20</x:v>
      </x:c>
      <x:c r="C21" s="40" t="n">
        <x:f>PRF_Results!C4</x:f>
        <x:v>80</x:v>
      </x:c>
      <x:c r="D21" s="40" t="n">
        <x:f>PRF_Results!D4</x:f>
        <x:v>2997.92458</x:v>
      </x:c>
      <x:c r="E21" s="40" t="n">
        <x:f>PRF_Results!E4</x:f>
        <x:v>0.13342563807926083</x:v>
      </x:c>
      <x:c r="F21" s="11" t="str">
        <x:f>PRF_Results!F4</x:f>
        <x:v>Below simple Doppler floor</x:v>
      </x:c>
    </x:row>
    <x:row r="22">
      <x:c r="A22" s="40" t="n">
        <x:f>PRF_Results!A5</x:f>
        <x:v>500</x:v>
      </x:c>
      <x:c r="B22" s="40" t="n">
        <x:f>PRF_Results!B5</x:f>
        <x:v>2</x:v>
      </x:c>
      <x:c r="C22" s="40" t="n">
        <x:f>PRF_Results!C5</x:f>
        <x:v>8</x:v>
      </x:c>
      <x:c r="D22" s="40" t="n">
        <x:f>PRF_Results!D5</x:f>
        <x:v>299.792458</x:v>
      </x:c>
      <x:c r="E22" s="40" t="n">
        <x:f>PRF_Results!E5</x:f>
        <x:v>1.3342563807926082</x:v>
      </x:c>
      <x:c r="F22" s="11" t="str">
        <x:f>PRF_Results!F5</x:f>
        <x:v>Below simple Doppler floor</x:v>
      </x:c>
    </x:row>
    <x:row r="23">
      <x:c r="A23" s="40" t="n">
        <x:f>PRF_Results!A6</x:f>
        <x:v>3000</x:v>
      </x:c>
      <x:c r="B23" s="40" t="n">
        <x:f>PRF_Results!B6</x:f>
        <x:v>0.3333333333333333</x:v>
      </x:c>
      <x:c r="C23" s="40" t="n">
        <x:f>PRF_Results!C6</x:f>
        <x:v>1.3333333333333333</x:v>
      </x:c>
      <x:c r="D23" s="40" t="n">
        <x:f>PRF_Results!D6</x:f>
        <x:v>49.965409666666666</x:v>
      </x:c>
      <x:c r="E23" s="40" t="n">
        <x:f>PRF_Results!E6</x:f>
        <x:v>8.00553828475565</x:v>
      </x:c>
      <x:c r="F23" s="11" t="str">
        <x:f>PRF_Results!F6</x:f>
        <x:v>OK for modeled topo VHF Doppler</x:v>
      </x:c>
    </x:row>
    <x:row r="25">
      <x:c r="A25" s="36" t="str">
        <x:v>How to read this model</x:v>
      </x:c>
      <x:c r="B25" s="37"/>
      <x:c r="C25" s="37"/>
      <x:c r="D25" s="37"/>
      <x:c r="E25" s="37"/>
      <x:c r="F25" s="37"/>
      <x:c r="G25" s="37"/>
      <x:c r="H25" s="38"/>
    </x:row>
    <x:row r="26">
      <x:c r="A26" s="25" t="str">
        <x:v>The chain is: parabolic motion changes z(x); topography adds h(x,y); the effective vertical distance changes slant range, apparent depth, delay, phase, Doppler, and the PRF floor.</x:v>
      </x:c>
      <x:c r="B26" s="26"/>
      <x:c r="C26" s="26"/>
      <x:c r="D26" s="26"/>
      <x:c r="E26" s="26"/>
      <x:c r="F26" s="26"/>
      <x:c r="G26" s="26"/>
      <x:c r="H26" s="27"/>
    </x:row>
  </x:sheetData>
  <x:mergeCells>
    <x:mergeCell ref="A1:H1"/>
    <x:mergeCell ref="A2:H2"/>
    <x:mergeCell ref="A4:D4"/>
    <x:mergeCell ref="A19:F19"/>
    <x:mergeCell ref="A25:H25"/>
    <x:mergeCell ref="A26:H26"/>
  </x:mergeCells>
  <x:pageMargins left="0.7" right="0.7" top="0.75" bottom="0.75" header="0.3" footer="0.3"/>
  <x:drawing xmlns:r="http://schemas.openxmlformats.org/officeDocument/2006/relationships" r:id="Rf0641bc85a7f4de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10" hidden="0" customWidth="1"/>
    <x:col min="5" max="5" width="58" hidden="0" customWidth="1"/>
  </x:cols>
  <x:sheetData>
    <x:row r="1">
      <x:c r="A1" s="4" t="str">
        <x:v>Parabolic Motion Radar Model - Editable Inputs</x:v>
      </x:c>
      <x:c r="B1" s="4"/>
      <x:c r="C1" s="4"/>
      <x:c r="D1" s="4"/>
      <x:c r="E1" s="4"/>
    </x:row>
    <x:row r="2">
      <x:c r="A2" s="7" t="str">
        <x:v>Change the yellow cells in column C. The Dashboard, Model_Data, PRF_Results, and charts update from these inputs.</x:v>
      </x:c>
      <x:c r="B2" s="7"/>
      <x:c r="C2" s="7"/>
      <x:c r="D2" s="7"/>
      <x:c r="E2" s="7"/>
    </x:row>
    <x:row r="4">
      <x:c r="A4" s="14" t="str">
        <x:v>Parameter</x:v>
      </x:c>
      <x:c r="B4" s="14" t="str">
        <x:v>Symbol</x:v>
      </x:c>
      <x:c r="C4" s="14" t="str">
        <x:v>Value</x:v>
      </x:c>
      <x:c r="D4" s="14" t="str">
        <x:v>Unit</x:v>
      </x:c>
      <x:c r="E4" s="14" t="str">
        <x:v>Notes</x:v>
      </x:c>
    </x:row>
    <x:row r="5">
      <x:c r="A5" s="11" t="str">
        <x:v>Closest altitude</x:v>
      </x:c>
      <x:c r="B5" s="11" t="str">
        <x:v>z0</x:v>
      </x:c>
      <x:c r="C5" s="18" t="n">
        <x:v>400</x:v>
      </x:c>
      <x:c r="D5" s="11" t="str">
        <x:v>km</x:v>
      </x:c>
      <x:c r="E5" s="11" t="str">
        <x:v>Altitude at closest approach. Change this to test other flyby heights.</x:v>
      </x:c>
    </x:row>
    <x:row r="6">
      <x:c r="A6" s="11" t="str">
        <x:v>Side/cross-track offset</x:v>
      </x:c>
      <x:c r="B6" s="11" t="str">
        <x:v>y</x:v>
      </x:c>
      <x:c r="C6" s="18" t="n">
        <x:v>25</x:v>
      </x:c>
      <x:c r="D6" s="11" t="str">
        <x:v>km</x:v>
      </x:c>
      <x:c r="E6" s="11" t="str">
        <x:v>Horizontal offset of the modeled target from nadir.</x:v>
      </x:c>
    </x:row>
    <x:row r="7">
      <x:c r="A7" s="11" t="str">
        <x:v>Along-track minimum</x:v>
      </x:c>
      <x:c r="B7" s="11" t="str">
        <x:v>x_min</x:v>
      </x:c>
      <x:c r="C7" s="18" t="n">
        <x:v>-60</x:v>
      </x:c>
      <x:c r="D7" s="11" t="str">
        <x:v>km</x:v>
      </x:c>
      <x:c r="E7" s="11" t="str">
        <x:v>Left/start side of the modeled pass.</x:v>
      </x:c>
    </x:row>
    <x:row r="8">
      <x:c r="A8" s="11" t="str">
        <x:v>Along-track maximum</x:v>
      </x:c>
      <x:c r="B8" s="11" t="str">
        <x:v>x_max</x:v>
      </x:c>
      <x:c r="C8" s="18" t="n">
        <x:v>60</x:v>
      </x:c>
      <x:c r="D8" s="11" t="str">
        <x:v>km</x:v>
      </x:c>
      <x:c r="E8" s="11" t="str">
        <x:v>Right/end side of the modeled pass.</x:v>
      </x:c>
    </x:row>
    <x:row r="9">
      <x:c r="A9" s="11" t="str">
        <x:v>Altitude rise at edge</x:v>
      </x:c>
      <x:c r="B9" s="11" t="str">
        <x:v>Delta_z_edge</x:v>
      </x:c>
      <x:c r="C9" s="18" t="n">
        <x:v>4</x:v>
      </x:c>
      <x:c r="D9" s="11" t="str">
        <x:v>km</x:v>
      </x:c>
      <x:c r="E9" s="11" t="str">
        <x:v>How much altitude rises at +/- x_edge.</x:v>
      </x:c>
    </x:row>
    <x:row r="10">
      <x:c r="A10" s="11" t="str">
        <x:v>Parabola edge location</x:v>
      </x:c>
      <x:c r="B10" s="11" t="str">
        <x:v>x_edge</x:v>
      </x:c>
      <x:c r="C10" s="18" t="n">
        <x:v>60</x:v>
      </x:c>
      <x:c r="D10" s="11" t="str">
        <x:v>km</x:v>
      </x:c>
      <x:c r="E10" s="11" t="str">
        <x:v>Controls curvature together with Delta_z_edge.</x:v>
      </x:c>
    </x:row>
    <x:row r="11">
      <x:c r="A11" s="11" t="str">
        <x:v>Along-track speed</x:v>
      </x:c>
      <x:c r="B11" s="11" t="str">
        <x:v>v</x:v>
      </x:c>
      <x:c r="C11" s="18" t="n">
        <x:v>4</x:v>
      </x:c>
      <x:c r="D11" s="11" t="str">
        <x:v>km/s</x:v>
      </x:c>
      <x:c r="E11" s="11" t="str">
        <x:v>Used for range rate, Doppler, and pulse spacing.</x:v>
      </x:c>
    </x:row>
    <x:row r="12">
      <x:c r="A12" s="11" t="str">
        <x:v>Ice refractive index</x:v>
      </x:c>
      <x:c r="B12" s="11" t="str">
        <x:v>n</x:v>
      </x:c>
      <x:c r="C12" s="18" t="n">
        <x:v>1.78</x:v>
      </x:c>
      <x:c r="D12" s="11" t="str"/>
      <x:c r="E12" s="11" t="str">
        <x:v>Used to convert extra slant path into apparent depth.</x:v>
      </x:c>
    </x:row>
    <x:row r="13">
      <x:c r="A13" s="11" t="str">
        <x:v>VHF wavelength</x:v>
      </x:c>
      <x:c r="B13" s="11" t="str">
        <x:v>lambda_vhf</x:v>
      </x:c>
      <x:c r="C13" s="18" t="n">
        <x:v>5</x:v>
      </x:c>
      <x:c r="D13" s="11" t="str">
        <x:v>m</x:v>
      </x:c>
      <x:c r="E13" s="11" t="str">
        <x:v>REASON-like VHF wavelength.</x:v>
      </x:c>
    </x:row>
    <x:row r="14">
      <x:c r="A14" s="11" t="str">
        <x:v>HF wavelength</x:v>
      </x:c>
      <x:c r="B14" s="11" t="str">
        <x:v>lambda_hf</x:v>
      </x:c>
      <x:c r="C14" s="18" t="n">
        <x:v>33.3</x:v>
      </x:c>
      <x:c r="D14" s="11" t="str">
        <x:v>m</x:v>
      </x:c>
      <x:c r="E14" s="11" t="str">
        <x:v>REASON-like HF wavelength.</x:v>
      </x:c>
    </x:row>
    <x:row r="15">
      <x:c r="A15" s="11" t="str">
        <x:v>Interferometer baseline</x:v>
      </x:c>
      <x:c r="B15" s="11" t="str">
        <x:v>b</x:v>
      </x:c>
      <x:c r="C15" s="18" t="n">
        <x:v>5</x:v>
      </x:c>
      <x:c r="D15" s="11" t="str">
        <x:v>m</x:v>
      </x:c>
      <x:c r="E15" s="11" t="str">
        <x:v>Used for VHF phase estimate.</x:v>
      </x:c>
    </x:row>
    <x:row r="16">
      <x:c r="A16" s="11" t="str">
        <x:v>VHF range resolution</x:v>
      </x:c>
      <x:c r="B16" s="11" t="str">
        <x:v>res_vhf</x:v>
      </x:c>
      <x:c r="C16" s="18" t="n">
        <x:v>30</x:v>
      </x:c>
      <x:c r="D16" s="11" t="str">
        <x:v>m</x:v>
      </x:c>
      <x:c r="E16" s="11" t="str">
        <x:v>Used for VHF apparent-depth uncertainty band.</x:v>
      </x:c>
    </x:row>
    <x:row r="17">
      <x:c r="A17" s="11" t="str">
        <x:v>HF range resolution</x:v>
      </x:c>
      <x:c r="B17" s="11" t="str">
        <x:v>res_hf</x:v>
      </x:c>
      <x:c r="C17" s="18" t="n">
        <x:v>300</x:v>
      </x:c>
      <x:c r="D17" s="11" t="str">
        <x:v>m</x:v>
      </x:c>
      <x:c r="E17" s="11" t="str">
        <x:v>Used for HF apparent-depth uncertainty band.</x:v>
      </x:c>
    </x:row>
    <x:row r="18">
      <x:c r="A18" s="11" t="str">
        <x:v>PRF choice 1</x:v>
      </x:c>
      <x:c r="B18" s="11" t="str">
        <x:v>PRF_1</x:v>
      </x:c>
      <x:c r="C18" s="18" t="n">
        <x:v>50</x:v>
      </x:c>
      <x:c r="D18" s="11" t="str">
        <x:v>Hz</x:v>
      </x:c>
      <x:c r="E18" s="11" t="str">
        <x:v>Example low PRF.</x:v>
      </x:c>
    </x:row>
    <x:row r="19">
      <x:c r="A19" s="11" t="str">
        <x:v>PRF choice 2</x:v>
      </x:c>
      <x:c r="B19" s="11" t="str">
        <x:v>PRF_2</x:v>
      </x:c>
      <x:c r="C19" s="18" t="n">
        <x:v>500</x:v>
      </x:c>
      <x:c r="D19" s="11" t="str">
        <x:v>Hz</x:v>
      </x:c>
      <x:c r="E19" s="11" t="str">
        <x:v>Example medium PRF.</x:v>
      </x:c>
    </x:row>
    <x:row r="20">
      <x:c r="A20" s="11" t="str">
        <x:v>PRF choice 3</x:v>
      </x:c>
      <x:c r="B20" s="11" t="str">
        <x:v>PRF_3</x:v>
      </x:c>
      <x:c r="C20" s="18" t="n">
        <x:v>3000</x:v>
      </x:c>
      <x:c r="D20" s="11" t="str">
        <x:v>Hz</x:v>
      </x:c>
      <x:c r="E20" s="11" t="str">
        <x:v>Example high PRF.</x:v>
      </x:c>
    </x:row>
    <x:row r="21">
      <x:c r="A21" s="11" t="str">
        <x:v>Speed of light</x:v>
      </x:c>
      <x:c r="B21" s="11" t="str">
        <x:v>c</x:v>
      </x:c>
      <x:c r="C21" s="19" t="n">
        <x:v>299792458</x:v>
      </x:c>
      <x:c r="D21" s="11" t="str">
        <x:v>m/s</x:v>
      </x:c>
      <x:c r="E21" s="11" t="str">
        <x:v>Physical constant used for delay and timing.</x:v>
      </x:c>
    </x:row>
    <x:row r="23">
      <x:c r="A23" s="25" t="str">
        <x:v>Model note</x:v>
      </x:c>
      <x:c r="B23" s="26" t="str">
        <x:v>The parabola is a simplified local path, not a real mission trajectory. Use it to see how geometry changes radar outputs.</x:v>
      </x:c>
      <x:c r="C23" s="26" t="str"/>
      <x:c r="D23" s="26" t="str"/>
      <x:c r="E23" s="27" t="str"/>
    </x:row>
    <x:row r="25">
      <x:c r="A25" s="36" t="str">
        <x:v>Representative Europa Topography Controls</x:v>
      </x:c>
      <x:c r="B25" s="37"/>
      <x:c r="C25" s="37"/>
      <x:c r="D25" s="37"/>
      <x:c r="E25" s="38"/>
    </x:row>
    <x:row r="26">
      <x:c r="A26" s="14" t="str">
        <x:v>Parameter</x:v>
      </x:c>
      <x:c r="B26" s="14" t="str">
        <x:v>Symbol</x:v>
      </x:c>
      <x:c r="C26" s="14" t="str">
        <x:v>Value</x:v>
      </x:c>
      <x:c r="D26" s="14" t="str">
        <x:v>Unit</x:v>
      </x:c>
      <x:c r="E26" s="14" t="str">
        <x:v>Notes</x:v>
      </x:c>
    </x:row>
    <x:row r="27">
      <x:c r="A27" s="11" t="str">
        <x:v>Topography enabled</x:v>
      </x:c>
      <x:c r="B27" s="11" t="str">
        <x:v>topography_on</x:v>
      </x:c>
      <x:c r="C27" s="39" t="str">
        <x:v>ON</x:v>
      </x:c>
      <x:c r="D27" s="11" t="str"/>
      <x:c r="E27" s="11" t="str">
        <x:v>Dropdown toggle. ON adds terrain height to the radar geometry; OFF returns to flat surface.</x:v>
      </x:c>
    </x:row>
    <x:row r="28">
      <x:c r="A28" s="11" t="str">
        <x:v>Ridge height</x:v>
      </x:c>
      <x:c r="B28" s="11" t="str">
        <x:v>A_ridge</x:v>
      </x:c>
      <x:c r="C28" s="18" t="n">
        <x:v>350</x:v>
      </x:c>
      <x:c r="D28" s="11" t="str">
        <x:v>m</x:v>
      </x:c>
      <x:c r="E28" s="11" t="str">
        <x:v>Positive height for a representative double-ridge / raised band.</x:v>
      </x:c>
    </x:row>
    <x:row r="29">
      <x:c r="A29" s="11" t="str">
        <x:v>Ridge center x</x:v>
      </x:c>
      <x:c r="B29" s="11" t="str">
        <x:v>ridge_x0</x:v>
      </x:c>
      <x:c r="C29" s="18" t="n">
        <x:v>0</x:v>
      </x:c>
      <x:c r="D29" s="11" t="str">
        <x:v>km</x:v>
      </x:c>
      <x:c r="E29" s="11" t="str">
        <x:v>Along-track center of the ridge.</x:v>
      </x:c>
    </x:row>
    <x:row r="30">
      <x:c r="A30" s="11" t="str">
        <x:v>Ridge center y</x:v>
      </x:c>
      <x:c r="B30" s="11" t="str">
        <x:v>ridge_y0</x:v>
      </x:c>
      <x:c r="C30" s="18" t="n">
        <x:v>25</x:v>
      </x:c>
      <x:c r="D30" s="11" t="str">
        <x:v>km</x:v>
      </x:c>
      <x:c r="E30" s="11" t="str">
        <x:v>Cross-track center of the ridge.</x:v>
      </x:c>
    </x:row>
    <x:row r="31">
      <x:c r="A31" s="11" t="str">
        <x:v>Ridge length sigma</x:v>
      </x:c>
      <x:c r="B31" s="11" t="str">
        <x:v>ridge_sigma_x</x:v>
      </x:c>
      <x:c r="C31" s="18" t="n">
        <x:v>24</x:v>
      </x:c>
      <x:c r="D31" s="11" t="str">
        <x:v>km</x:v>
      </x:c>
      <x:c r="E31" s="11" t="str">
        <x:v>Long direction of the ridge feature.</x:v>
      </x:c>
    </x:row>
    <x:row r="32">
      <x:c r="A32" s="11" t="str">
        <x:v>Ridge width sigma</x:v>
      </x:c>
      <x:c r="B32" s="11" t="str">
        <x:v>ridge_sigma_y</x:v>
      </x:c>
      <x:c r="C32" s="18" t="n">
        <x:v>3.5</x:v>
      </x:c>
      <x:c r="D32" s="11" t="str">
        <x:v>km</x:v>
      </x:c>
      <x:c r="E32" s="11" t="str">
        <x:v>Narrow cross-track width of the ridge.</x:v>
      </x:c>
    </x:row>
    <x:row r="33">
      <x:c r="A33" s="11" t="str">
        <x:v>Crater/depression depth</x:v>
      </x:c>
      <x:c r="B33" s="11" t="str">
        <x:v>D_crater</x:v>
      </x:c>
      <x:c r="C33" s="18" t="n">
        <x:v>180</x:v>
      </x:c>
      <x:c r="D33" s="11" t="str">
        <x:v>m</x:v>
      </x:c>
      <x:c r="E33" s="11" t="str">
        <x:v>Positive number becomes a negative depression in the surface model.</x:v>
      </x:c>
    </x:row>
    <x:row r="34">
      <x:c r="A34" s="11" t="str">
        <x:v>Crater center x</x:v>
      </x:c>
      <x:c r="B34" s="11" t="str">
        <x:v>crater_x0</x:v>
      </x:c>
      <x:c r="C34" s="18" t="n">
        <x:v>-18</x:v>
      </x:c>
      <x:c r="D34" s="11" t="str">
        <x:v>km</x:v>
      </x:c>
      <x:c r="E34" s="11" t="str">
        <x:v>Along-track center of depression.</x:v>
      </x:c>
    </x:row>
    <x:row r="35">
      <x:c r="A35" s="11" t="str">
        <x:v>Crater center y</x:v>
      </x:c>
      <x:c r="B35" s="11" t="str">
        <x:v>crater_y0</x:v>
      </x:c>
      <x:c r="C35" s="18" t="n">
        <x:v>8</x:v>
      </x:c>
      <x:c r="D35" s="11" t="str">
        <x:v>km</x:v>
      </x:c>
      <x:c r="E35" s="11" t="str">
        <x:v>Cross-track center of depression.</x:v>
      </x:c>
    </x:row>
    <x:row r="36">
      <x:c r="A36" s="11" t="str">
        <x:v>Crater width sigma</x:v>
      </x:c>
      <x:c r="B36" s="11" t="str">
        <x:v>crater_sigma</x:v>
      </x:c>
      <x:c r="C36" s="18" t="n">
        <x:v>8</x:v>
      </x:c>
      <x:c r="D36" s="11" t="str">
        <x:v>km</x:v>
      </x:c>
      <x:c r="E36" s="11" t="str">
        <x:v>Controls how broad the depression is.</x:v>
      </x:c>
    </x:row>
    <x:row r="37">
      <x:c r="A37" s="11" t="str">
        <x:v>Chaos amplitude</x:v>
      </x:c>
      <x:c r="B37" s="11" t="str">
        <x:v>A_chaos</x:v>
      </x:c>
      <x:c r="C37" s="18" t="n">
        <x:v>65</x:v>
      </x:c>
      <x:c r="D37" s="11" t="str">
        <x:v>m</x:v>
      </x:c>
      <x:c r="E37" s="11" t="str">
        <x:v>Mixed sinusoidal terrain term for irregular chaos-like height variation.</x:v>
      </x:c>
    </x:row>
    <x:row r="38">
      <x:c r="A38" s="11" t="str">
        <x:v>Fine roughness amplitude</x:v>
      </x:c>
      <x:c r="B38" s="11" t="str">
        <x:v>A_rough</x:v>
      </x:c>
      <x:c r="C38" s="18" t="n">
        <x:v>35</x:v>
      </x:c>
      <x:c r="D38" s="11" t="str">
        <x:v>m</x:v>
      </x:c>
      <x:c r="E38" s="11" t="str">
        <x:v>Smaller surface roughness term.</x:v>
      </x:c>
    </x:row>
    <x:row r="39">
      <x:c r="A39" s="11" t="str">
        <x:v>Roughness wavelength x</x:v>
      </x:c>
      <x:c r="B39" s="11" t="str">
        <x:v>Lx</x:v>
      </x:c>
      <x:c r="C39" s="18" t="n">
        <x:v>18</x:v>
      </x:c>
      <x:c r="D39" s="11" t="str">
        <x:v>km</x:v>
      </x:c>
      <x:c r="E39" s="11" t="str">
        <x:v>Along-track roughness wavelength.</x:v>
      </x:c>
    </x:row>
    <x:row r="40">
      <x:c r="A40" s="11" t="str">
        <x:v>Roughness wavelength y</x:v>
      </x:c>
      <x:c r="B40" s="11" t="str">
        <x:v>Ly</x:v>
      </x:c>
      <x:c r="C40" s="18" t="n">
        <x:v>12</x:v>
      </x:c>
      <x:c r="D40" s="11" t="str">
        <x:v>km</x:v>
      </x:c>
      <x:c r="E40" s="11" t="str">
        <x:v>Cross-track roughness wavelength.</x:v>
      </x:c>
    </x:row>
    <x:row r="41">
      <x:c r="A41" s="11" t="str">
        <x:v>Trough depth</x:v>
      </x:c>
      <x:c r="B41" s="11" t="str">
        <x:v>D_trough</x:v>
      </x:c>
      <x:c r="C41" s="18" t="n">
        <x:v>120</x:v>
      </x:c>
      <x:c r="D41" s="11" t="str">
        <x:v>m</x:v>
      </x:c>
      <x:c r="E41" s="11" t="str">
        <x:v>Negative linear feature, like a fracture/trough.</x:v>
      </x:c>
    </x:row>
    <x:row r="42">
      <x:c r="A42" s="11" t="str">
        <x:v>Trough center x</x:v>
      </x:c>
      <x:c r="B42" s="11" t="str">
        <x:v>trough_x0</x:v>
      </x:c>
      <x:c r="C42" s="18" t="n">
        <x:v>12</x:v>
      </x:c>
      <x:c r="D42" s="11" t="str">
        <x:v>km</x:v>
      </x:c>
      <x:c r="E42" s="11" t="str">
        <x:v>Along-track center of trough.</x:v>
      </x:c>
    </x:row>
    <x:row r="43">
      <x:c r="A43" s="11" t="str">
        <x:v>Trough center y</x:v>
      </x:c>
      <x:c r="B43" s="11" t="str">
        <x:v>trough_y0</x:v>
      </x:c>
      <x:c r="C43" s="18" t="n">
        <x:v>-6</x:v>
      </x:c>
      <x:c r="D43" s="11" t="str">
        <x:v>km</x:v>
      </x:c>
      <x:c r="E43" s="11" t="str">
        <x:v>Cross-track center of trough.</x:v>
      </x:c>
    </x:row>
    <x:row r="44">
      <x:c r="A44" s="11" t="str">
        <x:v>Trough width sigma</x:v>
      </x:c>
      <x:c r="B44" s="11" t="str">
        <x:v>trough_sigma_y</x:v>
      </x:c>
      <x:c r="C44" s="18" t="n">
        <x:v>2.5</x:v>
      </x:c>
      <x:c r="D44" s="11" t="str">
        <x:v>km</x:v>
      </x:c>
      <x:c r="E44" s="11" t="str">
        <x:v>Narrow width of trough.</x:v>
      </x:c>
    </x:row>
    <x:row r="45">
      <x:c r="A45" s="11" t="str">
        <x:v>Trough length sigma</x:v>
      </x:c>
      <x:c r="B45" s="11" t="str">
        <x:v>trough_sigma_x</x:v>
      </x:c>
      <x:c r="C45" s="18" t="n">
        <x:v>38</x:v>
      </x:c>
      <x:c r="D45" s="11" t="str">
        <x:v>km</x:v>
      </x:c>
      <x:c r="E45" s="11" t="str">
        <x:v>Long direction of trough.</x:v>
      </x:c>
    </x:row>
    <x:row r="46">
      <x:c r="A46" s="11" t="str">
        <x:v>Terrain vertical uncertainty</x:v>
      </x:c>
      <x:c r="B46" s="11" t="str">
        <x:v>sigma_h</x:v>
      </x:c>
      <x:c r="C46" s="18" t="n">
        <x:v>75</x:v>
      </x:c>
      <x:c r="D46" s="11" t="str">
        <x:v>m</x:v>
      </x:c>
      <x:c r="E46" s="11" t="str">
        <x:v>Representative uncertainty band for the topographic height model.</x:v>
      </x:c>
    </x:row>
    <x:row r="48">
      <x:c r="A48" s="25" t="str">
        <x:v>Topography note</x:v>
      </x:c>
      <x:c r="B48" s="26" t="str">
        <x:v>This is a detailed representative terrain model, not a real imported Europa DEM. Use it to test how ridges, depressions, roughness, and troughs would change the radar outputs.</x:v>
      </x:c>
      <x:c r="C48" s="26" t="str"/>
      <x:c r="D48" s="26" t="str"/>
      <x:c r="E48" s="27" t="str"/>
    </x:row>
  </x:sheetData>
  <x:mergeCells>
    <x:mergeCell ref="A1:E1"/>
    <x:mergeCell ref="A2:E2"/>
    <x:mergeCell ref="B23:E23"/>
    <x:mergeCell ref="A25:E25"/>
    <x:mergeCell ref="B48:E48"/>
  </x:mergeCells>
  <x:dataValidations count="1">
    <x:dataValidation type="list" sqref="C27">
      <x:formula1>"ON,OFF"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1" hidden="0" customWidth="1"/>
    <x:col min="13" max="13" width="10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6" hidden="0" customWidth="1"/>
    <x:col min="23" max="23" width="16" hidden="0" customWidth="1"/>
    <x:col min="24" max="24" width="13" hidden="0" customWidth="1"/>
    <x:col min="25" max="25" width="13" hidden="0" customWidth="1"/>
    <x:col min="26" max="26" width="15" hidden="0" customWidth="1"/>
    <x:col min="27" max="27" width="15" hidden="0" customWidth="1"/>
    <x:col min="28" max="28" width="15" hidden="0" customWidth="1"/>
    <x:col min="29" max="29" width="18" hidden="0" customWidth="1"/>
    <x:col min="30" max="30" width="18" hidden="0" customWidth="1"/>
    <x:col min="31" max="31" width="16" hidden="0" customWidth="1"/>
    <x:col min="32" max="32" width="16" hidden="0" customWidth="1"/>
    <x:col min="33" max="33" width="16" hidden="0" customWidth="1"/>
    <x:col min="34" max="34" width="14" hidden="0" customWidth="1"/>
    <x:col min="35" max="35" width="20" hidden="0" customWidth="1"/>
    <x:col min="36" max="36" width="20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6" hidden="0" customWidth="1"/>
    <x:col min="45" max="45" width="16" hidden="0" customWidth="1"/>
  </x:cols>
  <x:sheetData>
    <x:row r="1">
      <x:c r="A1" s="14" t="str">
        <x:v>x_km</x:v>
      </x:c>
      <x:c r="B1" s="14" t="str">
        <x:v>z_km</x:v>
      </x:c>
      <x:c r="C1" s="14" t="str">
        <x:v>R_nadir_km</x:v>
      </x:c>
      <x:c r="D1" s="14" t="str">
        <x:v>R_off_km</x:v>
      </x:c>
      <x:c r="E1" s="14" t="str">
        <x:v>Delta_R_m</x:v>
      </x:c>
      <x:c r="F1" s="14" t="str">
        <x:v>apparent_depth_m</x:v>
      </x:c>
      <x:c r="G1" s="14" t="str">
        <x:v>extra_delay_us</x:v>
      </x:c>
      <x:c r="H1" s="14" t="str">
        <x:v>horizontal_offset_km</x:v>
      </x:c>
      <x:c r="I1" s="14" t="str">
        <x:v>look_angle_deg</x:v>
      </x:c>
      <x:c r="J1" s="14" t="str">
        <x:v>vhf_phase_deg</x:v>
      </x:c>
      <x:c r="K1" s="14" t="str">
        <x:v>relative_power</x:v>
      </x:c>
      <x:c r="L1" s="14" t="str">
        <x:v>power_dB</x:v>
      </x:c>
      <x:c r="M1" s="14" t="str">
        <x:v>dz_dx</x:v>
      </x:c>
      <x:c r="N1" s="14" t="str">
        <x:v>dz_dt_km_s</x:v>
      </x:c>
      <x:c r="O1" s="14" t="str">
        <x:v>range_rate_m_s</x:v>
      </x:c>
      <x:c r="P1" s="14" t="str">
        <x:v>vhf_doppler_hz</x:v>
      </x:c>
      <x:c r="Q1" s="14" t="str">
        <x:v>hf_doppler_hz</x:v>
      </x:c>
      <x:c r="R1" s="14" t="str">
        <x:v>vhf_band_low_m</x:v>
      </x:c>
      <x:c r="S1" s="14" t="str">
        <x:v>vhf_band_high_m</x:v>
      </x:c>
      <x:c r="T1" s="14" t="str">
        <x:v>hf_band_low_m</x:v>
      </x:c>
      <x:c r="U1" s="14" t="str">
        <x:v>hf_band_high_m</x:v>
      </x:c>
      <x:c r="V1" s="14" t="str">
        <x:v>abs_vhf_doppler_hz</x:v>
      </x:c>
      <x:c r="W1" s="14" t="str">
        <x:v>abs_hf_doppler_hz</x:v>
      </x:c>
      <x:c r="X1" s="14" t="str">
        <x:v>h_nadir_m</x:v>
      </x:c>
      <x:c r="Y1" s="14" t="str">
        <x:v>h_target_m</x:v>
      </x:c>
      <x:c r="Z1" s="14" t="str">
        <x:v>R_nadir_topo_km</x:v>
      </x:c>
      <x:c r="AA1" s="14" t="str">
        <x:v>R_off_topo_km</x:v>
      </x:c>
      <x:c r="AB1" s="14" t="str">
        <x:v>Delta_R_topo_m</x:v>
      </x:c>
      <x:c r="AC1" s="14" t="str">
        <x:v>apparent_depth_topo_m</x:v>
      </x:c>
      <x:c r="AD1" s="14" t="str">
        <x:v>extra_delay_topo_us</x:v>
      </x:c>
      <x:c r="AE1" s="14" t="str">
        <x:v>look_angle_topo_deg</x:v>
      </x:c>
      <x:c r="AF1" s="14" t="str">
        <x:v>vhf_phase_topo_deg</x:v>
      </x:c>
      <x:c r="AG1" s="14" t="str">
        <x:v>relative_power_topo</x:v>
      </x:c>
      <x:c r="AH1" s="14" t="str">
        <x:v>power_dB_topo</x:v>
      </x:c>
      <x:c r="AI1" s="14" t="str">
        <x:v>depth_change_topo_minus_flat_m</x:v>
      </x:c>
      <x:c r="AJ1" s="14" t="str">
        <x:v>delay_change_topo_minus_flat_us</x:v>
      </x:c>
      <x:c r="AK1" s="14" t="str">
        <x:v>target_minus_nadir_height_m</x:v>
      </x:c>
      <x:c r="AL1" s="14" t="str">
        <x:v>range_rate_topo_m_s</x:v>
      </x:c>
      <x:c r="AM1" s="14" t="str">
        <x:v>vhf_doppler_topo_hz</x:v>
      </x:c>
      <x:c r="AN1" s="14" t="str">
        <x:v>hf_doppler_topo_hz</x:v>
      </x:c>
      <x:c r="AO1" s="14" t="str">
        <x:v>abs_vhf_doppler_topo_hz</x:v>
      </x:c>
      <x:c r="AP1" s="14" t="str">
        <x:v>abs_hf_doppler_topo_hz</x:v>
      </x:c>
      <x:c r="AQ1" s="14" t="str">
        <x:v>topo_depth_uncertainty_m</x:v>
      </x:c>
      <x:c r="AR1" s="14" t="str">
        <x:v>topo_depth_low_m</x:v>
      </x:c>
      <x:c r="AS1" s="14" t="str">
        <x:v>topo_depth_high_m</x:v>
      </x:c>
    </x:row>
    <x:row r="2">
      <x:c r="A2" s="40" t="n">
        <x:f>Inputs!$C$7+0*(Inputs!$C$8-Inputs!$C$7)/240</x:f>
        <x:v>-60</x:v>
      </x:c>
      <x:c r="B2" s="40" t="n">
        <x:f>Inputs!$C$5+Inputs!$C$9*(A2/Inputs!$C$10)^2</x:f>
        <x:v>404</x:v>
      </x:c>
      <x:c r="C2" s="40" t="n">
        <x:f>B2</x:f>
        <x:v>404</x:v>
      </x:c>
      <x:c r="D2" s="40" t="n">
        <x:f>SQRT(A2^2+Inputs!$C$6^2+B2^2)</x:f>
        <x:v>409.1955522729933</x:v>
      </x:c>
      <x:c r="E2" s="40" t="n">
        <x:f>(D2-C2)*1000</x:f>
        <x:v>5195.5522729933255</x:v>
      </x:c>
      <x:c r="F2" s="40" t="n">
        <x:f>E2/Inputs!$C$12</x:f>
        <x:v>2918.849591569284</x:v>
      </x:c>
      <x:c r="G2" s="40" t="n">
        <x:f>2*E2/Inputs!$C$21*1000000</x:f>
        <x:v>34.66099385991442</x:v>
      </x:c>
      <x:c r="H2" s="40" t="n">
        <x:f>SQRT(A2^2+Inputs!$C$6^2)</x:f>
        <x:v>65</x:v>
      </x:c>
      <x:c r="I2" s="40" t="n">
        <x:f>DEGREES(ATAN(H2/B2))</x:f>
        <x:v>9.14005123413285</x:v>
      </x:c>
      <x:c r="J2" s="40" t="n">
        <x:f>DEGREES((2*PI()/Inputs!$C$13)*Inputs!$C$15*SIN(RADIANS(I2)))</x:f>
        <x:v>57.185372299425126</x:v>
      </x:c>
      <x:c r="K2" s="40" t="n">
        <x:f>(C2/D2)^4</x:f>
        <x:v>0.9501711554944995</x:v>
      </x:c>
      <x:c r="L2" s="40" t="n">
        <x:f>10*LOG10(K2)</x:f>
        <x:v>-0.221981576673</x:v>
      </x:c>
      <x:c r="M2" s="40" t="n">
        <x:f>2*(Inputs!$C$9/(Inputs!$C$10^2))*A2</x:f>
        <x:v>-0.13333333333333333</x:v>
      </x:c>
      <x:c r="N2" s="40" t="n">
        <x:f>M2*Inputs!$C$11</x:f>
        <x:v>-0.5333333333333333</x:v>
      </x:c>
      <x:c r="O2" s="40" t="n">
        <x:f>1000*((A2*Inputs!$C$11)+(B2*N2))/D2</x:f>
        <x:v>-1113.0782437312607</x:v>
      </x:c>
      <x:c r="P2" s="40" t="n">
        <x:f>-2*O2/Inputs!$C$13</x:f>
        <x:v>445.23129749250427</x:v>
      </x:c>
      <x:c r="Q2" s="40" t="n">
        <x:f>-2*O2/Inputs!$C$14</x:f>
        <x:v>66.8515461700457</x:v>
      </x:c>
      <x:c r="R2" s="40" t="n">
        <x:f>F2-Inputs!$C$16/2</x:f>
        <x:v>2903.849591569284</x:v>
      </x:c>
      <x:c r="S2" s="40" t="n">
        <x:f>F2+Inputs!$C$16/2</x:f>
        <x:v>2933.849591569284</x:v>
      </x:c>
      <x:c r="T2" s="40" t="n">
        <x:f>F2-Inputs!$C$17/2</x:f>
        <x:v>2768.849591569284</x:v>
      </x:c>
      <x:c r="U2" s="40" t="n">
        <x:f>F2+Inputs!$C$17/2</x:f>
        <x:v>3068.849591569284</x:v>
      </x:c>
      <x:c r="V2" s="40" t="n">
        <x:f>ABS(P2)</x:f>
        <x:v>445.23129749250427</x:v>
      </x:c>
      <x:c r="W2" s="40" t="n">
        <x:f>ABS(Q2)</x:f>
        <x:v>66.8515461700457</x:v>
      </x:c>
      <x:c r="X2" s="40" t="n">
        <x:f>IF(Inputs!$C$27="ON",1,0)*(Inputs!$C$28*EXP(-(((A2)-Inputs!$C$29)^2)/(2*Inputs!$C$31^2))*EXP(-(((0)-Inputs!$C$30)^2)/(2*Inputs!$C$32^2))+-Inputs!$C$33*EXP(-(((((A2)-Inputs!$C$34)^2)+(((0)-Inputs!$C$35)^2))/(2*Inputs!$C$36^2)))+Inputs!$C$37*(0.55*SIN(2*PI()*(A2)/Inputs!$C$39)+0.35*COS(2*PI()*(0)/Inputs!$C$40)+0.2*SIN(2*PI()*((A2)+(0))/(0.5*(Inputs!$C$39+Inputs!$C$40))))+Inputs!$C$38*SIN(2*PI()*(A2)/Inputs!$C$39)*SIN(2*PI()*(0)/Inputs!$C$40)+-Inputs!$C$41*EXP(-(((0)-Inputs!$C$43)^2)/(2*Inputs!$C$44^2))*EXP(-(((A2)-Inputs!$C$42)^2)/(2*Inputs!$C$45^2)))</x:f>
        <x:v>-9.329568683057762</x:v>
      </x:c>
      <x:c r="Y2" s="40" t="n">
        <x:f>IF(Inputs!$C$27="ON",1,0)*(Inputs!$C$28*EXP(-(((A2)-Inputs!$C$29)^2)/(2*Inputs!$C$31^2))*EXP(-(((Inputs!$C$6)-Inputs!$C$30)^2)/(2*Inputs!$C$32^2))+-Inputs!$C$33*EXP(-(((((A2)-Inputs!$C$34)^2)+(((Inputs!$C$6)-Inputs!$C$35)^2))/(2*Inputs!$C$36^2)))+Inputs!$C$37*(0.55*SIN(2*PI()*(A2)/Inputs!$C$39)+0.35*COS(2*PI()*(Inputs!$C$6)/Inputs!$C$40)+0.2*SIN(2*PI()*((A2)+(Inputs!$C$6))/(0.5*(Inputs!$C$39+Inputs!$C$40))))+Inputs!$C$38*SIN(2*PI()*(A2)/Inputs!$C$39)*SIN(2*PI()*(Inputs!$C$6)/Inputs!$C$40)+-Inputs!$C$41*EXP(-(((Inputs!$C$6)-Inputs!$C$43)^2)/(2*Inputs!$C$44^2))*EXP(-(((A2)-Inputs!$C$42)^2)/(2*Inputs!$C$45^2)))</x:f>
        <x:v>-22.294197776754185</x:v>
      </x:c>
      <x:c r="Z2" s="40" t="n">
        <x:f>B2-X2/1000</x:f>
        <x:v>404.0093295686831</x:v>
      </x:c>
      <x:c r="AA2" s="40" t="n">
        <x:f>SQRT(A2^2+Inputs!$C$6^2+(B2-Y2/1000)^2)</x:f>
        <x:v>409.2175634168637</x:v>
      </x:c>
      <x:c r="AB2" s="40" t="n">
        <x:f>(AA2-Z2)*1000</x:f>
        <x:v>5208.233848180612</x:v>
      </x:c>
      <x:c r="AC2" s="40" t="n">
        <x:f>AB2/Inputs!$C$12</x:f>
        <x:v>2925.9740720115797</x:v>
      </x:c>
      <x:c r="AD2" s="40" t="n">
        <x:f>2*AB2/Inputs!$C$21*1000000</x:f>
        <x:v>34.7455962229751</x:v>
      </x:c>
      <x:c r="AE2" s="40" t="n">
        <x:f>DEGREES(ATAN(H2/(B2-Y2/1000)))</x:f>
        <x:v>9.139555392865523</x:v>
      </x:c>
      <x:c r="AF2" s="40" t="n">
        <x:f>DEGREES((2*PI()/Inputs!$C$13)*Inputs!$C$15*SIN(RADIANS(AE2)))</x:f>
        <x:v>57.18229639171859</x:v>
      </x:c>
      <x:c r="AG2" s="40" t="n">
        <x:f>(Z2/AA2)^4</x:f>
        <x:v>0.9500544927105765</x:v>
      </x:c>
      <x:c r="AH2" s="40" t="n">
        <x:f>10*LOG10(AG2)</x:f>
        <x:v>-0.22251483969271302</x:v>
      </x:c>
      <x:c r="AI2" s="40" t="n">
        <x:f>AC2-F2</x:f>
        <x:v>7.124480442295862</x:v>
      </x:c>
      <x:c r="AJ2" s="40" t="n">
        <x:f>AD2-G2</x:f>
        <x:v>0.08460236306068225</x:v>
      </x:c>
      <x:c r="AK2" s="40" t="n">
        <x:f>Y2-X2</x:f>
        <x:v>-12.964629093696423</x:v>
      </x:c>
      <x:c r="AL2" s="40" t="n">
        <x:f>1000*(AA3-AA2)/(A3-A2)*Inputs!$C$11</x:f>
        <x:v>-1075.2996930796144</x:v>
      </x:c>
      <x:c r="AM2" s="40" t="n">
        <x:f>-2*AL2/Inputs!$C$13</x:f>
        <x:v>430.11987723184575</x:v>
      </x:c>
      <x:c r="AN2" s="40" t="n">
        <x:f>-2*AL2/Inputs!$C$14</x:f>
        <x:v>64.5825641489258</x:v>
      </x:c>
      <x:c r="AO2" s="40" t="n">
        <x:f>ABS(AM2)</x:f>
        <x:v>430.11987723184575</x:v>
      </x:c>
      <x:c r="AP2" s="40" t="n">
        <x:f>ABS(AN2)</x:f>
        <x:v>64.5825641489258</x:v>
      </x:c>
      <x:c r="AQ2" s="40" t="n">
        <x:f>IF(Inputs!$C$27="ON",Inputs!$C$46/Inputs!$C$12,0)</x:f>
        <x:v>42.13483146067416</x:v>
      </x:c>
      <x:c r="AR2" s="40" t="n">
        <x:f>AC2-AQ2</x:f>
        <x:v>2883.8392405509053</x:v>
      </x:c>
      <x:c r="AS2" s="40" t="n">
        <x:f>AC2+AQ2</x:f>
        <x:v>2968.108903472254</x:v>
      </x:c>
    </x:row>
    <x:row r="3">
      <x:c r="A3" s="40" t="n">
        <x:f>Inputs!$C$7+1*(Inputs!$C$8-Inputs!$C$7)/240</x:f>
        <x:v>-59.5</x:v>
      </x:c>
      <x:c r="B3" s="40" t="n">
        <x:f>Inputs!$C$5+Inputs!$C$9*(A3/Inputs!$C$10)^2</x:f>
        <x:v>403.93361111111113</x:v>
      </x:c>
      <x:c r="C3" s="40" t="n">
        <x:f>B3</x:f>
        <x:v>403.93361111111113</x:v>
      </x:c>
      <x:c r="D3" s="40" t="n">
        <x:f>SQRT(A3^2+Inputs!$C$6^2+B3^2)</x:f>
        <x:v>409.05697914259133</x:v>
      </x:c>
      <x:c r="E3" s="40" t="n">
        <x:f>(D3-C3)*1000</x:f>
        <x:v>5123.368031480197</x:v>
      </x:c>
      <x:c r="F3" s="40" t="n">
        <x:f>E3/Inputs!$C$12</x:f>
        <x:v>2878.296646898987</x:v>
      </x:c>
      <x:c r="G3" s="40" t="n">
        <x:f>2*E3/Inputs!$C$21*1000000</x:f>
        <x:v>34.17943243575658</x:v>
      </x:c>
      <x:c r="H3" s="40" t="n">
        <x:f>SQRT(A3^2+Inputs!$C$6^2)</x:f>
        <x:v>64.53874805107394</x:v>
      </x:c>
      <x:c r="I3" s="40" t="n">
        <x:f>DEGREES(ATAN(H3/B3))</x:f>
        <x:v>9.07774203179775</x:v>
      </x:c>
      <x:c r="J3" s="40" t="n">
        <x:f>DEGREES((2*PI()/Inputs!$C$13)*Inputs!$C$15*SIN(RADIANS(I3)))</x:f>
        <x:v>56.79880917100207</x:v>
      </x:c>
      <x:c r="K3" s="40" t="n">
        <x:f>(C3/D3)^4</x:f>
        <x:v>0.950834083946599</x:v>
      </x:c>
      <x:c r="L3" s="40" t="n">
        <x:f>10*LOG10(K3)</x:f>
        <x:v>-0.218952587858653</x:v>
      </x:c>
      <x:c r="M3" s="40" t="n">
        <x:f>2*(Inputs!$C$9/(Inputs!$C$10^2))*A3</x:f>
        <x:v>-0.1322222222222222</x:v>
      </x:c>
      <x:c r="N3" s="40" t="n">
        <x:f>M3*Inputs!$C$11</x:f>
        <x:v>-0.5288888888888889</x:v>
      </x:c>
      <x:c r="O3" s="40" t="n">
        <x:f>1000*((A3*Inputs!$C$11)+(B3*N3))/D3</x:f>
        <x:v>-1104.0906812348956</x:v>
      </x:c>
      <x:c r="P3" s="40" t="n">
        <x:f>-2*O3/Inputs!$C$13</x:f>
        <x:v>441.63627249395824</x:v>
      </x:c>
      <x:c r="Q3" s="40" t="n">
        <x:f>-2*O3/Inputs!$C$14</x:f>
        <x:v>66.31175262672046</x:v>
      </x:c>
      <x:c r="R3" s="40" t="n">
        <x:f>F3-Inputs!$C$16/2</x:f>
        <x:v>2863.296646898987</x:v>
      </x:c>
      <x:c r="S3" s="40" t="n">
        <x:f>F3+Inputs!$C$16/2</x:f>
        <x:v>2893.296646898987</x:v>
      </x:c>
      <x:c r="T3" s="40" t="n">
        <x:f>F3-Inputs!$C$17/2</x:f>
        <x:v>2728.296646898987</x:v>
      </x:c>
      <x:c r="U3" s="40" t="n">
        <x:f>F3+Inputs!$C$17/2</x:f>
        <x:v>3028.296646898987</x:v>
      </x:c>
      <x:c r="V3" s="40" t="n">
        <x:f>ABS(P3)</x:f>
        <x:v>441.63627249395824</x:v>
      </x:c>
      <x:c r="W3" s="40" t="n">
        <x:f>ABS(Q3)</x:f>
        <x:v>66.31175262672046</x:v>
      </x:c>
      <x:c r="X3" s="40" t="n">
        <x:f>IF(Inputs!$C$27="ON",1,0)*(Inputs!$C$28*EXP(-(((A3)-Inputs!$C$29)^2)/(2*Inputs!$C$31^2))*EXP(-(((0)-Inputs!$C$30)^2)/(2*Inputs!$C$32^2))+-Inputs!$C$33*EXP(-(((((A3)-Inputs!$C$34)^2)+(((0)-Inputs!$C$35)^2))/(2*Inputs!$C$36^2)))+Inputs!$C$37*(0.55*SIN(2*PI()*(A3)/Inputs!$C$39)+0.35*COS(2*PI()*(0)/Inputs!$C$40)+0.2*SIN(2*PI()*((A3)+(0))/(0.5*(Inputs!$C$39+Inputs!$C$40))))+Inputs!$C$38*SIN(2*PI()*(A3)/Inputs!$C$39)*SIN(2*PI()*(0)/Inputs!$C$40)+-Inputs!$C$41*EXP(-(((0)-Inputs!$C$43)^2)/(2*Inputs!$C$44^2))*EXP(-(((A3)-Inputs!$C$42)^2)/(2*Inputs!$C$45^2)))</x:f>
        <x:v>-9.288513337400946</x:v>
      </x:c>
      <x:c r="Y3" s="40" t="n">
        <x:f>IF(Inputs!$C$27="ON",1,0)*(Inputs!$C$28*EXP(-(((A3)-Inputs!$C$29)^2)/(2*Inputs!$C$31^2))*EXP(-(((Inputs!$C$6)-Inputs!$C$30)^2)/(2*Inputs!$C$32^2))+-Inputs!$C$33*EXP(-(((((A3)-Inputs!$C$34)^2)+(((Inputs!$C$6)-Inputs!$C$35)^2))/(2*Inputs!$C$36^2)))+Inputs!$C$37*(0.55*SIN(2*PI()*(A3)/Inputs!$C$39)+0.35*COS(2*PI()*(Inputs!$C$6)/Inputs!$C$40)+0.2*SIN(2*PI()*((A3)+(Inputs!$C$6))/(0.5*(Inputs!$C$39+Inputs!$C$40))))+Inputs!$C$38*SIN(2*PI()*(A3)/Inputs!$C$39)*SIN(2*PI()*(Inputs!$C$6)/Inputs!$C$40)+-Inputs!$C$41*EXP(-(((Inputs!$C$6)-Inputs!$C$43)^2)/(2*Inputs!$C$44^2))*EXP(-(((A3)-Inputs!$C$42)^2)/(2*Inputs!$C$45^2)))</x:f>
        <x:v>-26.503746108972983</x:v>
      </x:c>
      <x:c r="Z3" s="40" t="n">
        <x:f>B3-X3/1000</x:f>
        <x:v>403.94289962444856</x:v>
      </x:c>
      <x:c r="AA3" s="40" t="n">
        <x:f>SQRT(A3^2+Inputs!$C$6^2+(B3-Y3/1000)^2)</x:f>
        <x:v>409.08315095522875</x:v>
      </x:c>
      <x:c r="AB3" s="40" t="n">
        <x:f>(AA3-Z3)*1000</x:f>
        <x:v>5140.251330780188</x:v>
      </x:c>
      <x:c r="AC3" s="40" t="n">
        <x:f>AB3/Inputs!$C$12</x:f>
        <x:v>2887.7816465057235</x:v>
      </x:c>
      <x:c r="AD3" s="40" t="n">
        <x:f>2*AB3/Inputs!$C$21*1000000</x:f>
        <x:v>34.292065684855814</x:v>
      </x:c>
      <x:c r="AE3" s="40" t="n">
        <x:f>DEGREES(ATAN(H3/(B3-Y3/1000)))</x:f>
        <x:v>9.07715635902815</x:v>
      </x:c>
      <x:c r="AF3" s="40" t="n">
        <x:f>DEGREES((2*PI()/Inputs!$C$13)*Inputs!$C$15*SIN(RADIANS(AE3)))</x:f>
        <x:v>56.795175367487595</x:v>
      </x:c>
      <x:c r="AG3" s="40" t="n">
        <x:f>(Z3/AA3)^4</x:f>
        <x:v>0.9506782210987543</x:v>
      </x:c>
      <x:c r="AH3" s="40" t="n">
        <x:f>10*LOG10(AG3)</x:f>
        <x:v>-0.21966455143337799</x:v>
      </x:c>
      <x:c r="AI3" s="40" t="n">
        <x:f>AC3-F3</x:f>
        <x:v>9.484999606736437</x:v>
      </x:c>
      <x:c r="AJ3" s="40" t="n">
        <x:f>AD3-G3</x:f>
        <x:v>0.11263324909923256</x:v>
      </x:c>
      <x:c r="AK3" s="40" t="n">
        <x:f>Y3-X3</x:f>
        <x:v>-17.215232771572037</x:v>
      </x:c>
      <x:c r="AL3" s="40" t="n">
        <x:f>1000*(AA4-AA2)/(A4-A2)*Inputs!$C$11</x:f>
        <x:v>-1079.0826315205777</x:v>
      </x:c>
      <x:c r="AM3" s="40" t="n">
        <x:f>-2*AL3/Inputs!$C$13</x:f>
        <x:v>431.6330526082311</x:v>
      </x:c>
      <x:c r="AN3" s="40" t="n">
        <x:f>-2*AL3/Inputs!$C$14</x:f>
        <x:v>64.80976765889356</x:v>
      </x:c>
      <x:c r="AO3" s="40" t="n">
        <x:f>ABS(AM3)</x:f>
        <x:v>431.6330526082311</x:v>
      </x:c>
      <x:c r="AP3" s="40" t="n">
        <x:f>ABS(AN3)</x:f>
        <x:v>64.80976765889356</x:v>
      </x:c>
      <x:c r="AQ3" s="40" t="n">
        <x:f>IF(Inputs!$C$27="ON",Inputs!$C$46/Inputs!$C$12,0)</x:f>
        <x:v>42.13483146067416</x:v>
      </x:c>
      <x:c r="AR3" s="40" t="n">
        <x:f>AC3-AQ3</x:f>
        <x:v>2845.646815045049</x:v>
      </x:c>
      <x:c r="AS3" s="40" t="n">
        <x:f>AC3+AQ3</x:f>
        <x:v>2929.916477966398</x:v>
      </x:c>
    </x:row>
    <x:row r="4">
      <x:c r="A4" s="40" t="n">
        <x:f>Inputs!$C$7+2*(Inputs!$C$8-Inputs!$C$7)/240</x:f>
        <x:v>-59</x:v>
      </x:c>
      <x:c r="B4" s="40" t="n">
        <x:f>Inputs!$C$5+Inputs!$C$9*(A4/Inputs!$C$10)^2</x:f>
        <x:v>403.8677777777778</x:v>
      </x:c>
      <x:c r="C4" s="40" t="n">
        <x:f>B4</x:f>
        <x:v>403.8677777777778</x:v>
      </x:c>
      <x:c r="D4" s="40" t="n">
        <x:f>SQRT(A4^2+Inputs!$C$6^2+B4^2)</x:f>
        <x:v>408.91952989208096</x:v>
      </x:c>
      <x:c r="E4" s="40" t="n">
        <x:f>(D4-C4)*1000</x:f>
        <x:v>5051.752114303155</x:v>
      </x:c>
      <x:c r="F4" s="40" t="n">
        <x:f>E4/Inputs!$C$12</x:f>
        <x:v>2838.0629855635702</x:v>
      </x:c>
      <x:c r="G4" s="40" t="n">
        <x:f>2*E4/Inputs!$C$21*1000000</x:f>
        <x:v>33.70166246345767</x:v>
      </x:c>
      <x:c r="H4" s="40" t="n">
        <x:f>SQRT(A4^2+Inputs!$C$6^2)</x:f>
        <x:v>64.07807737440318</x:v>
      </x:c>
      <x:c r="I4" s="40" t="n">
        <x:f>DEGREES(ATAN(H4/B4))</x:f>
        <x:v>9.015458913989574</x:v>
      </x:c>
      <x:c r="J4" s="40" t="n">
        <x:f>DEGREES((2*PI()/Inputs!$C$13)*Inputs!$C$15*SIN(RADIANS(I4)))</x:f>
        <x:v>56.41234073822082</x:v>
      </x:c>
      <x:c r="K4" s="40" t="n">
        <x:f>(C4/D4)^4</x:f>
        <x:v>0.9514925839256605</x:v>
      </x:c>
      <x:c r="L4" s="40" t="n">
        <x:f>10*LOG10(K4)</x:f>
        <x:v>-0.215945923193827</x:v>
      </x:c>
      <x:c r="M4" s="40" t="n">
        <x:f>2*(Inputs!$C$9/(Inputs!$C$10^2))*A4</x:f>
        <x:v>-0.13111111111111112</x:v>
      </x:c>
      <x:c r="N4" s="40" t="n">
        <x:f>M4*Inputs!$C$11</x:f>
        <x:v>-0.5244444444444445</x:v>
      </x:c>
      <x:c r="O4" s="40" t="n">
        <x:f>1000*((A4*Inputs!$C$11)+(B4*N4))/D4</x:f>
        <x:v>-1095.0961732345256</x:v>
      </x:c>
      <x:c r="P4" s="40" t="n">
        <x:f>-2*O4/Inputs!$C$13</x:f>
        <x:v>438.03846929381024</x:v>
      </x:c>
      <x:c r="Q4" s="40" t="n">
        <x:f>-2*O4/Inputs!$C$14</x:f>
        <x:v>65.77154193600755</x:v>
      </x:c>
      <x:c r="R4" s="40" t="n">
        <x:f>F4-Inputs!$C$16/2</x:f>
        <x:v>2823.0629855635702</x:v>
      </x:c>
      <x:c r="S4" s="40" t="n">
        <x:f>F4+Inputs!$C$16/2</x:f>
        <x:v>2853.0629855635702</x:v>
      </x:c>
      <x:c r="T4" s="40" t="n">
        <x:f>F4-Inputs!$C$17/2</x:f>
        <x:v>2688.0629855635702</x:v>
      </x:c>
      <x:c r="U4" s="40" t="n">
        <x:f>F4+Inputs!$C$17/2</x:f>
        <x:v>2988.0629855635702</x:v>
      </x:c>
      <x:c r="V4" s="40" t="n">
        <x:f>ABS(P4)</x:f>
        <x:v>438.03846929381024</x:v>
      </x:c>
      <x:c r="W4" s="40" t="n">
        <x:f>ABS(Q4)</x:f>
        <x:v>65.77154193600755</x:v>
      </x:c>
      <x:c r="X4" s="40" t="n">
        <x:f>IF(Inputs!$C$27="ON",1,0)*(Inputs!$C$28*EXP(-(((A4)-Inputs!$C$29)^2)/(2*Inputs!$C$31^2))*EXP(-(((0)-Inputs!$C$30)^2)/(2*Inputs!$C$32^2))+-Inputs!$C$33*EXP(-(((((A4)-Inputs!$C$34)^2)+(((0)-Inputs!$C$35)^2))/(2*Inputs!$C$36^2)))+Inputs!$C$37*(0.55*SIN(2*PI()*(A4)/Inputs!$C$39)+0.35*COS(2*PI()*(0)/Inputs!$C$40)+0.2*SIN(2*PI()*((A4)+(0))/(0.5*(Inputs!$C$39+Inputs!$C$40))))+Inputs!$C$38*SIN(2*PI()*(A4)/Inputs!$C$39)*SIN(2*PI()*(0)/Inputs!$C$40)+-Inputs!$C$41*EXP(-(((0)-Inputs!$C$43)^2)/(2*Inputs!$C$44^2))*EXP(-(((A4)-Inputs!$C$42)^2)/(2*Inputs!$C$45^2)))</x:f>
        <x:v>-8.34536905202821</x:v>
      </x:c>
      <x:c r="Y4" s="40" t="n">
        <x:f>IF(Inputs!$C$27="ON",1,0)*(Inputs!$C$28*EXP(-(((A4)-Inputs!$C$29)^2)/(2*Inputs!$C$31^2))*EXP(-(((Inputs!$C$6)-Inputs!$C$30)^2)/(2*Inputs!$C$32^2))+-Inputs!$C$33*EXP(-(((((A4)-Inputs!$C$34)^2)+(((Inputs!$C$6)-Inputs!$C$35)^2))/(2*Inputs!$C$36^2)))+Inputs!$C$37*(0.55*SIN(2*PI()*(A4)/Inputs!$C$39)+0.35*COS(2*PI()*(Inputs!$C$6)/Inputs!$C$40)+0.2*SIN(2*PI()*((A4)+(Inputs!$C$6))/(0.5*(Inputs!$C$39+Inputs!$C$40))))+Inputs!$C$38*SIN(2*PI()*(A4)/Inputs!$C$39)*SIN(2*PI()*(Inputs!$C$6)/Inputs!$C$40)+-Inputs!$C$41*EXP(-(((Inputs!$C$6)-Inputs!$C$43)^2)/(2*Inputs!$C$44^2))*EXP(-(((A4)-Inputs!$C$42)^2)/(2*Inputs!$C$45^2)))</x:f>
        <x:v>-28.616366122175435</x:v>
      </x:c>
      <x:c r="Z4" s="40" t="n">
        <x:f>B4-X4/1000</x:f>
        <x:v>403.87612314682985</x:v>
      </x:c>
      <x:c r="AA4" s="40" t="n">
        <x:f>SQRT(A4^2+Inputs!$C$6^2+(B4-Y4/1000)^2)</x:f>
        <x:v>408.94779275898355</x:v>
      </x:c>
      <x:c r="AB4" s="40" t="n">
        <x:f>(AA4-Z4)*1000</x:f>
        <x:v>5071.669612153699</x:v>
      </x:c>
      <x:c r="AC4" s="40" t="n">
        <x:f>AB4/Inputs!$C$12</x:f>
        <x:v>2849.2525910975837</x:v>
      </x:c>
      <x:c r="AD4" s="40" t="n">
        <x:f>2*AB4/Inputs!$C$21*1000000</x:f>
        <x:v>33.83453770644023</x:v>
      </x:c>
      <x:c r="AE4" s="40" t="n">
        <x:f>DEGREES(ATAN(H4/(B4-Y4/1000)))</x:f>
        <x:v>9.014830651881498</x:v>
      </x:c>
      <x:c r="AF4" s="40" t="n">
        <x:f>DEGREES((2*PI()/Inputs!$C$13)*Inputs!$C$15*SIN(RADIANS(AE4)))</x:f>
        <x:v>56.4084420144566</x:v>
      </x:c>
      <x:c r="AG4" s="40" t="n">
        <x:f>(Z4/AA4)^4</x:f>
        <x:v>0.9513082018805549</x:v>
      </x:c>
      <x:c r="AH4" s="40" t="n">
        <x:f>10*LOG10(AG4)</x:f>
        <x:v>-0.21678758886476202</x:v>
      </x:c>
      <x:c r="AI4" s="40" t="n">
        <x:f>AC4-F4</x:f>
        <x:v>11.18960553401348</x:v>
      </x:c>
      <x:c r="AJ4" s="40" t="n">
        <x:f>AD4-G4</x:f>
        <x:v>0.13287524298255704</x:v>
      </x:c>
      <x:c r="AK4" s="40" t="n">
        <x:f>Y4-X4</x:f>
        <x:v>-20.270997070147224</x:v>
      </x:c>
      <x:c r="AL4" s="40" t="n">
        <x:f>1000*(AA5-AA3)/(A5-A3)*Inputs!$C$11</x:f>
        <x:v>-1087.039916713593</x:v>
      </x:c>
      <x:c r="AM4" s="40" t="n">
        <x:f>-2*AL4/Inputs!$C$13</x:f>
        <x:v>434.81596668543716</x:v>
      </x:c>
      <x:c r="AN4" s="40" t="n">
        <x:f>-2*AL4/Inputs!$C$14</x:f>
        <x:v>65.28768268550108</x:v>
      </x:c>
      <x:c r="AO4" s="40" t="n">
        <x:f>ABS(AM4)</x:f>
        <x:v>434.81596668543716</x:v>
      </x:c>
      <x:c r="AP4" s="40" t="n">
        <x:f>ABS(AN4)</x:f>
        <x:v>65.28768268550108</x:v>
      </x:c>
      <x:c r="AQ4" s="40" t="n">
        <x:f>IF(Inputs!$C$27="ON",Inputs!$C$46/Inputs!$C$12,0)</x:f>
        <x:v>42.13483146067416</x:v>
      </x:c>
      <x:c r="AR4" s="40" t="n">
        <x:f>AC4-AQ4</x:f>
        <x:v>2807.1177596369093</x:v>
      </x:c>
      <x:c r="AS4" s="40" t="n">
        <x:f>AC4+AQ4</x:f>
        <x:v>2891.387422558258</x:v>
      </x:c>
    </x:row>
    <x:row r="5">
      <x:c r="A5" s="40" t="n">
        <x:f>Inputs!$C$7+3*(Inputs!$C$8-Inputs!$C$7)/240</x:f>
        <x:v>-58.5</x:v>
      </x:c>
      <x:c r="B5" s="40" t="n">
        <x:f>Inputs!$C$5+Inputs!$C$9*(A5/Inputs!$C$10)^2</x:f>
        <x:v>403.8025</x:v>
      </x:c>
      <x:c r="C5" s="40" t="n">
        <x:f>B5</x:f>
        <x:v>403.8025</x:v>
      </x:c>
      <x:c r="D5" s="40" t="n">
        <x:f>SQRT(A5^2+Inputs!$C$6^2+B5^2)</x:f>
        <x:v>408.7832053867307</x:v>
      </x:c>
      <x:c r="E5" s="40" t="n">
        <x:f>(D5-C5)*1000</x:f>
        <x:v>4980.705386730677</x:v>
      </x:c>
      <x:c r="F5" s="40" t="n">
        <x:f>E5/Inputs!$C$12</x:f>
        <x:v>2798.1490936689197</x:v>
      </x:c>
      <x:c r="G5" s="40" t="n">
        <x:f>2*E5/Inputs!$C$21*1000000</x:f>
        <x:v>33.227689715467605</x:v>
      </x:c>
      <x:c r="H5" s="40" t="n">
        <x:f>SQRT(A5^2+Inputs!$C$6^2)</x:f>
        <x:v>63.61800059731522</x:v>
      </x:c>
      <x:c r="I5" s="40" t="n">
        <x:f>DEGREES(ATAN(H5/B5))</x:f>
        <x:v>8.953204095149154</x:v>
      </x:c>
      <x:c r="J5" s="40" t="n">
        <x:f>DEGREES((2*PI()/Inputs!$C$13)*Inputs!$C$15*SIN(RADIANS(I5)))</x:f>
        <x:v>56.02598128601325</x:v>
      </x:c>
      <x:c r="K5" s="40" t="n">
        <x:f>(C5/D5)^4</x:f>
        <x:v>0.9521466297969774</x:v>
      </x:c>
      <x:c r="L5" s="40" t="n">
        <x:f>10*LOG10(K5)</x:f>
        <x:v>-0.212961654725793</x:v>
      </x:c>
      <x:c r="M5" s="40" t="n">
        <x:f>2*(Inputs!$C$9/(Inputs!$C$10^2))*A5</x:f>
        <x:v>-0.13</x:v>
      </x:c>
      <x:c r="N5" s="40" t="n">
        <x:f>M5*Inputs!$C$11</x:f>
        <x:v>-0.52</x:v>
      </x:c>
      <x:c r="O5" s="40" t="n">
        <x:f>1000*((A5*Inputs!$C$11)+(B5*N5))/D5</x:f>
        <x:v>-1086.0947664911375</x:v>
      </x:c>
      <x:c r="P5" s="40" t="n">
        <x:f>-2*O5/Inputs!$C$13</x:f>
        <x:v>434.43790659645504</x:v>
      </x:c>
      <x:c r="Q5" s="40" t="n">
        <x:f>-2*O5/Inputs!$C$14</x:f>
        <x:v>65.23091690637463</x:v>
      </x:c>
      <x:c r="R5" s="40" t="n">
        <x:f>F5-Inputs!$C$16/2</x:f>
        <x:v>2783.1490936689197</x:v>
      </x:c>
      <x:c r="S5" s="40" t="n">
        <x:f>F5+Inputs!$C$16/2</x:f>
        <x:v>2813.1490936689197</x:v>
      </x:c>
      <x:c r="T5" s="40" t="n">
        <x:f>F5-Inputs!$C$17/2</x:f>
        <x:v>2648.1490936689197</x:v>
      </x:c>
      <x:c r="U5" s="40" t="n">
        <x:f>F5+Inputs!$C$17/2</x:f>
        <x:v>2948.1490936689197</x:v>
      </x:c>
      <x:c r="V5" s="40" t="n">
        <x:f>ABS(P5)</x:f>
        <x:v>434.43790659645504</x:v>
      </x:c>
      <x:c r="W5" s="40" t="n">
        <x:f>ABS(Q5)</x:f>
        <x:v>65.23091690637463</x:v>
      </x:c>
      <x:c r="X5" s="40" t="n">
        <x:f>IF(Inputs!$C$27="ON",1,0)*(Inputs!$C$28*EXP(-(((A5)-Inputs!$C$29)^2)/(2*Inputs!$C$31^2))*EXP(-(((0)-Inputs!$C$30)^2)/(2*Inputs!$C$32^2))+-Inputs!$C$33*EXP(-(((((A5)-Inputs!$C$34)^2)+(((0)-Inputs!$C$35)^2))/(2*Inputs!$C$36^2)))+Inputs!$C$37*(0.55*SIN(2*PI()*(A5)/Inputs!$C$39)+0.35*COS(2*PI()*(0)/Inputs!$C$40)+0.2*SIN(2*PI()*((A5)+(0))/(0.5*(Inputs!$C$39+Inputs!$C$40))))+Inputs!$C$38*SIN(2*PI()*(A5)/Inputs!$C$39)*SIN(2*PI()*(0)/Inputs!$C$40)+-Inputs!$C$41*EXP(-(((0)-Inputs!$C$43)^2)/(2*Inputs!$C$44^2))*EXP(-(((A5)-Inputs!$C$42)^2)/(2*Inputs!$C$45^2)))</x:f>
        <x:v>-6.564102641335559</x:v>
      </x:c>
      <x:c r="Y5" s="40" t="n">
        <x:f>IF(Inputs!$C$27="ON",1,0)*(Inputs!$C$28*EXP(-(((A5)-Inputs!$C$29)^2)/(2*Inputs!$C$31^2))*EXP(-(((Inputs!$C$6)-Inputs!$C$30)^2)/(2*Inputs!$C$32^2))+-Inputs!$C$33*EXP(-(((((A5)-Inputs!$C$34)^2)+(((Inputs!$C$6)-Inputs!$C$35)^2))/(2*Inputs!$C$36^2)))+Inputs!$C$37*(0.55*SIN(2*PI()*(A5)/Inputs!$C$39)+0.35*COS(2*PI()*(Inputs!$C$6)/Inputs!$C$40)+0.2*SIN(2*PI()*((A5)+(Inputs!$C$6))/(0.5*(Inputs!$C$39+Inputs!$C$40))))+Inputs!$C$38*SIN(2*PI()*(A5)/Inputs!$C$39)*SIN(2*PI()*(Inputs!$C$6)/Inputs!$C$40)+-Inputs!$C$41*EXP(-(((Inputs!$C$6)-Inputs!$C$43)^2)/(2*Inputs!$C$44^2))*EXP(-(((A5)-Inputs!$C$42)^2)/(2*Inputs!$C$45^2)))</x:f>
        <x:v>-28.533220297634156</x:v>
      </x:c>
      <x:c r="Z5" s="40" t="n">
        <x:f>B5-X5/1000</x:f>
        <x:v>403.80906410264134</x:v>
      </x:c>
      <x:c r="AA5" s="40" t="n">
        <x:f>SQRT(A5^2+Inputs!$C$6^2+(B5-Y5/1000)^2)</x:f>
        <x:v>408.81139097605035</x:v>
      </x:c>
      <x:c r="AB5" s="40" t="n">
        <x:f>(AA5-Z5)*1000</x:f>
        <x:v>5002.326873409003</x:v>
      </x:c>
      <x:c r="AC5" s="40" t="n">
        <x:f>AB5/Inputs!$C$12</x:f>
        <x:v>2810.2959962971927</x:v>
      </x:c>
      <x:c r="AD5" s="40" t="n">
        <x:f>2*AB5/Inputs!$C$21*1000000</x:f>
        <x:v>33.3719327482815</x:v>
      </x:c>
      <x:c r="AE5" s="40" t="n">
        <x:f>DEGREES(ATAN(H5/(B5-Y5/1000)))</x:f>
        <x:v>8.952581741264535</x:v>
      </x:c>
      <x:c r="AF5" s="40" t="n">
        <x:f>DEGREES((2*PI()/Inputs!$C$13)*Inputs!$C$15*SIN(RADIANS(AE5)))</x:f>
        <x:v>56.022118562677704</x:v>
      </x:c>
      <x:c r="AG5" s="40" t="n">
        <x:f>(Z5/AA5)^4</x:f>
        <x:v>0.9519459689089201</x:v>
      </x:c>
      <x:c r="AH5" s="40" t="n">
        <x:f>10*LOG10(AG5)</x:f>
        <x:v>-0.21387700849376498</x:v>
      </x:c>
      <x:c r="AI5" s="40" t="n">
        <x:f>AC5-F5</x:f>
        <x:v>12.146902628272983</x:v>
      </x:c>
      <x:c r="AJ5" s="40" t="n">
        <x:f>AD5-G5</x:f>
        <x:v>0.14424303281389683</x:v>
      </x:c>
      <x:c r="AK5" s="40" t="n">
        <x:f>Y5-X5</x:f>
        <x:v>-21.969117656298597</x:v>
      </x:c>
      <x:c r="AL5" s="40" t="n">
        <x:f>1000*(AA6-AA4)/(A6-A4)*Inputs!$C$11</x:f>
        <x:v>-1095.4913564858089</x:v>
      </x:c>
      <x:c r="AM5" s="40" t="n">
        <x:f>-2*AL5/Inputs!$C$13</x:f>
        <x:v>438.19654259432355</x:v>
      </x:c>
      <x:c r="AN5" s="40" t="n">
        <x:f>-2*AL5/Inputs!$C$14</x:f>
        <x:v>65.79527666581436</x:v>
      </x:c>
      <x:c r="AO5" s="40" t="n">
        <x:f>ABS(AM5)</x:f>
        <x:v>438.19654259432355</x:v>
      </x:c>
      <x:c r="AP5" s="40" t="n">
        <x:f>ABS(AN5)</x:f>
        <x:v>65.79527666581436</x:v>
      </x:c>
      <x:c r="AQ5" s="40" t="n">
        <x:f>IF(Inputs!$C$27="ON",Inputs!$C$46/Inputs!$C$12,0)</x:f>
        <x:v>42.13483146067416</x:v>
      </x:c>
      <x:c r="AR5" s="40" t="n">
        <x:f>AC5-AQ5</x:f>
        <x:v>2768.1611648365183</x:v>
      </x:c>
      <x:c r="AS5" s="40" t="n">
        <x:f>AC5+AQ5</x:f>
        <x:v>2852.430827757867</x:v>
      </x:c>
    </x:row>
    <x:row r="6">
      <x:c r="A6" s="40" t="n">
        <x:f>Inputs!$C$7+4*(Inputs!$C$8-Inputs!$C$7)/240</x:f>
        <x:v>-58</x:v>
      </x:c>
      <x:c r="B6" s="40" t="n">
        <x:f>Inputs!$C$5+Inputs!$C$9*(A6/Inputs!$C$10)^2</x:f>
        <x:v>403.73777777777775</x:v>
      </x:c>
      <x:c r="C6" s="40" t="n">
        <x:f>B6</x:f>
        <x:v>403.73777777777775</x:v>
      </x:c>
      <x:c r="D6" s="40" t="n">
        <x:f>SQRT(A6^2+Inputs!$C$6^2+B6^2)</x:f>
        <x:v>408.6480064859466</x:v>
      </x:c>
      <x:c r="E6" s="40" t="n">
        <x:f>(D6-C6)*1000</x:f>
        <x:v>4910.228708168859</x:v>
      </x:c>
      <x:c r="F6" s="40" t="n">
        <x:f>E6/Inputs!$C$12</x:f>
        <x:v>2758.555454027449</x:v>
      </x:c>
      <x:c r="G6" s="40" t="n">
        <x:f>2*E6/Inputs!$C$21*1000000</x:f>
        <x:v>32.75751992512673</x:v>
      </x:c>
      <x:c r="H6" s="40" t="n">
        <x:f>SQRT(A6^2+Inputs!$C$6^2)</x:f>
        <x:v>63.15853069855251</x:v>
      </x:c>
      <x:c r="I6" s="40" t="n">
        <x:f>DEGREES(ATAN(H6/B6))</x:f>
        <x:v>8.890979841704603</x:v>
      </x:c>
      <x:c r="J6" s="40" t="n">
        <x:f>DEGREES((2*PI()/Inputs!$C$13)*Inputs!$C$15*SIN(RADIANS(I6)))</x:f>
        <x:v>55.639745430303066</x:v>
      </x:c>
      <x:c r="K6" s="40" t="n">
        <x:f>(C6/D6)^4</x:f>
        <x:v>0.9527961960409873</x:v>
      </x:c>
      <x:c r="L6" s="40" t="n">
        <x:f>10*LOG10(K6)</x:f>
        <x:v>-0.20999985406163002</x:v>
      </x:c>
      <x:c r="M6" s="40" t="n">
        <x:f>2*(Inputs!$C$9/(Inputs!$C$10^2))*A6</x:f>
        <x:v>-0.1288888888888889</x:v>
      </x:c>
      <x:c r="N6" s="40" t="n">
        <x:f>M6*Inputs!$C$11</x:f>
        <x:v>-0.5155555555555555</x:v>
      </x:c>
      <x:c r="O6" s="40" t="n">
        <x:f>1000*((A6*Inputs!$C$11)+(B6*N6))/D6</x:f>
        <x:v>-1077.086508033961</x:v>
      </x:c>
      <x:c r="P6" s="40" t="n">
        <x:f>-2*O6/Inputs!$C$13</x:f>
        <x:v>430.83460321358444</x:v>
      </x:c>
      <x:c r="Q6" s="40" t="n">
        <x:f>-2*O6/Inputs!$C$14</x:f>
        <x:v>64.68988036240007</x:v>
      </x:c>
      <x:c r="R6" s="40" t="n">
        <x:f>F6-Inputs!$C$16/2</x:f>
        <x:v>2743.555454027449</x:v>
      </x:c>
      <x:c r="S6" s="40" t="n">
        <x:f>F6+Inputs!$C$16/2</x:f>
        <x:v>2773.555454027449</x:v>
      </x:c>
      <x:c r="T6" s="40" t="n">
        <x:f>F6-Inputs!$C$17/2</x:f>
        <x:v>2608.555454027449</x:v>
      </x:c>
      <x:c r="U6" s="40" t="n">
        <x:f>F6+Inputs!$C$17/2</x:f>
        <x:v>2908.555454027449</x:v>
      </x:c>
      <x:c r="V6" s="40" t="n">
        <x:f>ABS(P6)</x:f>
        <x:v>430.83460321358444</x:v>
      </x:c>
      <x:c r="W6" s="40" t="n">
        <x:f>ABS(Q6)</x:f>
        <x:v>64.68988036240007</x:v>
      </x:c>
      <x:c r="X6" s="40" t="n">
        <x:f>IF(Inputs!$C$27="ON",1,0)*(Inputs!$C$28*EXP(-(((A6)-Inputs!$C$29)^2)/(2*Inputs!$C$31^2))*EXP(-(((0)-Inputs!$C$30)^2)/(2*Inputs!$C$32^2))+-Inputs!$C$33*EXP(-(((((A6)-Inputs!$C$34)^2)+(((0)-Inputs!$C$35)^2))/(2*Inputs!$C$36^2)))+Inputs!$C$37*(0.55*SIN(2*PI()*(A6)/Inputs!$C$39)+0.35*COS(2*PI()*(0)/Inputs!$C$40)+0.2*SIN(2*PI()*((A6)+(0))/(0.5*(Inputs!$C$39+Inputs!$C$40))))+Inputs!$C$38*SIN(2*PI()*(A6)/Inputs!$C$39)*SIN(2*PI()*(0)/Inputs!$C$40)+-Inputs!$C$41*EXP(-(((0)-Inputs!$C$43)^2)/(2*Inputs!$C$44^2))*EXP(-(((A6)-Inputs!$C$42)^2)/(2*Inputs!$C$45^2)))</x:f>
        <x:v>-4.031086255750924</x:v>
      </x:c>
      <x:c r="Y6" s="40" t="n">
        <x:f>IF(Inputs!$C$27="ON",1,0)*(Inputs!$C$28*EXP(-(((A6)-Inputs!$C$29)^2)/(2*Inputs!$C$31^2))*EXP(-(((Inputs!$C$6)-Inputs!$C$30)^2)/(2*Inputs!$C$32^2))+-Inputs!$C$33*EXP(-(((((A6)-Inputs!$C$34)^2)+(((Inputs!$C$6)-Inputs!$C$35)^2))/(2*Inputs!$C$36^2)))+Inputs!$C$37*(0.55*SIN(2*PI()*(A6)/Inputs!$C$39)+0.35*COS(2*PI()*(Inputs!$C$6)/Inputs!$C$40)+0.2*SIN(2*PI()*((A6)+(Inputs!$C$6))/(0.5*(Inputs!$C$39+Inputs!$C$40))))+Inputs!$C$38*SIN(2*PI()*(A6)/Inputs!$C$39)*SIN(2*PI()*(Inputs!$C$6)/Inputs!$C$40)+-Inputs!$C$41*EXP(-(((Inputs!$C$6)-Inputs!$C$43)^2)/(2*Inputs!$C$44^2))*EXP(-(((A6)-Inputs!$C$42)^2)/(2*Inputs!$C$45^2)))</x:f>
        <x:v>-26.22857081426318</x:v>
      </x:c>
      <x:c r="Z6" s="40" t="n">
        <x:f>B6-X6/1000</x:f>
        <x:v>403.7418088640335</x:v>
      </x:c>
      <x:c r="AA6" s="40" t="n">
        <x:f>SQRT(A6^2+Inputs!$C$6^2+(B6-Y6/1000)^2)</x:f>
        <x:v>408.6739199198621</x:v>
      </x:c>
      <x:c r="AB6" s="40" t="n">
        <x:f>(AA6-Z6)*1000</x:f>
        <x:v>4932.111055828614</x:v>
      </x:c>
      <x:c r="AC6" s="40" t="n">
        <x:f>AB6/Inputs!$C$12</x:f>
        <x:v>2770.848907768884</x:v>
      </x:c>
      <x:c r="AD6" s="40" t="n">
        <x:f>2*AB6/Inputs!$C$21*1000000</x:f>
        <x:v>32.90350323508548</x:v>
      </x:c>
      <x:c r="AE6" s="40" t="n">
        <x:f>DEGREES(ATAN(H6/(B6-Y6/1000)))</x:f>
        <x:v>8.890411508579993</x:v>
      </x:c>
      <x:c r="AF6" s="40" t="n">
        <x:f>DEGREES((2*PI()/Inputs!$C$13)*Inputs!$C$15*SIN(RADIANS(AE6)))</x:f>
        <x:v>55.63621739292165</x:v>
      </x:c>
      <x:c r="AG6" s="40" t="n">
        <x:f>(Z6/AA6)^4</x:f>
        <x:v>0.95259260057753</x:v>
      </x:c>
      <x:c r="AH6" s="40" t="n">
        <x:f>10*LOG10(AG6)</x:f>
        <x:v>-0.210927962664069</x:v>
      </x:c>
      <x:c r="AI6" s="40" t="n">
        <x:f>AC6-F6</x:f>
        <x:v>12.293453741435314</x:v>
      </x:c>
      <x:c r="AJ6" s="40" t="n">
        <x:f>AD6-G6</x:f>
        <x:v>0.1459833099587513</x:v>
      </x:c>
      <x:c r="AK6" s="40" t="n">
        <x:f>Y6-X6</x:f>
        <x:v>-22.197484558512254</x:v>
      </x:c>
      <x:c r="AL6" s="40" t="n">
        <x:f>1000*(AA7-AA5)/(A7-A5)*Inputs!$C$11</x:f>
        <x:v>-1103.8564188093005</x:v>
      </x:c>
      <x:c r="AM6" s="40" t="n">
        <x:f>-2*AL6/Inputs!$C$13</x:f>
        <x:v>441.5425675237202</x:v>
      </x:c>
      <x:c r="AN6" s="40" t="n">
        <x:f>-2*AL6/Inputs!$C$14</x:f>
        <x:v>66.29768281136941</x:v>
      </x:c>
      <x:c r="AO6" s="40" t="n">
        <x:f>ABS(AM6)</x:f>
        <x:v>441.5425675237202</x:v>
      </x:c>
      <x:c r="AP6" s="40" t="n">
        <x:f>ABS(AN6)</x:f>
        <x:v>66.29768281136941</x:v>
      </x:c>
      <x:c r="AQ6" s="40" t="n">
        <x:f>IF(Inputs!$C$27="ON",Inputs!$C$46/Inputs!$C$12,0)</x:f>
        <x:v>42.13483146067416</x:v>
      </x:c>
      <x:c r="AR6" s="40" t="n">
        <x:f>AC6-AQ6</x:f>
        <x:v>2728.7140763082098</x:v>
      </x:c>
      <x:c r="AS6" s="40" t="n">
        <x:f>AC6+AQ6</x:f>
        <x:v>2812.9837392295585</x:v>
      </x:c>
    </x:row>
    <x:row r="7">
      <x:c r="A7" s="40" t="n">
        <x:f>Inputs!$C$7+5*(Inputs!$C$8-Inputs!$C$7)/240</x:f>
        <x:v>-57.5</x:v>
      </x:c>
      <x:c r="B7" s="40" t="n">
        <x:f>Inputs!$C$5+Inputs!$C$9*(A7/Inputs!$C$10)^2</x:f>
        <x:v>403.6736111111111</x:v>
      </x:c>
      <x:c r="C7" s="40" t="n">
        <x:f>B7</x:f>
        <x:v>403.6736111111111</x:v>
      </x:c>
      <x:c r="D7" s="40" t="n">
        <x:f>SQRT(A7^2+Inputs!$C$6^2+B7^2)</x:f>
        <x:v>408.5139340432399</x:v>
      </x:c>
      <x:c r="E7" s="40" t="n">
        <x:f>(D7-C7)*1000</x:f>
        <x:v>4840.3229321288</x:v>
      </x:c>
      <x:c r="F7" s="40" t="n">
        <x:f>E7/Inputs!$C$12</x:f>
        <x:v>2719.282546139775</x:v>
      </x:c>
      <x:c r="G7" s="40" t="n">
        <x:f>2*E7/Inputs!$C$21*1000000</x:f>
        <x:v>32.291158786448186</x:v>
      </x:c>
      <x:c r="H7" s="40" t="n">
        <x:f>SQRT(A7^2+Inputs!$C$6^2)</x:f>
        <x:v>62.69968101992226</x:v>
      </x:c>
      <x:c r="I7" s="40" t="n">
        <x:f>DEGREES(ATAN(H7/B7))</x:f>
        <x:v>8.828788473728661</x:v>
      </x:c>
      <x:c r="J7" s="40" t="n">
        <x:f>DEGREES((2*PI()/Inputs!$C$13)*Inputs!$C$15*SIN(RADIANS(I7)))</x:f>
        <x:v>55.25364812839616</x:v>
      </x:c>
      <x:c r="K7" s="40" t="n">
        <x:f>(C7/D7)^4</x:f>
        <x:v>0.9534412572554191</x:v>
      </x:c>
      <x:c r="L7" s="40" t="n">
        <x:f>10*LOG10(K7)</x:f>
        <x:v>-0.20706059236444402</x:v>
      </x:c>
      <x:c r="M7" s="40" t="n">
        <x:f>2*(Inputs!$C$9/(Inputs!$C$10^2))*A7</x:f>
        <x:v>-0.12777777777777777</x:v>
      </x:c>
      <x:c r="N7" s="40" t="n">
        <x:f>M7*Inputs!$C$11</x:f>
        <x:v>-0.5111111111111111</x:v>
      </x:c>
      <x:c r="O7" s="40" t="n">
        <x:f>1000*((A7*Inputs!$C$11)+(B7*N7))/D7</x:f>
        <x:v>-1068.0714451592028</x:v>
      </x:c>
      <x:c r="P7" s="40" t="n">
        <x:f>-2*O7/Inputs!$C$13</x:f>
        <x:v>427.2285780636811</x:v>
      </x:c>
      <x:c r="Q7" s="40" t="n">
        <x:f>-2*O7/Inputs!$C$14</x:f>
        <x:v>64.14843514469686</x:v>
      </x:c>
      <x:c r="R7" s="40" t="n">
        <x:f>F7-Inputs!$C$16/2</x:f>
        <x:v>2704.282546139775</x:v>
      </x:c>
      <x:c r="S7" s="40" t="n">
        <x:f>F7+Inputs!$C$16/2</x:f>
        <x:v>2734.282546139775</x:v>
      </x:c>
      <x:c r="T7" s="40" t="n">
        <x:f>F7-Inputs!$C$17/2</x:f>
        <x:v>2569.282546139775</x:v>
      </x:c>
      <x:c r="U7" s="40" t="n">
        <x:f>F7+Inputs!$C$17/2</x:f>
        <x:v>2869.282546139775</x:v>
      </x:c>
      <x:c r="V7" s="40" t="n">
        <x:f>ABS(P7)</x:f>
        <x:v>427.2285780636811</x:v>
      </x:c>
      <x:c r="W7" s="40" t="n">
        <x:f>ABS(Q7)</x:f>
        <x:v>64.14843514469686</x:v>
      </x:c>
      <x:c r="X7" s="40" t="n">
        <x:f>IF(Inputs!$C$27="ON",1,0)*(Inputs!$C$28*EXP(-(((A7)-Inputs!$C$29)^2)/(2*Inputs!$C$31^2))*EXP(-(((0)-Inputs!$C$30)^2)/(2*Inputs!$C$32^2))+-Inputs!$C$33*EXP(-(((((A7)-Inputs!$C$34)^2)+(((0)-Inputs!$C$35)^2))/(2*Inputs!$C$36^2)))+Inputs!$C$37*(0.55*SIN(2*PI()*(A7)/Inputs!$C$39)+0.35*COS(2*PI()*(0)/Inputs!$C$40)+0.2*SIN(2*PI()*((A7)+(0))/(0.5*(Inputs!$C$39+Inputs!$C$40))))+Inputs!$C$38*SIN(2*PI()*(A7)/Inputs!$C$39)*SIN(2*PI()*(0)/Inputs!$C$40)+-Inputs!$C$41*EXP(-(((0)-Inputs!$C$43)^2)/(2*Inputs!$C$44^2))*EXP(-(((A7)-Inputs!$C$42)^2)/(2*Inputs!$C$45^2)))</x:f>
        <x:v>-0.8511036349853622</x:v>
      </x:c>
      <x:c r="Y7" s="40" t="n">
        <x:f>IF(Inputs!$C$27="ON",1,0)*(Inputs!$C$28*EXP(-(((A7)-Inputs!$C$29)^2)/(2*Inputs!$C$31^2))*EXP(-(((Inputs!$C$6)-Inputs!$C$30)^2)/(2*Inputs!$C$32^2))+-Inputs!$C$33*EXP(-(((((A7)-Inputs!$C$34)^2)+(((Inputs!$C$6)-Inputs!$C$35)^2))/(2*Inputs!$C$36^2)))+Inputs!$C$37*(0.55*SIN(2*PI()*(A7)/Inputs!$C$39)+0.35*COS(2*PI()*(Inputs!$C$6)/Inputs!$C$40)+0.2*SIN(2*PI()*((A7)+(Inputs!$C$6))/(0.5*(Inputs!$C$39+Inputs!$C$40))))+Inputs!$C$38*SIN(2*PI()*(A7)/Inputs!$C$39)*SIN(2*PI()*(Inputs!$C$6)/Inputs!$C$40)+-Inputs!$C$41*EXP(-(((Inputs!$C$6)-Inputs!$C$43)^2)/(2*Inputs!$C$44^2))*EXP(-(((A7)-Inputs!$C$42)^2)/(2*Inputs!$C$45^2)))</x:f>
        <x:v>-21.750528027040612</x:v>
      </x:c>
      <x:c r="Z7" s="40" t="n">
        <x:f>B7-X7/1000</x:f>
        <x:v>403.6744622147461</x:v>
      </x:c>
      <x:c r="AA7" s="40" t="n">
        <x:f>SQRT(A7^2+Inputs!$C$6^2+(B7-Y7/1000)^2)</x:f>
        <x:v>408.535426871348</x:v>
      </x:c>
      <x:c r="AB7" s="40" t="n">
        <x:f>(AA7-Z7)*1000</x:f>
        <x:v>4860.964656601936</x:v>
      </x:c>
      <x:c r="AC7" s="40" t="n">
        <x:f>AB7/Inputs!$C$12</x:f>
        <x:v>2730.8790205628857</x:v>
      </x:c>
      <x:c r="AD7" s="40" t="n">
        <x:f>2*AB7/Inputs!$C$21*1000000</x:f>
        <x:v>32.42886554939241</x:v>
      </x:c>
      <x:c r="AE7" s="40" t="n">
        <x:f>DEGREES(ATAN(H7/(B7-Y7/1000)))</x:f>
        <x:v>8.82832028476647</x:v>
      </x:c>
      <x:c r="AF7" s="40" t="n">
        <x:f>DEGREES((2*PI()/Inputs!$C$13)*Inputs!$C$15*SIN(RADIANS(AE7)))</x:f>
        <x:v>55.25074126381732</x:v>
      </x:c>
      <x:c r="AG7" s="40" t="n">
        <x:f>(Z7/AA7)^4</x:f>
        <x:v>0.9532486722288781</x:v>
      </x:c>
      <x:c r="AH7" s="40" t="n">
        <x:f>10*LOG10(AG7)</x:f>
        <x:v>-0.207937909785751</x:v>
      </x:c>
      <x:c r="AI7" s="40" t="n">
        <x:f>AC7-F7</x:f>
        <x:v>11.596474423110521</x:v>
      </x:c>
      <x:c r="AJ7" s="40" t="n">
        <x:f>AD7-G7</x:f>
        <x:v>0.13770676294422657</x:v>
      </x:c>
      <x:c r="AK7" s="40" t="n">
        <x:f>Y7-X7</x:f>
        <x:v>-20.899424392055252</x:v>
      </x:c>
      <x:c r="AL7" s="40" t="n">
        <x:f>1000*(AA8-AA6)/(A8-A6)*Inputs!$C$11</x:f>
        <x:v>-1111.5583303080712</x:v>
      </x:c>
      <x:c r="AM7" s="40" t="n">
        <x:f>-2*AL7/Inputs!$C$13</x:f>
        <x:v>444.62333212322847</x:v>
      </x:c>
      <x:c r="AN7" s="40" t="n">
        <x:f>-2*AL7/Inputs!$C$14</x:f>
        <x:v>66.76026007856284</x:v>
      </x:c>
      <x:c r="AO7" s="40" t="n">
        <x:f>ABS(AM7)</x:f>
        <x:v>444.62333212322847</x:v>
      </x:c>
      <x:c r="AP7" s="40" t="n">
        <x:f>ABS(AN7)</x:f>
        <x:v>66.76026007856284</x:v>
      </x:c>
      <x:c r="AQ7" s="40" t="n">
        <x:f>IF(Inputs!$C$27="ON",Inputs!$C$46/Inputs!$C$12,0)</x:f>
        <x:v>42.13483146067416</x:v>
      </x:c>
      <x:c r="AR7" s="40" t="n">
        <x:f>AC7-AQ7</x:f>
        <x:v>2688.7441891022113</x:v>
      </x:c>
      <x:c r="AS7" s="40" t="n">
        <x:f>AC7+AQ7</x:f>
        <x:v>2773.01385202356</x:v>
      </x:c>
    </x:row>
    <x:row r="8">
      <x:c r="A8" s="40" t="n">
        <x:f>Inputs!$C$7+6*(Inputs!$C$8-Inputs!$C$7)/240</x:f>
        <x:v>-57</x:v>
      </x:c>
      <x:c r="B8" s="40" t="n">
        <x:f>Inputs!$C$5+Inputs!$C$9*(A8/Inputs!$C$10)^2</x:f>
        <x:v>403.61</x:v>
      </x:c>
      <x:c r="C8" s="40" t="n">
        <x:f>B8</x:f>
        <x:v>403.61</x:v>
      </x:c>
      <x:c r="D8" s="40" t="n">
        <x:f>SQRT(A8^2+Inputs!$C$6^2+B8^2)</x:f>
        <x:v>408.38098890619284</x:v>
      </x:c>
      <x:c r="E8" s="40" t="n">
        <x:f>(D8-C8)*1000</x:f>
        <x:v>4770.988906192826</x:v>
      </x:c>
      <x:c r="F8" s="40" t="n">
        <x:f>E8/Inputs!$C$12</x:f>
        <x:v>2680.330846175745</x:v>
      </x:c>
      <x:c r="G8" s="40" t="n">
        <x:f>2*E8/Inputs!$C$21*1000000</x:f>
        <x:v>31.828611953892622</x:v>
      </x:c>
      <x:c r="H8" s="40" t="n">
        <x:f>SQRT(A8^2+Inputs!$C$6^2)</x:f>
        <x:v>62.24146527838174</x:v>
      </x:c>
      <x:c r="I8" s="40" t="n">
        <x:f>DEGREES(ATAN(H8/B8))</x:f>
        <x:v>8.766632366658216</x:v>
      </x:c>
      <x:c r="J8" s="40" t="n">
        <x:f>DEGREES((2*PI()/Inputs!$C$13)*Inputs!$C$15*SIN(RADIANS(I8)))</x:f>
        <x:v>54.86770468976069</x:v>
      </x:c>
      <x:c r="K8" s="40" t="n">
        <x:f>(C8/D8)^4</x:f>
        <x:v>0.9540817881574452</x:v>
      </x:c>
      <x:c r="L8" s="40" t="n">
        <x:f>10*LOG10(K8)</x:f>
        <x:v>-0.20414394034954</x:v>
      </x:c>
      <x:c r="M8" s="40" t="n">
        <x:f>2*(Inputs!$C$9/(Inputs!$C$10^2))*A8</x:f>
        <x:v>-0.12666666666666668</x:v>
      </x:c>
      <x:c r="N8" s="40" t="n">
        <x:f>M8*Inputs!$C$11</x:f>
        <x:v>-0.5066666666666667</x:v>
      </x:c>
      <x:c r="O8" s="40" t="n">
        <x:f>1000*((A8*Inputs!$C$11)+(B8*N8))/D8</x:f>
        <x:v>-1059.049625428768</x:v>
      </x:c>
      <x:c r="P8" s="40" t="n">
        <x:f>-2*O8/Inputs!$C$13</x:f>
        <x:v>423.6198501715072</x:v>
      </x:c>
      <x:c r="Q8" s="40" t="n">
        <x:f>-2*O8/Inputs!$C$14</x:f>
        <x:v>63.60658410983592</x:v>
      </x:c>
      <x:c r="R8" s="40" t="n">
        <x:f>F8-Inputs!$C$16/2</x:f>
        <x:v>2665.330846175745</x:v>
      </x:c>
      <x:c r="S8" s="40" t="n">
        <x:f>F8+Inputs!$C$16/2</x:f>
        <x:v>2695.330846175745</x:v>
      </x:c>
      <x:c r="T8" s="40" t="n">
        <x:f>F8-Inputs!$C$17/2</x:f>
        <x:v>2530.330846175745</x:v>
      </x:c>
      <x:c r="U8" s="40" t="n">
        <x:f>F8+Inputs!$C$17/2</x:f>
        <x:v>2830.330846175745</x:v>
      </x:c>
      <x:c r="V8" s="40" t="n">
        <x:f>ABS(P8)</x:f>
        <x:v>423.6198501715072</x:v>
      </x:c>
      <x:c r="W8" s="40" t="n">
        <x:f>ABS(Q8)</x:f>
        <x:v>63.60658410983592</x:v>
      </x:c>
      <x:c r="X8" s="40" t="n">
        <x:f>IF(Inputs!$C$27="ON",1,0)*(Inputs!$C$28*EXP(-(((A8)-Inputs!$C$29)^2)/(2*Inputs!$C$31^2))*EXP(-(((0)-Inputs!$C$30)^2)/(2*Inputs!$C$32^2))+-Inputs!$C$33*EXP(-(((((A8)-Inputs!$C$34)^2)+(((0)-Inputs!$C$35)^2))/(2*Inputs!$C$36^2)))+Inputs!$C$37*(0.55*SIN(2*PI()*(A8)/Inputs!$C$39)+0.35*COS(2*PI()*(0)/Inputs!$C$40)+0.2*SIN(2*PI()*((A8)+(0))/(0.5*(Inputs!$C$39+Inputs!$C$40))))+Inputs!$C$38*SIN(2*PI()*(A8)/Inputs!$C$39)*SIN(2*PI()*(0)/Inputs!$C$40)+-Inputs!$C$41*EXP(-(((0)-Inputs!$C$43)^2)/(2*Inputs!$C$44^2))*EXP(-(((A8)-Inputs!$C$42)^2)/(2*Inputs!$C$45^2)))</x:f>
        <x:v>2.857008439071281</x:v>
      </x:c>
      <x:c r="Y8" s="40" t="n">
        <x:f>IF(Inputs!$C$27="ON",1,0)*(Inputs!$C$28*EXP(-(((A8)-Inputs!$C$29)^2)/(2*Inputs!$C$31^2))*EXP(-(((Inputs!$C$6)-Inputs!$C$30)^2)/(2*Inputs!$C$32^2))+-Inputs!$C$33*EXP(-(((((A8)-Inputs!$C$34)^2)+(((Inputs!$C$6)-Inputs!$C$35)^2))/(2*Inputs!$C$36^2)))+Inputs!$C$37*(0.55*SIN(2*PI()*(A8)/Inputs!$C$39)+0.35*COS(2*PI()*(Inputs!$C$6)/Inputs!$C$40)+0.2*SIN(2*PI()*((A8)+(Inputs!$C$6))/(0.5*(Inputs!$C$39+Inputs!$C$40))))+Inputs!$C$38*SIN(2*PI()*(A8)/Inputs!$C$39)*SIN(2*PI()*(Inputs!$C$6)/Inputs!$C$40)+-Inputs!$C$41*EXP(-(((Inputs!$C$6)-Inputs!$C$43)^2)/(2*Inputs!$C$44^2))*EXP(-(((A8)-Inputs!$C$42)^2)/(2*Inputs!$C$45^2)))</x:f>
        <x:v>-15.2192260199771</x:v>
      </x:c>
      <x:c r="Z8" s="40" t="n">
        <x:f>B8-X8/1000</x:f>
        <x:v>403.6071429915609</x:v>
      </x:c>
      <x:c r="AA8" s="40" t="n">
        <x:f>SQRT(A8^2+Inputs!$C$6^2+(B8-Y8/1000)^2)</x:f>
        <x:v>408.3960303372851</x:v>
      </x:c>
      <x:c r="AB8" s="40" t="n">
        <x:f>(AA8-Z8)*1000</x:f>
        <x:v>4788.8873457241625</x:v>
      </x:c>
      <x:c r="AC8" s="40" t="n">
        <x:f>AB8/Inputs!$C$12</x:f>
        <x:v>2690.3861492832375</x:v>
      </x:c>
      <x:c r="AD8" s="40" t="n">
        <x:f>2*AB8/Inputs!$C$21*1000000</x:f>
        <x:v>31.948017489647203</x:v>
      </x:c>
      <x:c r="AE8" s="40" t="n">
        <x:f>DEGREES(ATAN(H8/(B8-Y8/1000)))</x:f>
        <x:v>8.766306943857188</x:v>
      </x:c>
      <x:c r="AF8" s="40" t="n">
        <x:f>DEGREES((2*PI()/Inputs!$C$13)*Inputs!$C$15*SIN(RADIANS(AE8)))</x:f>
        <x:v>54.865683884615734</x:v>
      </x:c>
      <x:c r="AG8" s="40" t="n">
        <x:f>(Z8/AA8)^4</x:f>
        <x:v>0.953914228549076</x:v>
      </x:c>
      <x:c r="AH8" s="40" t="n">
        <x:f>10*LOG10(AG8)</x:f>
        <x:v>-0.204906732439822</x:v>
      </x:c>
      <x:c r="AI8" s="40" t="n">
        <x:f>AC8-F8</x:f>
        <x:v>10.055303107492364</x:v>
      </x:c>
      <x:c r="AJ8" s="40" t="n">
        <x:f>AD8-G8</x:f>
        <x:v>0.11940553575458068</x:v>
      </x:c>
      <x:c r="AK8" s="40" t="n">
        <x:f>Y8-X8</x:f>
        <x:v>-18.07623445904838</x:v>
      </x:c>
      <x:c r="AL8" s="40" t="n">
        <x:f>1000*(AA9-AA7)/(A9-A7)*Inputs!$C$11</x:f>
        <x:v>-1118.0441609444642</x:v>
      </x:c>
      <x:c r="AM8" s="40" t="n">
        <x:f>-2*AL8/Inputs!$C$13</x:f>
        <x:v>447.2176643777857</x:v>
      </x:c>
      <x:c r="AN8" s="40" t="n">
        <x:f>-2*AL8/Inputs!$C$14</x:f>
        <x:v>67.14979945612399</x:v>
      </x:c>
      <x:c r="AO8" s="40" t="n">
        <x:f>ABS(AM8)</x:f>
        <x:v>447.2176643777857</x:v>
      </x:c>
      <x:c r="AP8" s="40" t="n">
        <x:f>ABS(AN8)</x:f>
        <x:v>67.14979945612399</x:v>
      </x:c>
      <x:c r="AQ8" s="40" t="n">
        <x:f>IF(Inputs!$C$27="ON",Inputs!$C$46/Inputs!$C$12,0)</x:f>
        <x:v>42.13483146067416</x:v>
      </x:c>
      <x:c r="AR8" s="40" t="n">
        <x:f>AC8-AQ8</x:f>
        <x:v>2648.251317822563</x:v>
      </x:c>
      <x:c r="AS8" s="40" t="n">
        <x:f>AC8+AQ8</x:f>
        <x:v>2732.520980743912</x:v>
      </x:c>
    </x:row>
    <x:row r="9">
      <x:c r="A9" s="40" t="n">
        <x:f>Inputs!$C$7+7*(Inputs!$C$8-Inputs!$C$7)/240</x:f>
        <x:v>-56.5</x:v>
      </x:c>
      <x:c r="B9" s="40" t="n">
        <x:f>Inputs!$C$5+Inputs!$C$9*(A9/Inputs!$C$10)^2</x:f>
        <x:v>403.5469444444444</x:v>
      </x:c>
      <x:c r="C9" s="40" t="n">
        <x:f>B9</x:f>
        <x:v>403.5469444444444</x:v>
      </x:c>
      <x:c r="D9" s="40" t="n">
        <x:f>SQRT(A9^2+Inputs!$C$6^2+B9^2)</x:f>
        <x:v>408.24917191642595</x:v>
      </x:c>
      <x:c r="E9" s="40" t="n">
        <x:f>(D9-C9)*1000</x:f>
        <x:v>4702.2274719815305</x:v>
      </x:c>
      <x:c r="F9" s="40" t="n">
        <x:f>E9/Inputs!$C$12</x:f>
        <x:v>2641.700826955916</x:v>
      </x:c>
      <x:c r="G9" s="40" t="n">
        <x:f>2*E9/Inputs!$C$21*1000000</x:f>
        <x:v>31.369885042148262</x:v>
      </x:c>
      <x:c r="H9" s="40" t="n">
        <x:f>SQRT(A9^2+Inputs!$C$6^2)</x:f>
        <x:v>61.78389757857625</x:v>
      </x:c>
      <x:c r="I9" s="40" t="n">
        <x:f>DEGREES(ATAN(H9/B9))</x:f>
        <x:v>8.704513953078392</x:v>
      </x:c>
      <x:c r="J9" s="40" t="n">
        <x:f>DEGREES((2*PI()/Inputs!$C$13)*Inputs!$C$15*SIN(RADIANS(I9)))</x:f>
        <x:v>54.48193078721229</x:v>
      </x:c>
      <x:c r="K9" s="40" t="n">
        <x:f>(C9/D9)^4</x:f>
        <x:v>0.9547177635858287</x:v>
      </x:c>
      <x:c r="L9" s="40" t="n">
        <x:f>10*LOG10(K9)</x:f>
        <x:v>-0.201249968280644</x:v>
      </x:c>
      <x:c r="M9" s="40" t="n">
        <x:f>2*(Inputs!$C$9/(Inputs!$C$10^2))*A9</x:f>
        <x:v>-0.12555555555555556</x:v>
      </x:c>
      <x:c r="N9" s="40" t="n">
        <x:f>M9*Inputs!$C$11</x:f>
        <x:v>-0.5022222222222222</x:v>
      </x:c>
      <x:c r="O9" s="40" t="n">
        <x:f>1000*((A9*Inputs!$C$11)+(B9*N9))/D9</x:f>
        <x:v>-1050.0210966689506</x:v>
      </x:c>
      <x:c r="P9" s="40" t="n">
        <x:f>-2*O9/Inputs!$C$13</x:f>
        <x:v>420.0084386675802</x:v>
      </x:c>
      <x:c r="Q9" s="40" t="n">
        <x:f>-2*O9/Inputs!$C$14</x:f>
        <x:v>63.06433013026731</x:v>
      </x:c>
      <x:c r="R9" s="40" t="n">
        <x:f>F9-Inputs!$C$16/2</x:f>
        <x:v>2626.700826955916</x:v>
      </x:c>
      <x:c r="S9" s="40" t="n">
        <x:f>F9+Inputs!$C$16/2</x:f>
        <x:v>2656.700826955916</x:v>
      </x:c>
      <x:c r="T9" s="40" t="n">
        <x:f>F9-Inputs!$C$17/2</x:f>
        <x:v>2491.700826955916</x:v>
      </x:c>
      <x:c r="U9" s="40" t="n">
        <x:f>F9+Inputs!$C$17/2</x:f>
        <x:v>2791.700826955916</x:v>
      </x:c>
      <x:c r="V9" s="40" t="n">
        <x:f>ABS(P9)</x:f>
        <x:v>420.0084386675802</x:v>
      </x:c>
      <x:c r="W9" s="40" t="n">
        <x:f>ABS(Q9)</x:f>
        <x:v>63.06433013026731</x:v>
      </x:c>
      <x:c r="X9" s="40" t="n">
        <x:f>IF(Inputs!$C$27="ON",1,0)*(Inputs!$C$28*EXP(-(((A9)-Inputs!$C$29)^2)/(2*Inputs!$C$31^2))*EXP(-(((0)-Inputs!$C$30)^2)/(2*Inputs!$C$32^2))+-Inputs!$C$33*EXP(-(((((A9)-Inputs!$C$34)^2)+(((0)-Inputs!$C$35)^2))/(2*Inputs!$C$36^2)))+Inputs!$C$37*(0.55*SIN(2*PI()*(A9)/Inputs!$C$39)+0.35*COS(2*PI()*(0)/Inputs!$C$40)+0.2*SIN(2*PI()*((A9)+(0))/(0.5*(Inputs!$C$39+Inputs!$C$40))))+Inputs!$C$38*SIN(2*PI()*(A9)/Inputs!$C$39)*SIN(2*PI()*(0)/Inputs!$C$40)+-Inputs!$C$41*EXP(-(((0)-Inputs!$C$43)^2)/(2*Inputs!$C$44^2))*EXP(-(((A9)-Inputs!$C$42)^2)/(2*Inputs!$C$45^2)))</x:f>
        <x:v>6.9648996151155</x:v>
      </x:c>
      <x:c r="Y9" s="40" t="n">
        <x:f>IF(Inputs!$C$27="ON",1,0)*(Inputs!$C$28*EXP(-(((A9)-Inputs!$C$29)^2)/(2*Inputs!$C$31^2))*EXP(-(((Inputs!$C$6)-Inputs!$C$30)^2)/(2*Inputs!$C$32^2))+-Inputs!$C$33*EXP(-(((((A9)-Inputs!$C$34)^2)+(((Inputs!$C$6)-Inputs!$C$35)^2))/(2*Inputs!$C$36^2)))+Inputs!$C$37*(0.55*SIN(2*PI()*(A9)/Inputs!$C$39)+0.35*COS(2*PI()*(Inputs!$C$6)/Inputs!$C$40)+0.2*SIN(2*PI()*((A9)+(Inputs!$C$6))/(0.5*(Inputs!$C$39+Inputs!$C$40))))+Inputs!$C$38*SIN(2*PI()*(A9)/Inputs!$C$39)*SIN(2*PI()*(Inputs!$C$6)/Inputs!$C$40)+-Inputs!$C$41*EXP(-(((Inputs!$C$6)-Inputs!$C$43)^2)/(2*Inputs!$C$44^2))*EXP(-(((A9)-Inputs!$C$42)^2)/(2*Inputs!$C$45^2)))</x:f>
        <x:v>-6.822495104673367</x:v>
      </x:c>
      <x:c r="Z9" s="40" t="n">
        <x:f>B9-X9/1000</x:f>
        <x:v>403.5399795448293</x:v>
      </x:c>
      <x:c r="AA9" s="40" t="n">
        <x:f>SQRT(A9^2+Inputs!$C$6^2+(B9-Y9/1000)^2)</x:f>
        <x:v>408.2559158311119</x:v>
      </x:c>
      <x:c r="AB9" s="40" t="n">
        <x:f>(AA9-Z9)*1000</x:f>
        <x:v>4715.936286282613</x:v>
      </x:c>
      <x:c r="AC9" s="40" t="n">
        <x:f>AB9/Inputs!$C$12</x:f>
        <x:v>2649.4024080239396</x:v>
      </x:c>
      <x:c r="AD9" s="40" t="n">
        <x:f>2*AB9/Inputs!$C$21*1000000</x:f>
        <x:v>31.461340406919867</x:v>
      </x:c>
      <x:c r="AE9" s="40" t="n">
        <x:f>DEGREES(ATAN(H9/(B9-Y9/1000)))</x:f>
        <x:v>8.70436904807949</x:v>
      </x:c>
      <x:c r="AF9" s="40" t="n">
        <x:f>DEGREES((2*PI()/Inputs!$C$13)*Inputs!$C$15*SIN(RADIANS(AE9)))</x:f>
        <x:v>54.481030808843556</x:v>
      </x:c>
      <x:c r="AG9" s="40" t="n">
        <x:f>(Z9/AA9)^4</x:f>
        <x:v>0.9545887772051314</x:v>
      </x:c>
      <x:c r="AH9" s="40" t="n">
        <x:f>10*LOG10(AG9)</x:f>
        <x:v>-0.201836758010486</x:v>
      </x:c>
      <x:c r="AI9" s="40" t="n">
        <x:f>AC9-F9</x:f>
        <x:v>7.701581068023643</x:v>
      </x:c>
      <x:c r="AJ9" s="40" t="n">
        <x:f>AD9-G9</x:f>
        <x:v>0.09145536477160476</x:v>
      </x:c>
      <x:c r="AK9" s="40" t="n">
        <x:f>Y9-X9</x:f>
        <x:v>-13.787394719788868</x:v>
      </x:c>
      <x:c r="AL9" s="40" t="n">
        <x:f>1000*(AA10-AA8)/(A10-A8)*Inputs!$C$11</x:f>
        <x:v>-1122.8040239980146</x:v>
      </x:c>
      <x:c r="AM9" s="40" t="n">
        <x:f>-2*AL9/Inputs!$C$13</x:f>
        <x:v>449.12160959920584</x:v>
      </x:c>
      <x:c r="AN9" s="40" t="n">
        <x:f>-2*AL9/Inputs!$C$14</x:f>
        <x:v>67.43567711699788</x:v>
      </x:c>
      <x:c r="AO9" s="40" t="n">
        <x:f>ABS(AM9)</x:f>
        <x:v>449.12160959920584</x:v>
      </x:c>
      <x:c r="AP9" s="40" t="n">
        <x:f>ABS(AN9)</x:f>
        <x:v>67.43567711699788</x:v>
      </x:c>
      <x:c r="AQ9" s="40" t="n">
        <x:f>IF(Inputs!$C$27="ON",Inputs!$C$46/Inputs!$C$12,0)</x:f>
        <x:v>42.13483146067416</x:v>
      </x:c>
      <x:c r="AR9" s="40" t="n">
        <x:f>AC9-AQ9</x:f>
        <x:v>2607.2675765632653</x:v>
      </x:c>
      <x:c r="AS9" s="40" t="n">
        <x:f>AC9+AQ9</x:f>
        <x:v>2691.537239484614</x:v>
      </x:c>
    </x:row>
    <x:row r="10">
      <x:c r="A10" s="40" t="n">
        <x:f>Inputs!$C$7+8*(Inputs!$C$8-Inputs!$C$7)/240</x:f>
        <x:v>-56</x:v>
      </x:c>
      <x:c r="B10" s="40" t="n">
        <x:f>Inputs!$C$5+Inputs!$C$9*(A10/Inputs!$C$10)^2</x:f>
        <x:v>403.4844444444444</x:v>
      </x:c>
      <x:c r="C10" s="40" t="n">
        <x:f>B10</x:f>
        <x:v>403.4844444444444</x:v>
      </x:c>
      <x:c r="D10" s="40" t="n">
        <x:f>SQRT(A10^2+Inputs!$C$6^2+B10^2)</x:f>
        <x:v>408.1184839095651</x:v>
      </x:c>
      <x:c r="E10" s="40" t="n">
        <x:f>(D10-C10)*1000</x:f>
        <x:v>4634.039465120679</x:v>
      </x:c>
      <x:c r="F10" s="40" t="n">
        <x:f>E10/Inputs!$C$12</x:f>
        <x:v>2603.3929579329656</x:v>
      </x:c>
      <x:c r="G10" s="40" t="n">
        <x:f>2*E10/Inputs!$C$21*1000000</x:f>
        <x:v>30.914983625910157</x:v>
      </x:c>
      <x:c r="H10" s="40" t="n">
        <x:f>SQRT(A10^2+Inputs!$C$6^2)</x:f>
        <x:v>61.326992425847855</x:v>
      </x:c>
      <x:c r="I10" s="40" t="n">
        <x:f>DEGREES(ATAN(H10/B10))</x:f>
        <x:v>8.642435724573849</x:v>
      </x:c>
      <x:c r="J10" s="40" t="n">
        <x:f>DEGREES((2*PI()/Inputs!$C$13)*Inputs!$C$15*SIN(RADIANS(I10)))</x:f>
        <x:v>54.09634246852054</x:v>
      </x:c>
      <x:c r="K10" s="40" t="n">
        <x:f>(C10/D10)^4</x:f>
        <x:v>0.9553491585030692</x:v>
      </x:c>
      <x:c r="L10" s="40" t="n">
        <x:f>10*LOG10(K10)</x:f>
        <x:v>-0.198378745966117</x:v>
      </x:c>
      <x:c r="M10" s="40" t="n">
        <x:f>2*(Inputs!$C$9/(Inputs!$C$10^2))*A10</x:f>
        <x:v>-0.12444444444444444</x:v>
      </x:c>
      <x:c r="N10" s="40" t="n">
        <x:f>M10*Inputs!$C$11</x:f>
        <x:v>-0.49777777777777776</x:v>
      </x:c>
      <x:c r="O10" s="40" t="n">
        <x:f>1000*((A10*Inputs!$C$11)+(B10*N10))/D10</x:f>
        <x:v>-1040.9859069691101</x:v>
      </x:c>
      <x:c r="P10" s="40" t="n">
        <x:f>-2*O10/Inputs!$C$13</x:f>
        <x:v>416.39436278764407</x:v>
      </x:c>
      <x:c r="Q10" s="40" t="n">
        <x:f>-2*O10/Inputs!$C$14</x:f>
        <x:v>62.52167609424085</x:v>
      </x:c>
      <x:c r="R10" s="40" t="n">
        <x:f>F10-Inputs!$C$16/2</x:f>
        <x:v>2588.3929579329656</x:v>
      </x:c>
      <x:c r="S10" s="40" t="n">
        <x:f>F10+Inputs!$C$16/2</x:f>
        <x:v>2618.3929579329656</x:v>
      </x:c>
      <x:c r="T10" s="40" t="n">
        <x:f>F10-Inputs!$C$17/2</x:f>
        <x:v>2453.3929579329656</x:v>
      </x:c>
      <x:c r="U10" s="40" t="n">
        <x:f>F10+Inputs!$C$17/2</x:f>
        <x:v>2753.3929579329656</x:v>
      </x:c>
      <x:c r="V10" s="40" t="n">
        <x:f>ABS(P10)</x:f>
        <x:v>416.39436278764407</x:v>
      </x:c>
      <x:c r="W10" s="40" t="n">
        <x:f>ABS(Q10)</x:f>
        <x:v>62.52167609424085</x:v>
      </x:c>
      <x:c r="X10" s="40" t="n">
        <x:f>IF(Inputs!$C$27="ON",1,0)*(Inputs!$C$28*EXP(-(((A10)-Inputs!$C$29)^2)/(2*Inputs!$C$31^2))*EXP(-(((0)-Inputs!$C$30)^2)/(2*Inputs!$C$32^2))+-Inputs!$C$33*EXP(-(((((A10)-Inputs!$C$34)^2)+(((0)-Inputs!$C$35)^2))/(2*Inputs!$C$36^2)))+Inputs!$C$37*(0.55*SIN(2*PI()*(A10)/Inputs!$C$39)+0.35*COS(2*PI()*(0)/Inputs!$C$40)+0.2*SIN(2*PI()*((A10)+(0))/(0.5*(Inputs!$C$39+Inputs!$C$40))))+Inputs!$C$38*SIN(2*PI()*(A10)/Inputs!$C$39)*SIN(2*PI()*(0)/Inputs!$C$40)+-Inputs!$C$41*EXP(-(((0)-Inputs!$C$43)^2)/(2*Inputs!$C$44^2))*EXP(-(((A10)-Inputs!$C$42)^2)/(2*Inputs!$C$45^2)))</x:f>
        <x:v>11.339247729139815</x:v>
      </x:c>
      <x:c r="Y10" s="40" t="n">
        <x:f>IF(Inputs!$C$27="ON",1,0)*(Inputs!$C$28*EXP(-(((A10)-Inputs!$C$29)^2)/(2*Inputs!$C$31^2))*EXP(-(((Inputs!$C$6)-Inputs!$C$30)^2)/(2*Inputs!$C$32^2))+-Inputs!$C$33*EXP(-(((((A10)-Inputs!$C$34)^2)+(((Inputs!$C$6)-Inputs!$C$35)^2))/(2*Inputs!$C$36^2)))+Inputs!$C$37*(0.55*SIN(2*PI()*(A10)/Inputs!$C$39)+0.35*COS(2*PI()*(Inputs!$C$6)/Inputs!$C$40)+0.2*SIN(2*PI()*((A10)+(Inputs!$C$6))/(0.5*(Inputs!$C$39+Inputs!$C$40))))+Inputs!$C$38*SIN(2*PI()*(A10)/Inputs!$C$39)*SIN(2*PI()*(Inputs!$C$6)/Inputs!$C$40)+-Inputs!$C$41*EXP(-(((Inputs!$C$6)-Inputs!$C$43)^2)/(2*Inputs!$C$44^2))*EXP(-(((A10)-Inputs!$C$42)^2)/(2*Inputs!$C$45^2)))</x:f>
        <x:v>3.1908090571637384</x:v>
      </x:c>
      <x:c r="Z10" s="40" t="n">
        <x:f>B10-X10/1000</x:f>
        <x:v>403.47310519671527</x:v>
      </x:c>
      <x:c r="AA10" s="40" t="n">
        <x:f>SQRT(A10^2+Inputs!$C$6^2+(B10-Y10/1000)^2)</x:f>
        <x:v>408.1153293312856</x:v>
      </x:c>
      <x:c r="AB10" s="40" t="n">
        <x:f>(AA10-Z10)*1000</x:f>
        <x:v>4642.224134570313</x:v>
      </x:c>
      <x:c r="AC10" s="40" t="n">
        <x:f>AB10/Inputs!$C$12</x:f>
        <x:v>2607.9910868372544</x:v>
      </x:c>
      <x:c r="AD10" s="40" t="n">
        <x:f>2*AB10/Inputs!$C$21*1000000</x:f>
        <x:v>30.96958586309942</x:v>
      </x:c>
      <x:c r="AE10" s="40" t="n">
        <x:f>DEGREES(ATAN(H10/(B10-Y10/1000)))</x:f>
        <x:v>8.642503038658239</x:v>
      </x:c>
      <x:c r="AF10" s="40" t="n">
        <x:f>DEGREES((2*PI()/Inputs!$C$13)*Inputs!$C$15*SIN(RADIANS(AE10)))</x:f>
        <x:v>54.09676061293878</x:v>
      </x:c>
      <x:c r="AG10" s="40" t="n">
        <x:f>(Z10/AA10)^4</x:f>
        <x:v>0.9552713041259561</x:v>
      </x:c>
      <x:c r="AH10" s="40" t="n">
        <x:f>10*LOG10(AG10)</x:f>
        <x:v>-0.198732680481656</x:v>
      </x:c>
      <x:c r="AI10" s="40" t="n">
        <x:f>AC10-F10</x:f>
        <x:v>4.598128904288842</x:v>
      </x:c>
      <x:c r="AJ10" s="40" t="n">
        <x:f>AD10-G10</x:f>
        <x:v>0.05460223718926471</x:v>
      </x:c>
      <x:c r="AK10" s="40" t="n">
        <x:f>Y10-X10</x:f>
        <x:v>-8.148438671976077</x:v>
      </x:c>
      <x:c r="AL10" s="40" t="n">
        <x:f>1000*(AA11-AA9)/(A11-A9)*Inputs!$C$11</x:f>
        <x:v>-1125.3887030097758</x:v>
      </x:c>
      <x:c r="AM10" s="40" t="n">
        <x:f>-2*AL10/Inputs!$C$13</x:f>
        <x:v>450.1554812039103</x:v>
      </x:c>
      <x:c r="AN10" s="40" t="n">
        <x:f>-2*AL10/Inputs!$C$14</x:f>
        <x:v>67.59091309368023</x:v>
      </x:c>
      <x:c r="AO10" s="40" t="n">
        <x:f>ABS(AM10)</x:f>
        <x:v>450.1554812039103</x:v>
      </x:c>
      <x:c r="AP10" s="40" t="n">
        <x:f>ABS(AN10)</x:f>
        <x:v>67.59091309368023</x:v>
      </x:c>
      <x:c r="AQ10" s="40" t="n">
        <x:f>IF(Inputs!$C$27="ON",Inputs!$C$46/Inputs!$C$12,0)</x:f>
        <x:v>42.13483146067416</x:v>
      </x:c>
      <x:c r="AR10" s="40" t="n">
        <x:f>AC10-AQ10</x:f>
        <x:v>2565.85625537658</x:v>
      </x:c>
      <x:c r="AS10" s="40" t="n">
        <x:f>AC10+AQ10</x:f>
        <x:v>2650.125918297929</x:v>
      </x:c>
    </x:row>
    <x:row r="11">
      <x:c r="A11" s="40" t="n">
        <x:f>Inputs!$C$7+9*(Inputs!$C$8-Inputs!$C$7)/240</x:f>
        <x:v>-55.5</x:v>
      </x:c>
      <x:c r="B11" s="40" t="n">
        <x:f>Inputs!$C$5+Inputs!$C$9*(A11/Inputs!$C$10)^2</x:f>
        <x:v>403.4225</x:v>
      </x:c>
      <x:c r="C11" s="40" t="n">
        <x:f>B11</x:f>
        <x:v>403.4225</x:v>
      </x:c>
      <x:c r="D11" s="40" t="n">
        <x:f>SQRT(A11^2+Inputs!$C$6^2+B11^2)</x:f>
        <x:v>407.9889257152086</x:v>
      </x:c>
      <x:c r="E11" s="40" t="n">
        <x:f>(D11-C11)*1000</x:f>
        <x:v>4566.425715208596</x:v>
      </x:c>
      <x:c r="F11" s="40" t="n">
        <x:f>E11/Inputs!$C$12</x:f>
        <x:v>2565.4077051733684</x:v>
      </x:c>
      <x:c r="G11" s="40" t="n">
        <x:f>2*E11/Inputs!$C$21*1000000</x:f>
        <x:v>30.463913239662592</x:v>
      </x:c>
      <x:c r="H11" s="40" t="n">
        <x:f>SQRT(A11^2+Inputs!$C$6^2)</x:f>
        <x:v>60.87076473973364</x:v>
      </x:c>
      <x:c r="I11" s="40" t="n">
        <x:f>DEGREES(ATAN(H11/B11))</x:f>
        <x:v>8.580400233649934</x:v>
      </x:c>
      <x:c r="J11" s="40" t="n">
        <x:f>DEGREES((2*PI()/Inputs!$C$13)*Inputs!$C$15*SIN(RADIANS(I11)))</x:f>
        <x:v>53.71095616845376</x:v>
      </x:c>
      <x:c r="K11" s="40" t="n">
        <x:f>(C11/D11)^4</x:f>
        <x:v>0.9559759479975408</x:v>
      </x:c>
      <x:c r="L11" s="40" t="n">
        <x:f>10*LOG10(K11)</x:f>
        <x:v>-0.195530342755213</x:v>
      </x:c>
      <x:c r="M11" s="40" t="n">
        <x:f>2*(Inputs!$C$9/(Inputs!$C$10^2))*A11</x:f>
        <x:v>-0.12333333333333334</x:v>
      </x:c>
      <x:c r="N11" s="40" t="n">
        <x:f>M11*Inputs!$C$11</x:f>
        <x:v>-0.49333333333333335</x:v>
      </x:c>
      <x:c r="O11" s="40" t="n">
        <x:f>1000*((A11*Inputs!$C$11)+(B11*N11))/D11</x:f>
        <x:v>-1031.9441046803204</x:v>
      </x:c>
      <x:c r="P11" s="40" t="n">
        <x:f>-2*O11/Inputs!$C$13</x:f>
        <x:v>412.77764187212813</x:v>
      </x:c>
      <x:c r="Q11" s="40" t="n">
        <x:f>-2*O11/Inputs!$C$14</x:f>
        <x:v>61.978624905724956</x:v>
      </x:c>
      <x:c r="R11" s="40" t="n">
        <x:f>F11-Inputs!$C$16/2</x:f>
        <x:v>2550.4077051733684</x:v>
      </x:c>
      <x:c r="S11" s="40" t="n">
        <x:f>F11+Inputs!$C$16/2</x:f>
        <x:v>2580.4077051733684</x:v>
      </x:c>
      <x:c r="T11" s="40" t="n">
        <x:f>F11-Inputs!$C$17/2</x:f>
        <x:v>2415.4077051733684</x:v>
      </x:c>
      <x:c r="U11" s="40" t="n">
        <x:f>F11+Inputs!$C$17/2</x:f>
        <x:v>2715.4077051733684</x:v>
      </x:c>
      <x:c r="V11" s="40" t="n">
        <x:f>ABS(P11)</x:f>
        <x:v>412.77764187212813</x:v>
      </x:c>
      <x:c r="W11" s="40" t="n">
        <x:f>ABS(Q11)</x:f>
        <x:v>61.978624905724956</x:v>
      </x:c>
      <x:c r="X11" s="40" t="n">
        <x:f>IF(Inputs!$C$27="ON",1,0)*(Inputs!$C$28*EXP(-(((A11)-Inputs!$C$29)^2)/(2*Inputs!$C$31^2))*EXP(-(((0)-Inputs!$C$30)^2)/(2*Inputs!$C$32^2))+-Inputs!$C$33*EXP(-(((((A11)-Inputs!$C$34)^2)+(((0)-Inputs!$C$35)^2))/(2*Inputs!$C$36^2)))+Inputs!$C$37*(0.55*SIN(2*PI()*(A11)/Inputs!$C$39)+0.35*COS(2*PI()*(0)/Inputs!$C$40)+0.2*SIN(2*PI()*((A11)+(0))/(0.5*(Inputs!$C$39+Inputs!$C$40))))+Inputs!$C$38*SIN(2*PI()*(A11)/Inputs!$C$39)*SIN(2*PI()*(0)/Inputs!$C$40)+-Inputs!$C$41*EXP(-(((0)-Inputs!$C$43)^2)/(2*Inputs!$C$44^2))*EXP(-(((A11)-Inputs!$C$42)^2)/(2*Inputs!$C$45^2)))</x:f>
        <x:v>15.84613663833629</x:v>
      </x:c>
      <x:c r="Y11" s="40" t="n">
        <x:f>IF(Inputs!$C$27="ON",1,0)*(Inputs!$C$28*EXP(-(((A11)-Inputs!$C$29)^2)/(2*Inputs!$C$31^2))*EXP(-(((Inputs!$C$6)-Inputs!$C$30)^2)/(2*Inputs!$C$32^2))+-Inputs!$C$33*EXP(-(((((A11)-Inputs!$C$34)^2)+(((Inputs!$C$6)-Inputs!$C$35)^2))/(2*Inputs!$C$36^2)))+Inputs!$C$37*(0.55*SIN(2*PI()*(A11)/Inputs!$C$39)+0.35*COS(2*PI()*(Inputs!$C$6)/Inputs!$C$40)+0.2*SIN(2*PI()*((A11)+(Inputs!$C$6))/(0.5*(Inputs!$C$39+Inputs!$C$40))))+Inputs!$C$38*SIN(2*PI()*(A11)/Inputs!$C$39)*SIN(2*PI()*(Inputs!$C$6)/Inputs!$C$40)+-Inputs!$C$41*EXP(-(((Inputs!$C$6)-Inputs!$C$43)^2)/(2*Inputs!$C$44^2))*EXP(-(((A11)-Inputs!$C$42)^2)/(2*Inputs!$C$45^2)))</x:f>
        <x:v>14.519576302097576</x:v>
      </x:c>
      <x:c r="Z11" s="40" t="n">
        <x:f>B11-X11/1000</x:f>
        <x:v>403.40665386336167</x:v>
      </x:c>
      <x:c r="AA11" s="40" t="n">
        <x:f>SQRT(A11^2+Inputs!$C$6^2+(B11-Y11/1000)^2)</x:f>
        <x:v>407.97456865535946</x:v>
      </x:c>
      <x:c r="AB11" s="40" t="n">
        <x:f>(AA11-Z11)*1000</x:f>
        <x:v>4567.914791997793</x:v>
      </x:c>
      <x:c r="AC11" s="40" t="n">
        <x:f>AB11/Inputs!$C$12</x:f>
        <x:v>2566.2442651672995</x:v>
      </x:c>
      <x:c r="AD11" s="40" t="n">
        <x:f>2*AB11/Inputs!$C$21*1000000</x:f>
        <x:v>30.473847290699975</x:v>
      </x:c>
      <x:c r="AE11" s="40" t="n">
        <x:f>DEGREES(ATAN(H11/(B11-Y11/1000)))</x:f>
        <x:v>8.58070446493148</x:v>
      </x:c>
      <x:c r="AF11" s="40" t="n">
        <x:f>DEGREES((2*PI()/Inputs!$C$13)*Inputs!$C$15*SIN(RADIANS(AE11)))</x:f>
        <x:v>53.712846314241055</x:v>
      </x:c>
      <x:c r="AG11" s="40" t="n">
        <x:f>(Z11/AA11)^4</x:f>
        <x:v>0.9559603099520416</x:v>
      </x:c>
      <x:c r="AH11" s="40" t="n">
        <x:f>10*LOG10(AG11)</x:f>
        <x:v>-0.195601386095073</x:v>
      </x:c>
      <x:c r="AI11" s="40" t="n">
        <x:f>AC11-F11</x:f>
        <x:v>0.8365599939311323</x:v>
      </x:c>
      <x:c r="AJ11" s="40" t="n">
        <x:f>AD11-G11</x:f>
        <x:v>0.00993405103738354</x:v>
      </x:c>
      <x:c r="AK11" s="40" t="n">
        <x:f>Y11-X11</x:f>
        <x:v>-1.326560336238714</x:v>
      </x:c>
      <x:c r="AL11" s="40" t="n">
        <x:f>1000*(AA12-AA10)/(A12-A10)*Inputs!$C$11</x:f>
        <x:v>-1125.4250767835856</x:v>
      </x:c>
      <x:c r="AM11" s="40" t="n">
        <x:f>-2*AL11/Inputs!$C$13</x:f>
        <x:v>450.17003071343424</x:v>
      </x:c>
      <x:c r="AN11" s="40" t="n">
        <x:f>-2*AL11/Inputs!$C$14</x:f>
        <x:v>67.59309770471987</x:v>
      </x:c>
      <x:c r="AO11" s="40" t="n">
        <x:f>ABS(AM11)</x:f>
        <x:v>450.17003071343424</x:v>
      </x:c>
      <x:c r="AP11" s="40" t="n">
        <x:f>ABS(AN11)</x:f>
        <x:v>67.59309770471987</x:v>
      </x:c>
      <x:c r="AQ11" s="40" t="n">
        <x:f>IF(Inputs!$C$27="ON",Inputs!$C$46/Inputs!$C$12,0)</x:f>
        <x:v>42.13483146067416</x:v>
      </x:c>
      <x:c r="AR11" s="40" t="n">
        <x:f>AC11-AQ11</x:f>
        <x:v>2524.109433706625</x:v>
      </x:c>
      <x:c r="AS11" s="40" t="n">
        <x:f>AC11+AQ11</x:f>
        <x:v>2608.379096627974</x:v>
      </x:c>
    </x:row>
    <x:row r="12">
      <x:c r="A12" s="40" t="n">
        <x:f>Inputs!$C$7+10*(Inputs!$C$8-Inputs!$C$7)/240</x:f>
        <x:v>-55</x:v>
      </x:c>
      <x:c r="B12" s="40" t="n">
        <x:f>Inputs!$C$5+Inputs!$C$9*(A12/Inputs!$C$10)^2</x:f>
        <x:v>403.3611111111111</x:v>
      </x:c>
      <x:c r="C12" s="40" t="n">
        <x:f>B12</x:f>
        <x:v>403.3611111111111</x:v>
      </x:c>
      <x:c r="D12" s="40" t="n">
        <x:f>SQRT(A12^2+Inputs!$C$6^2+B12^2)</x:f>
        <x:v>407.86049815689444</x:v>
      </x:c>
      <x:c r="E12" s="40" t="n">
        <x:f>(D12-C12)*1000</x:f>
        <x:v>4499.387045783351</x:v>
      </x:c>
      <x:c r="F12" s="40" t="n">
        <x:f>E12/Inputs!$C$12</x:f>
        <x:v>2527.745531338961</x:v>
      </x:c>
      <x:c r="G12" s="40" t="n">
        <x:f>2*E12/Inputs!$C$21*1000000</x:f>
        <x:v>30.016679377460196</x:v>
      </x:c>
      <x:c r="H12" s="40" t="n">
        <x:f>SQRT(A12^2+Inputs!$C$6^2)</x:f>
        <x:v>60.41522986797286</x:v>
      </x:c>
      <x:c r="I12" s="40" t="n">
        <x:f>DEGREES(ATAN(H12/B12))</x:f>
        <x:v>8.518410095726479</x:v>
      </x:c>
      <x:c r="J12" s="40" t="n">
        <x:f>DEGREES((2*PI()/Inputs!$C$13)*Inputs!$C$15*SIN(RADIANS(I12)))</x:f>
        <x:v>53.32578872127919</x:v>
      </x:c>
      <x:c r="K12" s="40" t="n">
        <x:f>(C12/D12)^4</x:f>
        <x:v>0.9565981072856315</x:v>
      </x:c>
      <x:c r="L12" s="40" t="n">
        <x:f>10*LOG10(K12)</x:f>
        <x:v>-0.19270482753432902</x:v>
      </x:c>
      <x:c r="M12" s="40" t="n">
        <x:f>2*(Inputs!$C$9/(Inputs!$C$10^2))*A12</x:f>
        <x:v>-0.12222222222222222</x:v>
      </x:c>
      <x:c r="N12" s="40" t="n">
        <x:f>M12*Inputs!$C$11</x:f>
        <x:v>-0.4888888888888889</x:v>
      </x:c>
      <x:c r="O12" s="40" t="n">
        <x:f>1000*((A12*Inputs!$C$11)+(B12*N12))/D12</x:f>
        <x:v>-1022.8957384140008</x:v>
      </x:c>
      <x:c r="P12" s="40" t="n">
        <x:f>-2*O12/Inputs!$C$13</x:f>
        <x:v>409.15829536560034</x:v>
      </x:c>
      <x:c r="Q12" s="40" t="n">
        <x:f>-2*O12/Inputs!$C$14</x:f>
        <x:v>61.43517948432438</x:v>
      </x:c>
      <x:c r="R12" s="40" t="n">
        <x:f>F12-Inputs!$C$16/2</x:f>
        <x:v>2512.745531338961</x:v>
      </x:c>
      <x:c r="S12" s="40" t="n">
        <x:f>F12+Inputs!$C$16/2</x:f>
        <x:v>2542.745531338961</x:v>
      </x:c>
      <x:c r="T12" s="40" t="n">
        <x:f>F12-Inputs!$C$17/2</x:f>
        <x:v>2377.745531338961</x:v>
      </x:c>
      <x:c r="U12" s="40" t="n">
        <x:f>F12+Inputs!$C$17/2</x:f>
        <x:v>2677.745531338961</x:v>
      </x:c>
      <x:c r="V12" s="40" t="n">
        <x:f>ABS(P12)</x:f>
        <x:v>409.15829536560034</x:v>
      </x:c>
      <x:c r="W12" s="40" t="n">
        <x:f>ABS(Q12)</x:f>
        <x:v>61.43517948432438</x:v>
      </x:c>
      <x:c r="X12" s="40" t="n">
        <x:f>IF(Inputs!$C$27="ON",1,0)*(Inputs!$C$28*EXP(-(((A12)-Inputs!$C$29)^2)/(2*Inputs!$C$31^2))*EXP(-(((0)-Inputs!$C$30)^2)/(2*Inputs!$C$32^2))+-Inputs!$C$33*EXP(-(((((A12)-Inputs!$C$34)^2)+(((0)-Inputs!$C$35)^2))/(2*Inputs!$C$36^2)))+Inputs!$C$37*(0.55*SIN(2*PI()*(A12)/Inputs!$C$39)+0.35*COS(2*PI()*(0)/Inputs!$C$40)+0.2*SIN(2*PI()*((A12)+(0))/(0.5*(Inputs!$C$39+Inputs!$C$40))))+Inputs!$C$38*SIN(2*PI()*(A12)/Inputs!$C$39)*SIN(2*PI()*(0)/Inputs!$C$40)+-Inputs!$C$41*EXP(-(((0)-Inputs!$C$43)^2)/(2*Inputs!$C$44^2))*EXP(-(((A12)-Inputs!$C$42)^2)/(2*Inputs!$C$45^2)))</x:f>
        <x:v>20.355122637137168</x:v>
      </x:c>
      <x:c r="Y12" s="40" t="n">
        <x:f>IF(Inputs!$C$27="ON",1,0)*(Inputs!$C$28*EXP(-(((A12)-Inputs!$C$29)^2)/(2*Inputs!$C$31^2))*EXP(-(((Inputs!$C$6)-Inputs!$C$30)^2)/(2*Inputs!$C$32^2))+-Inputs!$C$33*EXP(-(((((A12)-Inputs!$C$34)^2)+(((Inputs!$C$6)-Inputs!$C$35)^2))/(2*Inputs!$C$36^2)))+Inputs!$C$37*(0.55*SIN(2*PI()*(A12)/Inputs!$C$39)+0.35*COS(2*PI()*(Inputs!$C$6)/Inputs!$C$40)+0.2*SIN(2*PI()*((A12)+(Inputs!$C$6))/(0.5*(Inputs!$C$39+Inputs!$C$40))))+Inputs!$C$38*SIN(2*PI()*(A12)/Inputs!$C$39)*SIN(2*PI()*(Inputs!$C$6)/Inputs!$C$40)+-Inputs!$C$41*EXP(-(((Inputs!$C$6)-Inputs!$C$43)^2)/(2*Inputs!$C$44^2))*EXP(-(((A12)-Inputs!$C$42)^2)/(2*Inputs!$C$45^2)))</x:f>
        <x:v>26.820994823959232</x:v>
      </x:c>
      <x:c r="Z12" s="40" t="n">
        <x:f>B12-X12/1000</x:f>
        <x:v>403.340755988474</x:v>
      </x:c>
      <x:c r="AA12" s="40" t="n">
        <x:f>SQRT(A12^2+Inputs!$C$6^2+(B12-Y12/1000)^2)</x:f>
        <x:v>407.8339730620897</x:v>
      </x:c>
      <x:c r="AB12" s="40" t="n">
        <x:f>(AA12-Z12)*1000</x:f>
        <x:v>4493.21707361571</x:v>
      </x:c>
      <x:c r="AC12" s="40" t="n">
        <x:f>AB12/Inputs!$C$12</x:f>
        <x:v>2524.2792548402867</x:v>
      </x:c>
      <x:c r="AD12" s="40" t="n">
        <x:f>2*AB12/Inputs!$C$21*1000000</x:f>
        <x:v>29.97551775379026</x:v>
      </x:c>
      <x:c r="AE12" s="40" t="n">
        <x:f>DEGREES(ATAN(H12/(B12-Y12/1000)))</x:f>
        <x:v>8.518968243120579</x:v>
      </x:c>
      <x:c r="AF12" s="40" t="n">
        <x:f>DEGREES((2*PI()/Inputs!$C$13)*Inputs!$C$15*SIN(RADIANS(AE12)))</x:f>
        <x:v>53.32925697477153</x:v>
      </x:c>
      <x:c r="AG12" s="40" t="n">
        <x:f>(Z12/AA12)^4</x:f>
        <x:v>0.9566538663146597</x:v>
      </x:c>
      <x:c r="AH12" s="40" t="n">
        <x:f>10*LOG10(AG12)</x:f>
        <x:v>-0.1924516895372</x:v>
      </x:c>
      <x:c r="AI12" s="40" t="n">
        <x:f>AC12-F12</x:f>
        <x:v>-3.466276498674233</x:v>
      </x:c>
      <x:c r="AJ12" s="40" t="n">
        <x:f>AD12-G12</x:f>
        <x:v>-0.04116162366993592</x:v>
      </x:c>
      <x:c r="AK12" s="40" t="n">
        <x:f>Y12-X12</x:f>
        <x:v>6.4658721868220645</x:v>
      </x:c>
      <x:c r="AL12" s="40" t="n">
        <x:f>1000*(AA13-AA11)/(A13-A11)*Inputs!$C$11</x:f>
        <x:v>-1122.6287961337675</x:v>
      </x:c>
      <x:c r="AM12" s="40" t="n">
        <x:f>-2*AL12/Inputs!$C$13</x:f>
        <x:v>449.051518453507</x:v>
      </x:c>
      <x:c r="AN12" s="40" t="n">
        <x:f>-2*AL12/Inputs!$C$14</x:f>
        <x:v>67.425152920947</x:v>
      </x:c>
      <x:c r="AO12" s="40" t="n">
        <x:f>ABS(AM12)</x:f>
        <x:v>449.051518453507</x:v>
      </x:c>
      <x:c r="AP12" s="40" t="n">
        <x:f>ABS(AN12)</x:f>
        <x:v>67.425152920947</x:v>
      </x:c>
      <x:c r="AQ12" s="40" t="n">
        <x:f>IF(Inputs!$C$27="ON",Inputs!$C$46/Inputs!$C$12,0)</x:f>
        <x:v>42.13483146067416</x:v>
      </x:c>
      <x:c r="AR12" s="40" t="n">
        <x:f>AC12-AQ12</x:f>
        <x:v>2482.1444233796124</x:v>
      </x:c>
      <x:c r="AS12" s="40" t="n">
        <x:f>AC12+AQ12</x:f>
        <x:v>2566.414086300961</x:v>
      </x:c>
    </x:row>
    <x:row r="13">
      <x:c r="A13" s="40" t="n">
        <x:f>Inputs!$C$7+11*(Inputs!$C$8-Inputs!$C$7)/240</x:f>
        <x:v>-54.5</x:v>
      </x:c>
      <x:c r="B13" s="40" t="n">
        <x:f>Inputs!$C$5+Inputs!$C$9*(A13/Inputs!$C$10)^2</x:f>
        <x:v>403.30027777777775</x:v>
      </x:c>
      <x:c r="C13" s="40" t="n">
        <x:f>B13</x:f>
        <x:v>403.30027777777775</x:v>
      </x:c>
      <x:c r="D13" s="40" t="n">
        <x:f>SQRT(A13^2+Inputs!$C$6^2+B13^2)</x:f>
        <x:v>407.73320205206824</x:v>
      </x:c>
      <x:c r="E13" s="40" t="n">
        <x:f>(D13-C13)*1000</x:f>
        <x:v>4432.924274290485</x:v>
      </x:c>
      <x:c r="F13" s="40" t="n">
        <x:f>E13/Inputs!$C$12</x:f>
        <x:v>2490.406895668812</x:v>
      </x:c>
      <x:c r="G13" s="40" t="n">
        <x:f>2*E13/Inputs!$C$21*1000000</x:f>
        <x:v>29.57328749271261</x:v>
      </x:c>
      <x:c r="H13" s="40" t="n">
        <x:f>SQRT(A13^2+Inputs!$C$6^2)</x:f>
        <x:v>59.96040360104325</x:v>
      </x:c>
      <x:c r="I13" s="40" t="n">
        <x:f>DEGREES(ATAN(H13/B13))</x:f>
        <x:v>8.45646799120709</x:v>
      </x:c>
      <x:c r="J13" s="40" t="n">
        <x:f>DEGREES((2*PI()/Inputs!$C$13)*Inputs!$C$15*SIN(RADIANS(I13)))</x:f>
        <x:v>52.94085737373685</x:v>
      </x:c>
      <x:c r="K13" s="40" t="n">
        <x:f>(C13/D13)^4</x:f>
        <x:v>0.9572156117138775</x:v>
      </x:c>
      <x:c r="L13" s="40" t="n">
        <x:f>10*LOG10(K13)</x:f>
        <x:v>-0.189902268723279</x:v>
      </x:c>
      <x:c r="M13" s="40" t="n">
        <x:f>2*(Inputs!$C$9/(Inputs!$C$10^2))*A13</x:f>
        <x:v>-0.12111111111111111</x:v>
      </x:c>
      <x:c r="N13" s="40" t="n">
        <x:f>M13*Inputs!$C$11</x:f>
        <x:v>-0.48444444444444446</x:v>
      </x:c>
      <x:c r="O13" s="40" t="n">
        <x:f>1000*((A13*Inputs!$C$11)+(B13*N13))/D13</x:f>
        <x:v>-1013.8408570405232</x:v>
      </x:c>
      <x:c r="P13" s="40" t="n">
        <x:f>-2*O13/Inputs!$C$13</x:f>
        <x:v>405.5363428162093</x:v>
      </x:c>
      <x:c r="Q13" s="40" t="n">
        <x:f>-2*O13/Inputs!$C$14</x:f>
        <x:v>60.8913427651966</x:v>
      </x:c>
      <x:c r="R13" s="40" t="n">
        <x:f>F13-Inputs!$C$16/2</x:f>
        <x:v>2475.406895668812</x:v>
      </x:c>
      <x:c r="S13" s="40" t="n">
        <x:f>F13+Inputs!$C$16/2</x:f>
        <x:v>2505.406895668812</x:v>
      </x:c>
      <x:c r="T13" s="40" t="n">
        <x:f>F13-Inputs!$C$17/2</x:f>
        <x:v>2340.406895668812</x:v>
      </x:c>
      <x:c r="U13" s="40" t="n">
        <x:f>F13+Inputs!$C$17/2</x:f>
        <x:v>2640.406895668812</x:v>
      </x:c>
      <x:c r="V13" s="40" t="n">
        <x:f>ABS(P13)</x:f>
        <x:v>405.5363428162093</x:v>
      </x:c>
      <x:c r="W13" s="40" t="n">
        <x:f>ABS(Q13)</x:f>
        <x:v>60.8913427651966</x:v>
      </x:c>
      <x:c r="X13" s="40" t="n">
        <x:f>IF(Inputs!$C$27="ON",1,0)*(Inputs!$C$28*EXP(-(((A13)-Inputs!$C$29)^2)/(2*Inputs!$C$31^2))*EXP(-(((0)-Inputs!$C$30)^2)/(2*Inputs!$C$32^2))+-Inputs!$C$33*EXP(-(((((A13)-Inputs!$C$34)^2)+(((0)-Inputs!$C$35)^2))/(2*Inputs!$C$36^2)))+Inputs!$C$37*(0.55*SIN(2*PI()*(A13)/Inputs!$C$39)+0.35*COS(2*PI()*(0)/Inputs!$C$40)+0.2*SIN(2*PI()*((A13)+(0))/(0.5*(Inputs!$C$39+Inputs!$C$40))))+Inputs!$C$38*SIN(2*PI()*(A13)/Inputs!$C$39)*SIN(2*PI()*(0)/Inputs!$C$40)+-Inputs!$C$41*EXP(-(((0)-Inputs!$C$43)^2)/(2*Inputs!$C$44^2))*EXP(-(((A13)-Inputs!$C$42)^2)/(2*Inputs!$C$45^2)))</x:f>
        <x:v>24.74286577905619</x:v>
      </x:c>
      <x:c r="Y13" s="40" t="n">
        <x:f>IF(Inputs!$C$27="ON",1,0)*(Inputs!$C$28*EXP(-(((A13)-Inputs!$C$29)^2)/(2*Inputs!$C$31^2))*EXP(-(((Inputs!$C$6)-Inputs!$C$30)^2)/(2*Inputs!$C$32^2))+-Inputs!$C$33*EXP(-(((((A13)-Inputs!$C$34)^2)+(((Inputs!$C$6)-Inputs!$C$35)^2))/(2*Inputs!$C$36^2)))+Inputs!$C$37*(0.55*SIN(2*PI()*(A13)/Inputs!$C$39)+0.35*COS(2*PI()*(Inputs!$C$6)/Inputs!$C$40)+0.2*SIN(2*PI()*((A13)+(Inputs!$C$6))/(0.5*(Inputs!$C$39+Inputs!$C$40))))+Inputs!$C$38*SIN(2*PI()*(A13)/Inputs!$C$39)*SIN(2*PI()*(Inputs!$C$6)/Inputs!$C$40)+-Inputs!$C$41*EXP(-(((Inputs!$C$6)-Inputs!$C$43)^2)/(2*Inputs!$C$44^2))*EXP(-(((A13)-Inputs!$C$42)^2)/(2*Inputs!$C$45^2)))</x:f>
        <x:v>39.72250543451379</x:v>
      </x:c>
      <x:c r="Z13" s="40" t="n">
        <x:f>B13-X13/1000</x:f>
        <x:v>403.2755349119987</x:v>
      </x:c>
      <x:c r="AA13" s="40" t="n">
        <x:f>SQRT(A13^2+Inputs!$C$6^2+(B13-Y13/1000)^2)</x:f>
        <x:v>407.693911456326</x:v>
      </x:c>
      <x:c r="AB13" s="40" t="n">
        <x:f>(AA13-Z13)*1000</x:f>
        <x:v>4418.376544327316</x:v>
      </x:c>
      <x:c r="AC13" s="40" t="n">
        <x:f>AB13/Inputs!$C$12</x:f>
        <x:v>2482.2340136670314</x:v>
      </x:c>
      <x:c r="AD13" s="40" t="n">
        <x:f>2*AB13/Inputs!$C$21*1000000</x:f>
        <x:v>29.476235485065576</x:v>
      </x:c>
      <x:c r="AE13" s="40" t="n">
        <x:f>DEGREES(ATAN(H13/(B13-Y13/1000)))</x:f>
        <x:v>8.457288935162435</x:v>
      </x:c>
      <x:c r="AF13" s="40" t="n">
        <x:f>DEGREES((2*PI()/Inputs!$C$13)*Inputs!$C$15*SIN(RADIANS(AE13)))</x:f>
        <x:v>52.94595943135129</x:v>
      </x:c>
      <x:c r="AG13" s="40" t="n">
        <x:f>(Z13/AA13)^4</x:f>
        <x:v>0.9573496897876211</x:v>
      </x:c>
      <x:c r="AH13" s="40" t="n">
        <x:f>10*LOG10(AG13)</x:f>
        <x:v>-0.18929399103621802</x:v>
      </x:c>
      <x:c r="AI13" s="40" t="n">
        <x:f>AC13-F13</x:f>
        <x:v>-8.172882001780636</x:v>
      </x:c>
      <x:c r="AJ13" s="40" t="n">
        <x:f>AD13-G13</x:f>
        <x:v>-0.09705200764703292</x:v>
      </x:c>
      <x:c r="AK13" s="40" t="n">
        <x:f>Y13-X13</x:f>
        <x:v>14.979639655457603</x:v>
      </x:c>
      <x:c r="AL13" s="40" t="n">
        <x:f>1000*(AA14-AA12)/(A14-A12)*Inputs!$C$11</x:f>
        <x:v>-1116.813768657039</x:v>
      </x:c>
      <x:c r="AM13" s="40" t="n">
        <x:f>-2*AL13/Inputs!$C$13</x:f>
        <x:v>446.7255074628156</x:v>
      </x:c>
      <x:c r="AN13" s="40" t="n">
        <x:f>-2*AL13/Inputs!$C$14</x:f>
        <x:v>67.07590202144378</x:v>
      </x:c>
      <x:c r="AO13" s="40" t="n">
        <x:f>ABS(AM13)</x:f>
        <x:v>446.7255074628156</x:v>
      </x:c>
      <x:c r="AP13" s="40" t="n">
        <x:f>ABS(AN13)</x:f>
        <x:v>67.07590202144378</x:v>
      </x:c>
      <x:c r="AQ13" s="40" t="n">
        <x:f>IF(Inputs!$C$27="ON",Inputs!$C$46/Inputs!$C$12,0)</x:f>
        <x:v>42.13483146067416</x:v>
      </x:c>
      <x:c r="AR13" s="40" t="n">
        <x:f>AC13-AQ13</x:f>
        <x:v>2440.099182206357</x:v>
      </x:c>
      <x:c r="AS13" s="40" t="n">
        <x:f>AC13+AQ13</x:f>
        <x:v>2524.3688451277058</x:v>
      </x:c>
    </x:row>
    <x:row r="14">
      <x:c r="A14" s="40" t="n">
        <x:f>Inputs!$C$7+12*(Inputs!$C$8-Inputs!$C$7)/240</x:f>
        <x:v>-54</x:v>
      </x:c>
      <x:c r="B14" s="40" t="n">
        <x:f>Inputs!$C$5+Inputs!$C$9*(A14/Inputs!$C$10)^2</x:f>
        <x:v>403.24</x:v>
      </x:c>
      <x:c r="C14" s="40" t="n">
        <x:f>B14</x:f>
        <x:v>403.24</x:v>
      </x:c>
      <x:c r="D14" s="40" t="n">
        <x:f>SQRT(A14^2+Inputs!$C$6^2+B14^2)</x:f>
        <x:v>407.6070382120505</x:v>
      </x:c>
      <x:c r="E14" s="40" t="n">
        <x:f>(D14-C14)*1000</x:f>
        <x:v>4367.038212050488</x:v>
      </x:c>
      <x:c r="F14" s="40" t="n">
        <x:f>E14/Inputs!$C$12</x:f>
        <x:v>2453.3922539609484</x:v>
      </x:c>
      <x:c r="G14" s="40" t="n">
        <x:f>2*E14/Inputs!$C$21*1000000</x:f>
        <x:v>29.133742997967538</x:v>
      </x:c>
      <x:c r="H14" s="40" t="n">
        <x:f>SQRT(A14^2+Inputs!$C$6^2)</x:f>
        <x:v>59.50630218724736</x:v>
      </x:c>
      <x:c r="I14" s="40" t="n">
        <x:f>DEGREES(ATAN(H14/B14))</x:f>
        <x:v>8.394576667627003</x:v>
      </x:c>
      <x:c r="J14" s="40" t="n">
        <x:f>DEGREES((2*PI()/Inputs!$C$13)*Inputs!$C$15*SIN(RADIANS(I14)))</x:f>
        <x:v>52.55617979850606</x:v>
      </x:c>
      <x:c r="K14" s="40" t="n">
        <x:f>(C14/D14)^4</x:f>
        <x:v>0.9578284367610922</x:v>
      </x:c>
      <x:c r="L14" s="40" t="n">
        <x:f>10*LOG10(K14)</x:f>
        <x:v>-0.187122734271587</x:v>
      </x:c>
      <x:c r="M14" s="40" t="n">
        <x:f>2*(Inputs!$C$9/(Inputs!$C$10^2))*A14</x:f>
        <x:v>-0.12</x:v>
      </x:c>
      <x:c r="N14" s="40" t="n">
        <x:f>M14*Inputs!$C$11</x:f>
        <x:v>-0.48</x:v>
      </x:c>
      <x:c r="O14" s="40" t="n">
        <x:f>1000*((A14*Inputs!$C$11)+(B14*N14))/D14</x:f>
        <x:v>-1004.7795096877988</x:v>
      </x:c>
      <x:c r="P14" s="40" t="n">
        <x:f>-2*O14/Inputs!$C$13</x:f>
        <x:v>401.9118038751195</x:v>
      </x:c>
      <x:c r="Q14" s="40" t="n">
        <x:f>-2*O14/Inputs!$C$14</x:f>
        <x:v>60.347117698966905</x:v>
      </x:c>
      <x:c r="R14" s="40" t="n">
        <x:f>F14-Inputs!$C$16/2</x:f>
        <x:v>2438.3922539609484</x:v>
      </x:c>
      <x:c r="S14" s="40" t="n">
        <x:f>F14+Inputs!$C$16/2</x:f>
        <x:v>2468.3922539609484</x:v>
      </x:c>
      <x:c r="T14" s="40" t="n">
        <x:f>F14-Inputs!$C$17/2</x:f>
        <x:v>2303.3922539609484</x:v>
      </x:c>
      <x:c r="U14" s="40" t="n">
        <x:f>F14+Inputs!$C$17/2</x:f>
        <x:v>2603.3922539609484</x:v>
      </x:c>
      <x:c r="V14" s="40" t="n">
        <x:f>ABS(P14)</x:f>
        <x:v>401.9118038751195</x:v>
      </x:c>
      <x:c r="W14" s="40" t="n">
        <x:f>ABS(Q14)</x:f>
        <x:v>60.347117698966905</x:v>
      </x:c>
      <x:c r="X14" s="40" t="n">
        <x:f>IF(Inputs!$C$27="ON",1,0)*(Inputs!$C$28*EXP(-(((A14)-Inputs!$C$29)^2)/(2*Inputs!$C$31^2))*EXP(-(((0)-Inputs!$C$30)^2)/(2*Inputs!$C$32^2))+-Inputs!$C$33*EXP(-(((((A14)-Inputs!$C$34)^2)+(((0)-Inputs!$C$35)^2))/(2*Inputs!$C$36^2)))+Inputs!$C$37*(0.55*SIN(2*PI()*(A14)/Inputs!$C$39)+0.35*COS(2*PI()*(0)/Inputs!$C$40)+0.2*SIN(2*PI()*((A14)+(0))/(0.5*(Inputs!$C$39+Inputs!$C$40))))+Inputs!$C$38*SIN(2*PI()*(A14)/Inputs!$C$39)*SIN(2*PI()*(0)/Inputs!$C$40)+-Inputs!$C$41*EXP(-(((0)-Inputs!$C$43)^2)/(2*Inputs!$C$44^2))*EXP(-(((A14)-Inputs!$C$42)^2)/(2*Inputs!$C$45^2)))</x:f>
        <x:v>28.896230001426368</x:v>
      </x:c>
      <x:c r="Y14" s="40" t="n">
        <x:f>IF(Inputs!$C$27="ON",1,0)*(Inputs!$C$28*EXP(-(((A14)-Inputs!$C$29)^2)/(2*Inputs!$C$31^2))*EXP(-(((Inputs!$C$6)-Inputs!$C$30)^2)/(2*Inputs!$C$32^2))+-Inputs!$C$33*EXP(-(((((A14)-Inputs!$C$34)^2)+(((Inputs!$C$6)-Inputs!$C$35)^2))/(2*Inputs!$C$36^2)))+Inputs!$C$37*(0.55*SIN(2*PI()*(A14)/Inputs!$C$39)+0.35*COS(2*PI()*(Inputs!$C$6)/Inputs!$C$40)+0.2*SIN(2*PI()*((A14)+(Inputs!$C$6))/(0.5*(Inputs!$C$39+Inputs!$C$40))))+Inputs!$C$38*SIN(2*PI()*(A14)/Inputs!$C$39)*SIN(2*PI()*(Inputs!$C$6)/Inputs!$C$40)+-Inputs!$C$41*EXP(-(((Inputs!$C$6)-Inputs!$C$43)^2)/(2*Inputs!$C$44^2))*EXP(-(((A14)-Inputs!$C$42)^2)/(2*Inputs!$C$45^2)))</x:f>
        <x:v>52.834728149479304</x:v>
      </x:c>
      <x:c r="Z14" s="40" t="n">
        <x:f>B14-X14/1000</x:f>
        <x:v>403.2111037699986</x:v>
      </x:c>
      <x:c r="AA14" s="40" t="n">
        <x:f>SQRT(A14^2+Inputs!$C$6^2+(B14-Y14/1000)^2)</x:f>
        <x:v>407.5547696199254</x:v>
      </x:c>
      <x:c r="AB14" s="40" t="n">
        <x:f>(AA14-Z14)*1000</x:f>
        <x:v>4343.6658499268215</x:v>
      </x:c>
      <x:c r="AC14" s="40" t="n">
        <x:f>AB14/Inputs!$C$12</x:f>
        <x:v>2440.2617134420343</x:v>
      </x:c>
      <x:c r="AD14" s="40" t="n">
        <x:f>2*AB14/Inputs!$C$21*1000000</x:f>
        <x:v>28.977819381479048</x:v>
      </x:c>
      <x:c r="AE14" s="40" t="n">
        <x:f>DEGREES(ATAN(H14/(B14-Y14/1000)))</x:f>
        <x:v>8.395661037438646</x:v>
      </x:c>
      <x:c r="AF14" s="40" t="n">
        <x:f>DEGREES((2*PI()/Inputs!$C$13)*Inputs!$C$15*SIN(RADIANS(AE14)))</x:f>
        <x:v>52.5629200889659</x:v>
      </x:c>
      <x:c r="AG14" s="40" t="n">
        <x:f>(Z14/AA14)^4</x:f>
        <x:v>0.9580452306162518</x:v>
      </x:c>
      <x:c r="AH14" s="40" t="n">
        <x:f>10*LOG10(AG14)</x:f>
        <x:v>-0.18613986805226</x:v>
      </x:c>
      <x:c r="AI14" s="40" t="n">
        <x:f>AC14-F14</x:f>
        <x:v>-13.130540518914131</x:v>
      </x:c>
      <x:c r="AJ14" s="40" t="n">
        <x:f>AD14-G14</x:f>
        <x:v>-0.15592361648849007</x:v>
      </x:c>
      <x:c r="AK14" s="40" t="n">
        <x:f>Y14-X14</x:f>
        <x:v>23.938498148052936</x:v>
      </x:c>
      <x:c r="AL14" s="40" t="n">
        <x:f>1000*(AA15-AA13)/(A15-A13)*Inputs!$C$11</x:f>
        <x:v>-1107.8981264415688</x:v>
      </x:c>
      <x:c r="AM14" s="40" t="n">
        <x:f>-2*AL14/Inputs!$C$13</x:f>
        <x:v>443.1592505766275</x:v>
      </x:c>
      <x:c r="AN14" s="40" t="n">
        <x:f>-2*AL14/Inputs!$C$14</x:f>
        <x:v>66.54042801450865</x:v>
      </x:c>
      <x:c r="AO14" s="40" t="n">
        <x:f>ABS(AM14)</x:f>
        <x:v>443.1592505766275</x:v>
      </x:c>
      <x:c r="AP14" s="40" t="n">
        <x:f>ABS(AN14)</x:f>
        <x:v>66.54042801450865</x:v>
      </x:c>
      <x:c r="AQ14" s="40" t="n">
        <x:f>IF(Inputs!$C$27="ON",Inputs!$C$46/Inputs!$C$12,0)</x:f>
        <x:v>42.13483146067416</x:v>
      </x:c>
      <x:c r="AR14" s="40" t="n">
        <x:f>AC14-AQ14</x:f>
        <x:v>2398.12688198136</x:v>
      </x:c>
      <x:c r="AS14" s="40" t="n">
        <x:f>AC14+AQ14</x:f>
        <x:v>2482.3965449027087</x:v>
      </x:c>
    </x:row>
    <x:row r="15">
      <x:c r="A15" s="40" t="n">
        <x:f>Inputs!$C$7+13*(Inputs!$C$8-Inputs!$C$7)/240</x:f>
        <x:v>-53.5</x:v>
      </x:c>
      <x:c r="B15" s="40" t="n">
        <x:f>Inputs!$C$5+Inputs!$C$9*(A15/Inputs!$C$10)^2</x:f>
        <x:v>403.1802777777778</x:v>
      </x:c>
      <x:c r="C15" s="40" t="n">
        <x:f>B15</x:f>
        <x:v>403.1802777777778</x:v>
      </x:c>
      <x:c r="D15" s="40" t="n">
        <x:f>SQRT(A15^2+Inputs!$C$6^2+B15^2)</x:f>
        <x:v>407.48200744200483</x:v>
      </x:c>
      <x:c r="E15" s="40" t="n">
        <x:f>(D15-C15)*1000</x:f>
        <x:v>4301.729664227025</x:v>
      </x:c>
      <x:c r="F15" s="40" t="n">
        <x:f>E15/Inputs!$C$12</x:f>
        <x:v>2416.7020585545083</x:v>
      </x:c>
      <x:c r="G15" s="40" t="n">
        <x:f>2*E15/Inputs!$C$21*1000000</x:f>
        <x:v>28.69805126469876</x:v>
      </x:c>
      <x:c r="H15" s="40" t="n">
        <x:f>SQRT(A15^2+Inputs!$C$6^2)</x:f>
        <x:v>59.052942348370756</x:v>
      </x:c>
      <x:c r="I15" s="40" t="n">
        <x:f>DEGREES(ATAN(H15/B15))</x:f>
        <x:v>8.33273894188251</x:v>
      </x:c>
      <x:c r="J15" s="40" t="n">
        <x:f>DEGREES((2*PI()/Inputs!$C$13)*Inputs!$C$15*SIN(RADIANS(I15)))</x:f>
        <x:v>52.17177410818362</x:v>
      </x:c>
      <x:c r="K15" s="40" t="n">
        <x:f>(C15/D15)^4</x:f>
        <x:v>0.9584365580404887</x:v>
      </x:c>
      <x:c r="L15" s="40" t="n">
        <x:f>10*LOG10(K15)</x:f>
        <x:v>-0.184366291654807</x:v>
      </x:c>
      <x:c r="M15" s="40" t="n">
        <x:f>2*(Inputs!$C$9/(Inputs!$C$10^2))*A15</x:f>
        <x:v>-0.11888888888888889</x:v>
      </x:c>
      <x:c r="N15" s="40" t="n">
        <x:f>M15*Inputs!$C$11</x:f>
        <x:v>-0.47555555555555556</x:v>
      </x:c>
      <x:c r="O15" s="40" t="n">
        <x:f>1000*((A15*Inputs!$C$11)+(B15*N15))/D15</x:f>
        <x:v>-995.7117457398431</x:v>
      </x:c>
      <x:c r="P15" s="40" t="n">
        <x:f>-2*O15/Inputs!$C$13</x:f>
        <x:v>398.28469829593723</x:v>
      </x:c>
      <x:c r="Q15" s="40" t="n">
        <x:f>-2*O15/Inputs!$C$14</x:f>
        <x:v>59.80250725164223</x:v>
      </x:c>
      <x:c r="R15" s="40" t="n">
        <x:f>F15-Inputs!$C$16/2</x:f>
        <x:v>2401.7020585545083</x:v>
      </x:c>
      <x:c r="S15" s="40" t="n">
        <x:f>F15+Inputs!$C$16/2</x:f>
        <x:v>2431.7020585545083</x:v>
      </x:c>
      <x:c r="T15" s="40" t="n">
        <x:f>F15-Inputs!$C$17/2</x:f>
        <x:v>2266.7020585545083</x:v>
      </x:c>
      <x:c r="U15" s="40" t="n">
        <x:f>F15+Inputs!$C$17/2</x:f>
        <x:v>2566.7020585545083</x:v>
      </x:c>
      <x:c r="V15" s="40" t="n">
        <x:f>ABS(P15)</x:f>
        <x:v>398.28469829593723</x:v>
      </x:c>
      <x:c r="W15" s="40" t="n">
        <x:f>ABS(Q15)</x:f>
        <x:v>59.80250725164223</x:v>
      </x:c>
      <x:c r="X15" s="40" t="n">
        <x:f>IF(Inputs!$C$27="ON",1,0)*(Inputs!$C$28*EXP(-(((A15)-Inputs!$C$29)^2)/(2*Inputs!$C$31^2))*EXP(-(((0)-Inputs!$C$30)^2)/(2*Inputs!$C$32^2))+-Inputs!$C$33*EXP(-(((((A15)-Inputs!$C$34)^2)+(((0)-Inputs!$C$35)^2))/(2*Inputs!$C$36^2)))+Inputs!$C$37*(0.55*SIN(2*PI()*(A15)/Inputs!$C$39)+0.35*COS(2*PI()*(0)/Inputs!$C$40)+0.2*SIN(2*PI()*((A15)+(0))/(0.5*(Inputs!$C$39+Inputs!$C$40))))+Inputs!$C$38*SIN(2*PI()*(A15)/Inputs!$C$39)*SIN(2*PI()*(0)/Inputs!$C$40)+-Inputs!$C$41*EXP(-(((0)-Inputs!$C$43)^2)/(2*Inputs!$C$44^2))*EXP(-(((A15)-Inputs!$C$42)^2)/(2*Inputs!$C$45^2)))</x:f>
        <x:v>32.7147858118972</x:v>
      </x:c>
      <x:c r="Y15" s="40" t="n">
        <x:f>IF(Inputs!$C$27="ON",1,0)*(Inputs!$C$28*EXP(-(((A15)-Inputs!$C$29)^2)/(2*Inputs!$C$31^2))*EXP(-(((Inputs!$C$6)-Inputs!$C$30)^2)/(2*Inputs!$C$32^2))+-Inputs!$C$33*EXP(-(((((A15)-Inputs!$C$34)^2)+(((Inputs!$C$6)-Inputs!$C$35)^2))/(2*Inputs!$C$36^2)))+Inputs!$C$37*(0.55*SIN(2*PI()*(A15)/Inputs!$C$39)+0.35*COS(2*PI()*(Inputs!$C$6)/Inputs!$C$40)+0.2*SIN(2*PI()*((A15)+(Inputs!$C$6))/(0.5*(Inputs!$C$39+Inputs!$C$40))))+Inputs!$C$38*SIN(2*PI()*(A15)/Inputs!$C$39)*SIN(2*PI()*(Inputs!$C$6)/Inputs!$C$40)+-Inputs!$C$41*EXP(-(((Inputs!$C$6)-Inputs!$C$43)^2)/(2*Inputs!$C$44^2))*EXP(-(((A15)-Inputs!$C$42)^2)/(2*Inputs!$C$45^2)))</x:f>
        <x:v>65.76489946712805</x:v>
      </x:c>
      <x:c r="Z15" s="40" t="n">
        <x:f>B15-X15/1000</x:f>
        <x:v>403.1475629919659</x:v>
      </x:c>
      <x:c r="AA15" s="40" t="n">
        <x:f>SQRT(A15^2+Inputs!$C$6^2+(B15-Y15/1000)^2)</x:f>
        <x:v>407.4169369247156</x:v>
      </x:c>
      <x:c r="AB15" s="40" t="n">
        <x:f>(AA15-Z15)*1000</x:f>
        <x:v>4269.373932749715</x:v>
      </x:c>
      <x:c r="AC15" s="40" t="n">
        <x:f>AB15/Inputs!$C$12</x:f>
        <x:v>2398.5246813200647</x:v>
      </x:c>
      <x:c r="AD15" s="40" t="n">
        <x:f>2*AB15/Inputs!$C$21*1000000</x:f>
        <x:v>28.482197058804694</x:v>
      </x:c>
      <x:c r="AE15" s="40" t="n">
        <x:f>DEGREES(ATAN(H15/(B15-Y15/1000)))</x:f>
        <x:v>8.334079269042682</x:v>
      </x:c>
      <x:c r="AF15" s="40" t="n">
        <x:f>DEGREES((2*PI()/Inputs!$C$13)*Inputs!$C$15*SIN(RADIANS(AE15)))</x:f>
        <x:v>52.18010671299564</x:v>
      </x:c>
      <x:c r="AG15" s="40" t="n">
        <x:f>(Z15/AA15)^4</x:f>
        <x:v>0.9587377727002837</x:v>
      </x:c>
      <x:c r="AH15" s="40" t="n">
        <x:f>10*LOG10(AG15)</x:f>
        <x:v>-0.183001617993198</x:v>
      </x:c>
      <x:c r="AI15" s="40" t="n">
        <x:f>AC15-F15</x:f>
        <x:v>-18.17737723444361</x:v>
      </x:c>
      <x:c r="AJ15" s="40" t="n">
        <x:f>AD15-G15</x:f>
        <x:v>-0.21585420589406468</x:v>
      </x:c>
      <x:c r="AK15" s="40" t="n">
        <x:f>Y15-X15</x:f>
        <x:v>33.050113655230845</x:v>
      </x:c>
      <x:c r="AL15" s="40" t="n">
        <x:f>1000*(AA16-AA14)/(A16-A14)*Inputs!$C$11</x:f>
        <x:v>-1095.906481721613</x:v>
      </x:c>
      <x:c r="AM15" s="40" t="n">
        <x:f>-2*AL15/Inputs!$C$13</x:f>
        <x:v>438.36259268864524</x:v>
      </x:c>
      <x:c r="AN15" s="40" t="n">
        <x:f>-2*AL15/Inputs!$C$14</x:f>
        <x:v>65.8202091124092</x:v>
      </x:c>
      <x:c r="AO15" s="40" t="n">
        <x:f>ABS(AM15)</x:f>
        <x:v>438.36259268864524</x:v>
      </x:c>
      <x:c r="AP15" s="40" t="n">
        <x:f>ABS(AN15)</x:f>
        <x:v>65.8202091124092</x:v>
      </x:c>
      <x:c r="AQ15" s="40" t="n">
        <x:f>IF(Inputs!$C$27="ON",Inputs!$C$46/Inputs!$C$12,0)</x:f>
        <x:v>42.13483146067416</x:v>
      </x:c>
      <x:c r="AR15" s="40" t="n">
        <x:f>AC15-AQ15</x:f>
        <x:v>2356.3898498593903</x:v>
      </x:c>
      <x:c r="AS15" s="40" t="n">
        <x:f>AC15+AQ15</x:f>
        <x:v>2440.659512780739</x:v>
      </x:c>
    </x:row>
    <x:row r="16">
      <x:c r="A16" s="40" t="n">
        <x:f>Inputs!$C$7+14*(Inputs!$C$8-Inputs!$C$7)/240</x:f>
        <x:v>-53</x:v>
      </x:c>
      <x:c r="B16" s="40" t="n">
        <x:f>Inputs!$C$5+Inputs!$C$9*(A16/Inputs!$C$10)^2</x:f>
        <x:v>403.12111111111113</x:v>
      </x:c>
      <x:c r="C16" s="40" t="n">
        <x:f>B16</x:f>
        <x:v>403.12111111111113</x:v>
      </x:c>
      <x:c r="D16" s="40" t="n">
        <x:f>SQRT(A16^2+Inputs!$C$6^2+B16^2)</x:f>
        <x:v>407.3581105409058</x:v>
      </x:c>
      <x:c r="E16" s="40" t="n">
        <x:f>(D16-C16)*1000</x:f>
        <x:v>4236.9994297946505</x:v>
      </x:c>
      <x:c r="F16" s="40" t="n">
        <x:f>E16/Inputs!$C$12</x:f>
        <x:v>2380.3367583116014</x:v>
      </x:c>
      <x:c r="G16" s="40" t="n">
        <x:f>2*E16/Inputs!$C$21*1000000</x:f>
        <x:v>28.266217623090775</x:v>
      </x:c>
      <x:c r="H16" s="40" t="n">
        <x:f>SQRT(A16^2+Inputs!$C$6^2)</x:f>
        <x:v>58.60034129593445</x:v>
      </x:c>
      <x:c r="I16" s="40" t="n">
        <x:f>DEGREES(ATAN(H16/B16))</x:f>
        <x:v>8.27095770254524</x:v>
      </x:c>
      <x:c r="J16" s="40" t="n">
        <x:f>DEGREES((2*PI()/Inputs!$C$13)*Inputs!$C$15*SIN(RADIANS(I16)))</x:f>
        <x:v>51.78765886979433</x:v>
      </x:c>
      <x:c r="K16" s="40" t="n">
        <x:f>(C16/D16)^4</x:f>
        <x:v>0.9590399513018042</x:v>
      </x:c>
      <x:c r="L16" s="40" t="n">
        <x:f>10*LOG10(K16)</x:f>
        <x:v>-0.18163300787083397</x:v>
      </x:c>
      <x:c r="M16" s="40" t="n">
        <x:f>2*(Inputs!$C$9/(Inputs!$C$10^2))*A16</x:f>
        <x:v>-0.11777777777777777</x:v>
      </x:c>
      <x:c r="N16" s="40" t="n">
        <x:f>M16*Inputs!$C$11</x:f>
        <x:v>-0.4711111111111111</x:v>
      </x:c>
      <x:c r="O16" s="40" t="n">
        <x:f>1000*((A16*Inputs!$C$11)+(B16*N16))/D16</x:f>
        <x:v>-986.6376148353185</x:v>
      </x:c>
      <x:c r="P16" s="40" t="n">
        <x:f>-2*O16/Inputs!$C$13</x:f>
        <x:v>394.6550459341274</x:v>
      </x:c>
      <x:c r="Q16" s="40" t="n">
        <x:f>-2*O16/Inputs!$C$14</x:f>
        <x:v>59.25751440452363</x:v>
      </x:c>
      <x:c r="R16" s="40" t="n">
        <x:f>F16-Inputs!$C$16/2</x:f>
        <x:v>2365.3367583116014</x:v>
      </x:c>
      <x:c r="S16" s="40" t="n">
        <x:f>F16+Inputs!$C$16/2</x:f>
        <x:v>2395.3367583116014</x:v>
      </x:c>
      <x:c r="T16" s="40" t="n">
        <x:f>F16-Inputs!$C$17/2</x:f>
        <x:v>2230.3367583116014</x:v>
      </x:c>
      <x:c r="U16" s="40" t="n">
        <x:f>F16+Inputs!$C$17/2</x:f>
        <x:v>2530.3367583116014</x:v>
      </x:c>
      <x:c r="V16" s="40" t="n">
        <x:f>ABS(P16)</x:f>
        <x:v>394.6550459341274</x:v>
      </x:c>
      <x:c r="W16" s="40" t="n">
        <x:f>ABS(Q16)</x:f>
        <x:v>59.25751440452363</x:v>
      </x:c>
      <x:c r="X16" s="40" t="n">
        <x:f>IF(Inputs!$C$27="ON",1,0)*(Inputs!$C$28*EXP(-(((A16)-Inputs!$C$29)^2)/(2*Inputs!$C$31^2))*EXP(-(((0)-Inputs!$C$30)^2)/(2*Inputs!$C$32^2))+-Inputs!$C$33*EXP(-(((((A16)-Inputs!$C$34)^2)+(((0)-Inputs!$C$35)^2))/(2*Inputs!$C$36^2)))+Inputs!$C$37*(0.55*SIN(2*PI()*(A16)/Inputs!$C$39)+0.35*COS(2*PI()*(0)/Inputs!$C$40)+0.2*SIN(2*PI()*((A16)+(0))/(0.5*(Inputs!$C$39+Inputs!$C$40))))+Inputs!$C$38*SIN(2*PI()*(A16)/Inputs!$C$39)*SIN(2*PI()*(0)/Inputs!$C$40)+-Inputs!$C$41*EXP(-(((0)-Inputs!$C$43)^2)/(2*Inputs!$C$44^2))*EXP(-(((A16)-Inputs!$C$42)^2)/(2*Inputs!$C$45^2)))</x:f>
        <x:v>36.11267993726736</x:v>
      </x:c>
      <x:c r="Y16" s="40" t="n">
        <x:f>IF(Inputs!$C$27="ON",1,0)*(Inputs!$C$28*EXP(-(((A16)-Inputs!$C$29)^2)/(2*Inputs!$C$31^2))*EXP(-(((Inputs!$C$6)-Inputs!$C$30)^2)/(2*Inputs!$C$32^2))+-Inputs!$C$33*EXP(-(((((A16)-Inputs!$C$34)^2)+(((Inputs!$C$6)-Inputs!$C$35)^2))/(2*Inputs!$C$36^2)))+Inputs!$C$37*(0.55*SIN(2*PI()*(A16)/Inputs!$C$39)+0.35*COS(2*PI()*(Inputs!$C$6)/Inputs!$C$40)+0.2*SIN(2*PI()*((A16)+(Inputs!$C$6))/(0.5*(Inputs!$C$39+Inputs!$C$40))))+Inputs!$C$38*SIN(2*PI()*(A16)/Inputs!$C$39)*SIN(2*PI()*(Inputs!$C$6)/Inputs!$C$40)+-Inputs!$C$41*EXP(-(((Inputs!$C$6)-Inputs!$C$43)^2)/(2*Inputs!$C$44^2))*EXP(-(((A16)-Inputs!$C$42)^2)/(2*Inputs!$C$45^2)))</x:f>
        <x:v>78.13034318170592</x:v>
      </x:c>
      <x:c r="Z16" s="40" t="n">
        <x:f>B16-X16/1000</x:f>
        <x:v>403.08499843117386</x:v>
      </x:c>
      <x:c r="AA16" s="40" t="n">
        <x:f>SQRT(A16^2+Inputs!$C$6^2+(B16-Y16/1000)^2)</x:f>
        <x:v>407.280792999495</x:v>
      </x:c>
      <x:c r="AB16" s="40" t="n">
        <x:f>(AA16-Z16)*1000</x:f>
        <x:v>4195.794568321162</x:v>
      </x:c>
      <x:c r="AC16" s="40" t="n">
        <x:f>AB16/Inputs!$C$12</x:f>
        <x:v>2357.18795973099</x:v>
      </x:c>
      <x:c r="AD16" s="40" t="n">
        <x:f>2*AB16/Inputs!$C$21*1000000</x:f>
        <x:v>27.99132837638739</x:v>
      </x:c>
      <x:c r="AE16" s="40" t="n">
        <x:f>DEGREES(ATAN(H16/(B16-Y16/1000)))</x:f>
        <x:v>8.272538849414953</x:v>
      </x:c>
      <x:c r="AF16" s="40" t="n">
        <x:f>DEGREES((2*PI()/Inputs!$C$13)*Inputs!$C$15*SIN(RADIANS(AE16)))</x:f>
        <x:v>51.79749015702432</x:v>
      </x:c>
      <x:c r="AG16" s="40" t="n">
        <x:f>(Z16/AA16)^4</x:f>
        <x:v>0.9594245408173377</x:v>
      </x:c>
      <x:c r="AH16" s="40" t="n">
        <x:f>10*LOG10(AG16)</x:f>
        <x:v>-0.17989177046646598</x:v>
      </x:c>
      <x:c r="AI16" s="40" t="n">
        <x:f>AC16-F16</x:f>
        <x:v>-23.148798580611583</x:v>
      </x:c>
      <x:c r="AJ16" s="40" t="n">
        <x:f>AD16-G16</x:f>
        <x:v>-0.27488924670338477</x:v>
      </x:c>
      <x:c r="AK16" s="40" t="n">
        <x:f>Y16-X16</x:f>
        <x:v>42.017663244438566</x:v>
      </x:c>
      <x:c r="AL16" s="40" t="n">
        <x:f>1000*(AA17-AA15)/(A17-A15)*Inputs!$C$11</x:f>
        <x:v>-1080.9684120986276</x:v>
      </x:c>
      <x:c r="AM16" s="40" t="n">
        <x:f>-2*AL16/Inputs!$C$13</x:f>
        <x:v>432.38736483945104</x:v>
      </x:c>
      <x:c r="AN16" s="40" t="n">
        <x:f>-2*AL16/Inputs!$C$14</x:f>
        <x:v>64.92302775367133</x:v>
      </x:c>
      <x:c r="AO16" s="40" t="n">
        <x:f>ABS(AM16)</x:f>
        <x:v>432.38736483945104</x:v>
      </x:c>
      <x:c r="AP16" s="40" t="n">
        <x:f>ABS(AN16)</x:f>
        <x:v>64.92302775367133</x:v>
      </x:c>
      <x:c r="AQ16" s="40" t="n">
        <x:f>IF(Inputs!$C$27="ON",Inputs!$C$46/Inputs!$C$12,0)</x:f>
        <x:v>42.13483146067416</x:v>
      </x:c>
      <x:c r="AR16" s="40" t="n">
        <x:f>AC16-AQ16</x:f>
        <x:v>2315.0531282703155</x:v>
      </x:c>
      <x:c r="AS16" s="40" t="n">
        <x:f>AC16+AQ16</x:f>
        <x:v>2399.3227911916642</x:v>
      </x:c>
    </x:row>
    <x:row r="17">
      <x:c r="A17" s="40" t="n">
        <x:f>Inputs!$C$7+15*(Inputs!$C$8-Inputs!$C$7)/240</x:f>
        <x:v>-52.5</x:v>
      </x:c>
      <x:c r="B17" s="40" t="n">
        <x:f>Inputs!$C$5+Inputs!$C$9*(A17/Inputs!$C$10)^2</x:f>
        <x:v>403.0625</x:v>
      </x:c>
      <x:c r="C17" s="40" t="n">
        <x:f>B17</x:f>
        <x:v>403.0625</x:v>
      </x:c>
      <x:c r="D17" s="40" t="n">
        <x:f>SQRT(A17^2+Inputs!$C$6^2+B17^2)</x:f>
        <x:v>407.2353483015073</x:v>
      </x:c>
      <x:c r="E17" s="40" t="n">
        <x:f>(D17-C17)*1000</x:f>
        <x:v>4172.848301507315</x:v>
      </x:c>
      <x:c r="F17" s="40" t="n">
        <x:f>E17/Inputs!$C$12</x:f>
        <x:v>2344.296798599615</x:v>
      </x:c>
      <x:c r="G17" s="40" t="n">
        <x:f>2*E17/Inputs!$C$21*1000000</x:f>
        <x:v>27.838247361828664</x:v>
      </x:c>
      <x:c r="H17" s="40" t="n">
        <x:f>SQRT(A17^2+Inputs!$C$6^2)</x:f>
        <x:v>58.148516748065035</x:v>
      </x:c>
      <x:c r="I17" s="40" t="n">
        <x:f>DEGREES(ATAN(H17/B17))</x:f>
        <x:v>8.2092359122646</x:v>
      </x:c>
      <x:c r="J17" s="40" t="n">
        <x:f>DEGREES((2*PI()/Inputs!$C$13)*Inputs!$C$15*SIN(RADIANS(I17)))</x:f>
        <x:v>51.403853119854354</x:v>
      </x:c>
      <x:c r="K17" s="40" t="n">
        <x:f>(C17/D17)^4</x:f>
        <x:v>0.9596385924334114</x:v>
      </x:c>
      <x:c r="L17" s="40" t="n">
        <x:f>10*LOG10(K17)</x:f>
        <x:v>-0.178922949436266</x:v>
      </x:c>
      <x:c r="M17" s="40" t="n">
        <x:f>2*(Inputs!$C$9/(Inputs!$C$10^2))*A17</x:f>
        <x:v>-0.11666666666666667</x:v>
      </x:c>
      <x:c r="N17" s="40" t="n">
        <x:f>M17*Inputs!$C$11</x:f>
        <x:v>-0.4666666666666667</x:v>
      </x:c>
      <x:c r="O17" s="40" t="n">
        <x:f>1000*((A17*Inputs!$C$11)+(B17*N17))/D17</x:f>
        <x:v>-977.5571668660567</x:v>
      </x:c>
      <x:c r="P17" s="40" t="n">
        <x:f>-2*O17/Inputs!$C$13</x:f>
        <x:v>391.02286674642266</x:v>
      </x:c>
      <x:c r="Q17" s="40" t="n">
        <x:f>-2*O17/Inputs!$C$14</x:f>
        <x:v>58.71214215411752</x:v>
      </x:c>
      <x:c r="R17" s="40" t="n">
        <x:f>F17-Inputs!$C$16/2</x:f>
        <x:v>2329.296798599615</x:v>
      </x:c>
      <x:c r="S17" s="40" t="n">
        <x:f>F17+Inputs!$C$16/2</x:f>
        <x:v>2359.296798599615</x:v>
      </x:c>
      <x:c r="T17" s="40" t="n">
        <x:f>F17-Inputs!$C$17/2</x:f>
        <x:v>2194.296798599615</x:v>
      </x:c>
      <x:c r="U17" s="40" t="n">
        <x:f>F17+Inputs!$C$17/2</x:f>
        <x:v>2494.296798599615</x:v>
      </x:c>
      <x:c r="V17" s="40" t="n">
        <x:f>ABS(P17)</x:f>
        <x:v>391.02286674642266</x:v>
      </x:c>
      <x:c r="W17" s="40" t="n">
        <x:f>ABS(Q17)</x:f>
        <x:v>58.71214215411752</x:v>
      </x:c>
      <x:c r="X17" s="40" t="n">
        <x:f>IF(Inputs!$C$27="ON",1,0)*(Inputs!$C$28*EXP(-(((A17)-Inputs!$C$29)^2)/(2*Inputs!$C$31^2))*EXP(-(((0)-Inputs!$C$30)^2)/(2*Inputs!$C$32^2))+-Inputs!$C$33*EXP(-(((((A17)-Inputs!$C$34)^2)+(((0)-Inputs!$C$35)^2))/(2*Inputs!$C$36^2)))+Inputs!$C$37*(0.55*SIN(2*PI()*(A17)/Inputs!$C$39)+0.35*COS(2*PI()*(0)/Inputs!$C$40)+0.2*SIN(2*PI()*((A17)+(0))/(0.5*(Inputs!$C$39+Inputs!$C$40))))+Inputs!$C$38*SIN(2*PI()*(A17)/Inputs!$C$39)*SIN(2*PI()*(0)/Inputs!$C$40)+-Inputs!$C$41*EXP(-(((0)-Inputs!$C$43)^2)/(2*Inputs!$C$44^2))*EXP(-(((A17)-Inputs!$C$42)^2)/(2*Inputs!$C$45^2)))</x:f>
        <x:v>39.01986627858052</x:v>
      </x:c>
      <x:c r="Y17" s="40" t="n">
        <x:f>IF(Inputs!$C$27="ON",1,0)*(Inputs!$C$28*EXP(-(((A17)-Inputs!$C$29)^2)/(2*Inputs!$C$31^2))*EXP(-(((Inputs!$C$6)-Inputs!$C$30)^2)/(2*Inputs!$C$32^2))+-Inputs!$C$33*EXP(-(((((A17)-Inputs!$C$34)^2)+(((Inputs!$C$6)-Inputs!$C$35)^2))/(2*Inputs!$C$36^2)))+Inputs!$C$37*(0.55*SIN(2*PI()*(A17)/Inputs!$C$39)+0.35*COS(2*PI()*(Inputs!$C$6)/Inputs!$C$40)+0.2*SIN(2*PI()*((A17)+(Inputs!$C$6))/(0.5*(Inputs!$C$39+Inputs!$C$40))))+Inputs!$C$38*SIN(2*PI()*(A17)/Inputs!$C$39)*SIN(2*PI()*(Inputs!$C$6)/Inputs!$C$40)+-Inputs!$C$41*EXP(-(((Inputs!$C$6)-Inputs!$C$43)^2)/(2*Inputs!$C$44^2))*EXP(-(((A17)-Inputs!$C$42)^2)/(2*Inputs!$C$45^2)))</x:f>
        <x:v>89.57149955207517</x:v>
      </x:c>
      <x:c r="Z17" s="40" t="n">
        <x:f>B17-X17/1000</x:f>
        <x:v>403.0234801337214</x:v>
      </x:c>
      <x:c r="AA17" s="40" t="n">
        <x:f>SQRT(A17^2+Inputs!$C$6^2+(B17-Y17/1000)^2)</x:f>
        <x:v>407.14669482169097</x:v>
      </x:c>
      <x:c r="AB17" s="40" t="n">
        <x:f>(AA17-Z17)*1000</x:f>
        <x:v>4123.21468796955</x:v>
      </x:c>
      <x:c r="AC17" s="40" t="n">
        <x:f>AB17/Inputs!$C$12</x:f>
        <x:v>2316.412746050309</x:v>
      </x:c>
      <x:c r="AD17" s="40" t="n">
        <x:f>2*AB17/Inputs!$C$21*1000000</x:f>
        <x:v>27.50712753400588</x:v>
      </x:c>
      <x:c r="AE17" s="40" t="n">
        <x:f>DEGREES(ATAN(H17/(B17-Y17/1000)))</x:f>
        <x:v>8.211035755736043</x:v>
      </x:c>
      <x:c r="AF17" s="40" t="n">
        <x:f>DEGREES((2*PI()/Inputs!$C$13)*Inputs!$C$15*SIN(RADIANS(AE17)))</x:f>
        <x:v>51.415045966346796</x:v>
      </x:c>
      <x:c r="AG17" s="40" t="n">
        <x:f>(Z17/AA17)^4</x:f>
        <x:v>0.9601028107444556</x:v>
      </x:c>
      <x:c r="AH17" s="40" t="n">
        <x:f>10*LOG10(AG17)</x:f>
        <x:v>-0.17682258889311403</x:v>
      </x:c>
      <x:c r="AI17" s="40" t="n">
        <x:f>AC17-F17</x:f>
        <x:v>-27.884052549306034</x:v>
      </x:c>
      <x:c r="AJ17" s="40" t="n">
        <x:f>AD17-G17</x:f>
        <x:v>-0.3311198278227856</x:v>
      </x:c>
      <x:c r="AK17" s="40" t="n">
        <x:f>Y17-X17</x:f>
        <x:v>50.551633273494645</x:v>
      </x:c>
      <x:c r="AL17" s="40" t="n">
        <x:f>1000*(AA18-AA16)/(A18-A16)*Inputs!$C$11</x:f>
        <x:v>-1063.3132548909998</x:v>
      </x:c>
      <x:c r="AM17" s="40" t="n">
        <x:f>-2*AL17/Inputs!$C$13</x:f>
        <x:v>425.3253019563999</x:v>
      </x:c>
      <x:c r="AN17" s="40" t="n">
        <x:f>-2*AL17/Inputs!$C$14</x:f>
        <x:v>63.86265795141141</x:v>
      </x:c>
      <x:c r="AO17" s="40" t="n">
        <x:f>ABS(AM17)</x:f>
        <x:v>425.3253019563999</x:v>
      </x:c>
      <x:c r="AP17" s="40" t="n">
        <x:f>ABS(AN17)</x:f>
        <x:v>63.86265795141141</x:v>
      </x:c>
      <x:c r="AQ17" s="40" t="n">
        <x:f>IF(Inputs!$C$27="ON",Inputs!$C$46/Inputs!$C$12,0)</x:f>
        <x:v>42.13483146067416</x:v>
      </x:c>
      <x:c r="AR17" s="40" t="n">
        <x:f>AC17-AQ17</x:f>
        <x:v>2274.2779145896347</x:v>
      </x:c>
      <x:c r="AS17" s="40" t="n">
        <x:f>AC17+AQ17</x:f>
        <x:v>2358.5475775109835</x:v>
      </x:c>
    </x:row>
    <x:row r="18">
      <x:c r="A18" s="40" t="n">
        <x:f>Inputs!$C$7+16*(Inputs!$C$8-Inputs!$C$7)/240</x:f>
        <x:v>-52</x:v>
      </x:c>
      <x:c r="B18" s="40" t="n">
        <x:f>Inputs!$C$5+Inputs!$C$9*(A18/Inputs!$C$10)^2</x:f>
        <x:v>403.00444444444446</x:v>
      </x:c>
      <x:c r="C18" s="40" t="n">
        <x:f>B18</x:f>
        <x:v>403.00444444444446</x:v>
      </x:c>
      <x:c r="D18" s="40" t="n">
        <x:f>SQRT(A18^2+Inputs!$C$6^2+B18^2)</x:f>
        <x:v>407.11372151031134</x:v>
      </x:c>
      <x:c r="E18" s="40" t="n">
        <x:f>(D18-C18)*1000</x:f>
        <x:v>4109.277065866877</x:v>
      </x:c>
      <x:c r="F18" s="40" t="n">
        <x:f>E18/Inputs!$C$12</x:f>
        <x:v>2308.5826212735265</x:v>
      </x:c>
      <x:c r="G18" s="40" t="n">
        <x:f>2*E18/Inputs!$C$21*1000000</x:f>
        <x:v>27.414145727888037</x:v>
      </x:c>
      <x:c r="H18" s="40" t="n">
        <x:f>SQRT(A18^2+Inputs!$C$6^2)</x:f>
        <x:v>57.697486947006624</x:v>
      </x:c>
      <x:c r="I18" s="40" t="n">
        <x:f>DEGREES(ATAN(H18/B18))</x:f>
        <x:v>8.147576610261819</x:v>
      </x:c>
      <x:c r="J18" s="40" t="n">
        <x:f>DEGREES((2*PI()/Inputs!$C$13)*Inputs!$C$15*SIN(RADIANS(I18)))</x:f>
        <x:v>51.02037638000933</x:v>
      </x:c>
      <x:c r="K18" s="40" t="n">
        <x:f>(C18/D18)^4</x:f>
        <x:v>0.96023245746443</x:v>
      </x:c>
      <x:c r="L18" s="40" t="n">
        <x:f>10*LOG10(K18)</x:f>
        <x:v>-0.17623618238275698</x:v>
      </x:c>
      <x:c r="M18" s="40" t="n">
        <x:f>2*(Inputs!$C$9/(Inputs!$C$10^2))*A18</x:f>
        <x:v>-0.11555555555555555</x:v>
      </x:c>
      <x:c r="N18" s="40" t="n">
        <x:f>M18*Inputs!$C$11</x:f>
        <x:v>-0.4622222222222222</x:v>
      </x:c>
      <x:c r="O18" s="40" t="n">
        <x:f>1000*((A18*Inputs!$C$11)+(B18*N18))/D18</x:f>
        <x:v>-968.4704519755594</x:v>
      </x:c>
      <x:c r="P18" s="40" t="n">
        <x:f>-2*O18/Inputs!$C$13</x:f>
        <x:v>387.38818079022377</x:v>
      </x:c>
      <x:c r="Q18" s="40" t="n">
        <x:f>-2*O18/Inputs!$C$14</x:f>
        <x:v>58.166393512045616</x:v>
      </x:c>
      <x:c r="R18" s="40" t="n">
        <x:f>F18-Inputs!$C$16/2</x:f>
        <x:v>2293.5826212735265</x:v>
      </x:c>
      <x:c r="S18" s="40" t="n">
        <x:f>F18+Inputs!$C$16/2</x:f>
        <x:v>2323.5826212735265</x:v>
      </x:c>
      <x:c r="T18" s="40" t="n">
        <x:f>F18-Inputs!$C$17/2</x:f>
        <x:v>2158.5826212735265</x:v>
      </x:c>
      <x:c r="U18" s="40" t="n">
        <x:f>F18+Inputs!$C$17/2</x:f>
        <x:v>2458.5826212735265</x:v>
      </x:c>
      <x:c r="V18" s="40" t="n">
        <x:f>ABS(P18)</x:f>
        <x:v>387.38818079022377</x:v>
      </x:c>
      <x:c r="W18" s="40" t="n">
        <x:f>ABS(Q18)</x:f>
        <x:v>58.166393512045616</x:v>
      </x:c>
      <x:c r="X18" s="40" t="n">
        <x:f>IF(Inputs!$C$27="ON",1,0)*(Inputs!$C$28*EXP(-(((A18)-Inputs!$C$29)^2)/(2*Inputs!$C$31^2))*EXP(-(((0)-Inputs!$C$30)^2)/(2*Inputs!$C$32^2))+-Inputs!$C$33*EXP(-(((((A18)-Inputs!$C$34)^2)+(((0)-Inputs!$C$35)^2))/(2*Inputs!$C$36^2)))+Inputs!$C$37*(0.55*SIN(2*PI()*(A18)/Inputs!$C$39)+0.35*COS(2*PI()*(0)/Inputs!$C$40)+0.2*SIN(2*PI()*((A18)+(0))/(0.5*(Inputs!$C$39+Inputs!$C$40))))+Inputs!$C$38*SIN(2*PI()*(A18)/Inputs!$C$39)*SIN(2*PI()*(0)/Inputs!$C$40)+-Inputs!$C$41*EXP(-(((0)-Inputs!$C$43)^2)/(2*Inputs!$C$44^2))*EXP(-(((A18)-Inputs!$C$42)^2)/(2*Inputs!$C$45^2)))</x:f>
        <x:v>41.38272038206525</x:v>
      </x:c>
      <x:c r="Y18" s="40" t="n">
        <x:f>IF(Inputs!$C$27="ON",1,0)*(Inputs!$C$28*EXP(-(((A18)-Inputs!$C$29)^2)/(2*Inputs!$C$31^2))*EXP(-(((Inputs!$C$6)-Inputs!$C$30)^2)/(2*Inputs!$C$32^2))+-Inputs!$C$33*EXP(-(((((A18)-Inputs!$C$34)^2)+(((Inputs!$C$6)-Inputs!$C$35)^2))/(2*Inputs!$C$36^2)))+Inputs!$C$37*(0.55*SIN(2*PI()*(A18)/Inputs!$C$39)+0.35*COS(2*PI()*(Inputs!$C$6)/Inputs!$C$40)+0.2*SIN(2*PI()*((A18)+(Inputs!$C$6))/(0.5*(Inputs!$C$39+Inputs!$C$40))))+Inputs!$C$38*SIN(2*PI()*(A18)/Inputs!$C$39)*SIN(2*PI()*(Inputs!$C$6)/Inputs!$C$40)+-Inputs!$C$41*EXP(-(((Inputs!$C$6)-Inputs!$C$43)^2)/(2*Inputs!$C$44^2))*EXP(-(((A18)-Inputs!$C$42)^2)/(2*Inputs!$C$45^2)))</x:f>
        <x:v>99.7640569358666</x:v>
      </x:c>
      <x:c r="Z18" s="40" t="n">
        <x:f>B18-X18/1000</x:f>
        <x:v>402.9630617240624</x:v>
      </x:c>
      <x:c r="AA18" s="40" t="n">
        <x:f>SQRT(A18^2+Inputs!$C$6^2+(B18-Y18/1000)^2)</x:f>
        <x:v>407.01496468577227</x:v>
      </x:c>
      <x:c r="AB18" s="40" t="n">
        <x:f>(AA18-Z18)*1000</x:f>
        <x:v>4051.9029617098568</x:v>
      </x:c>
      <x:c r="AC18" s="40" t="n">
        <x:f>AB18/Inputs!$C$12</x:f>
        <x:v>2276.3499784886835</x:v>
      </x:c>
      <x:c r="AD18" s="40" t="n">
        <x:f>2*AB18/Inputs!$C$21*1000000</x:f>
        <x:v>27.03138690506922</x:v>
      </x:c>
      <x:c r="AE18" s="40" t="n">
        <x:f>DEGREES(ATAN(H18/(B18-Y18/1000)))</x:f>
        <x:v>8.149566951375691</x:v>
      </x:c>
      <x:c r="AF18" s="40" t="n">
        <x:f>DEGREES((2*PI()/Inputs!$C$13)*Inputs!$C$15*SIN(RADIANS(AE18)))</x:f>
        <x:v>51.032755802869055</x:v>
      </x:c>
      <x:c r="AG18" s="40" t="n">
        <x:f>(Z18/AA18)^4</x:f>
        <x:v>0.9607700177836874</x:v>
      </x:c>
      <x:c r="AH18" s="40" t="n">
        <x:f>10*LOG10(AG18)</x:f>
        <x:v>-0.173805581803678</x:v>
      </x:c>
      <x:c r="AI18" s="40" t="n">
        <x:f>AC18-F18</x:f>
        <x:v>-32.23264278484294</x:v>
      </x:c>
      <x:c r="AJ18" s="40" t="n">
        <x:f>AD18-G18</x:f>
        <x:v>-0.38275882281881835</x:v>
      </x:c>
      <x:c r="AK18" s="40" t="n">
        <x:f>Y18-X18</x:f>
        <x:v>58.381336553801354</x:v>
      </x:c>
      <x:c r="AL18" s="40" t="n">
        <x:f>1000*(AA19-AA17)/(A19-A17)*Inputs!$C$11</x:f>
        <x:v>-1043.261424189268</x:v>
      </x:c>
      <x:c r="AM18" s="40" t="n">
        <x:f>-2*AL18/Inputs!$C$13</x:f>
        <x:v>417.30456967570717</x:v>
      </x:c>
      <x:c r="AN18" s="40" t="n">
        <x:f>-2*AL18/Inputs!$C$14</x:f>
        <x:v>62.65834379515123</x:v>
      </x:c>
      <x:c r="AO18" s="40" t="n">
        <x:f>ABS(AM18)</x:f>
        <x:v>417.30456967570717</x:v>
      </x:c>
      <x:c r="AP18" s="40" t="n">
        <x:f>ABS(AN18)</x:f>
        <x:v>62.65834379515123</x:v>
      </x:c>
      <x:c r="AQ18" s="40" t="n">
        <x:f>IF(Inputs!$C$27="ON",Inputs!$C$46/Inputs!$C$12,0)</x:f>
        <x:v>42.13483146067416</x:v>
      </x:c>
      <x:c r="AR18" s="40" t="n">
        <x:f>AC18-AQ18</x:f>
        <x:v>2234.215147028009</x:v>
      </x:c>
      <x:c r="AS18" s="40" t="n">
        <x:f>AC18+AQ18</x:f>
        <x:v>2318.484809949358</x:v>
      </x:c>
    </x:row>
    <x:row r="19">
      <x:c r="A19" s="40" t="n">
        <x:f>Inputs!$C$7+17*(Inputs!$C$8-Inputs!$C$7)/240</x:f>
        <x:v>-51.5</x:v>
      </x:c>
      <x:c r="B19" s="40" t="n">
        <x:f>Inputs!$C$5+Inputs!$C$9*(A19/Inputs!$C$10)^2</x:f>
        <x:v>402.94694444444445</x:v>
      </x:c>
      <x:c r="C19" s="40" t="n">
        <x:f>B19</x:f>
        <x:v>402.94694444444445</x:v>
      </x:c>
      <x:c r="D19" s="40" t="n">
        <x:f>SQRT(A19^2+Inputs!$C$6^2+B19^2)</x:f>
        <x:v>406.9932309475358</x:v>
      </x:c>
      <x:c r="E19" s="40" t="n">
        <x:f>(D19-C19)*1000</x:f>
        <x:v>4046.2865030913235</x:v>
      </x:c>
      <x:c r="F19" s="40" t="n">
        <x:f>E19/Inputs!$C$12</x:f>
        <x:v>2273.194664658047</x:v>
      </x:c>
      <x:c r="G19" s="40" t="n">
        <x:f>2*E19/Inputs!$C$21*1000000</x:f>
        <x:v>26.99391792632304</x:v>
      </x:c>
      <x:c r="H19" s="40" t="n">
        <x:f>SQRT(A19^2+Inputs!$C$6^2)</x:f>
        <x:v>57.24727067729954</x:v>
      </x:c>
      <x:c r="I19" s="40" t="n">
        <x:f>DEGREES(ATAN(H19/B19))</x:f>
        <x:v>8.085982914919201</x:v>
      </x:c>
      <x:c r="J19" s="40" t="n">
        <x:f>DEGREES((2*PI()/Inputs!$C$13)*Inputs!$C$15*SIN(RADIANS(I19)))</x:f>
        <x:v>50.63724867326966</x:v>
      </x:c>
      <x:c r="K19" s="40" t="n">
        <x:f>(C19/D19)^4</x:f>
        <x:v>0.9608215225668301</x:v>
      </x:c>
      <x:c r="L19" s="40" t="n">
        <x:f>10*LOG10(K19)</x:f>
        <x:v>-0.173572772253406</x:v>
      </x:c>
      <x:c r="M19" s="40" t="n">
        <x:f>2*(Inputs!$C$9/(Inputs!$C$10^2))*A19</x:f>
        <x:v>-0.11444444444444445</x:v>
      </x:c>
      <x:c r="N19" s="40" t="n">
        <x:f>M19*Inputs!$C$11</x:f>
        <x:v>-0.4577777777777778</x:v>
      </x:c>
      <x:c r="O19" s="40" t="n">
        <x:f>1000*((A19*Inputs!$C$11)+(B19*N19))/D19</x:f>
        <x:v>-959.377520557477</x:v>
      </x:c>
      <x:c r="P19" s="40" t="n">
        <x:f>-2*O19/Inputs!$C$13</x:f>
        <x:v>383.75100822299083</x:v>
      </x:c>
      <x:c r="Q19" s="40" t="n">
        <x:f>-2*O19/Inputs!$C$14</x:f>
        <x:v>57.62027150495358</x:v>
      </x:c>
      <x:c r="R19" s="40" t="n">
        <x:f>F19-Inputs!$C$16/2</x:f>
        <x:v>2258.194664658047</x:v>
      </x:c>
      <x:c r="S19" s="40" t="n">
        <x:f>F19+Inputs!$C$16/2</x:f>
        <x:v>2288.194664658047</x:v>
      </x:c>
      <x:c r="T19" s="40" t="n">
        <x:f>F19-Inputs!$C$17/2</x:f>
        <x:v>2123.194664658047</x:v>
      </x:c>
      <x:c r="U19" s="40" t="n">
        <x:f>F19+Inputs!$C$17/2</x:f>
        <x:v>2423.194664658047</x:v>
      </x:c>
      <x:c r="V19" s="40" t="n">
        <x:f>ABS(P19)</x:f>
        <x:v>383.75100822299083</x:v>
      </x:c>
      <x:c r="W19" s="40" t="n">
        <x:f>ABS(Q19)</x:f>
        <x:v>57.62027150495358</x:v>
      </x:c>
      <x:c r="X19" s="40" t="n">
        <x:f>IF(Inputs!$C$27="ON",1,0)*(Inputs!$C$28*EXP(-(((A19)-Inputs!$C$29)^2)/(2*Inputs!$C$31^2))*EXP(-(((0)-Inputs!$C$30)^2)/(2*Inputs!$C$32^2))+-Inputs!$C$33*EXP(-(((((A19)-Inputs!$C$34)^2)+(((0)-Inputs!$C$35)^2))/(2*Inputs!$C$36^2)))+Inputs!$C$37*(0.55*SIN(2*PI()*(A19)/Inputs!$C$39)+0.35*COS(2*PI()*(0)/Inputs!$C$40)+0.2*SIN(2*PI()*((A19)+(0))/(0.5*(Inputs!$C$39+Inputs!$C$40))))+Inputs!$C$38*SIN(2*PI()*(A19)/Inputs!$C$39)*SIN(2*PI()*(0)/Inputs!$C$40)+-Inputs!$C$41*EXP(-(((0)-Inputs!$C$43)^2)/(2*Inputs!$C$44^2))*EXP(-(((A19)-Inputs!$C$42)^2)/(2*Inputs!$C$45^2)))</x:f>
        <x:v>43.16408420550662</x:v>
      </x:c>
      <x:c r="Y19" s="40" t="n">
        <x:f>IF(Inputs!$C$27="ON",1,0)*(Inputs!$C$28*EXP(-(((A19)-Inputs!$C$29)^2)/(2*Inputs!$C$31^2))*EXP(-(((Inputs!$C$6)-Inputs!$C$30)^2)/(2*Inputs!$C$32^2))+-Inputs!$C$33*EXP(-(((((A19)-Inputs!$C$34)^2)+(((Inputs!$C$6)-Inputs!$C$35)^2))/(2*Inputs!$C$36^2)))+Inputs!$C$37*(0.55*SIN(2*PI()*(A19)/Inputs!$C$39)+0.35*COS(2*PI()*(Inputs!$C$6)/Inputs!$C$40)+0.2*SIN(2*PI()*((A19)+(Inputs!$C$6))/(0.5*(Inputs!$C$39+Inputs!$C$40))))+Inputs!$C$38*SIN(2*PI()*(A19)/Inputs!$C$39)*SIN(2*PI()*(Inputs!$C$6)/Inputs!$C$40)+-Inputs!$C$41*EXP(-(((Inputs!$C$6)-Inputs!$C$43)^2)/(2*Inputs!$C$44^2))*EXP(-(((A19)-Inputs!$C$42)^2)/(2*Inputs!$C$45^2)))</x:f>
        <x:v>108.42976575796148</x:v>
      </x:c>
      <x:c r="Z19" s="40" t="n">
        <x:f>B19-X19/1000</x:f>
        <x:v>402.90378036023895</x:v>
      </x:c>
      <x:c r="AA19" s="40" t="n">
        <x:f>SQRT(A19^2+Inputs!$C$6^2+(B19-Y19/1000)^2)</x:f>
        <x:v>406.88587946564365</x:v>
      </x:c>
      <x:c r="AB19" s="40" t="n">
        <x:f>(AA19-Z19)*1000</x:f>
        <x:v>3982.0991054047</x:v>
      </x:c>
      <x:c r="AC19" s="40" t="n">
        <x:f>AB19/Inputs!$C$12</x:f>
        <x:v>2237.134328879045</x:v>
      </x:c>
      <x:c r="AD19" s="40" t="n">
        <x:f>2*AB19/Inputs!$C$21*1000000</x:f>
        <x:v>26.56570570167379</x:v>
      </x:c>
      <x:c r="AE19" s="40" t="n">
        <x:f>DEGREES(ATAN(H19/(B19-Y19/1000)))</x:f>
        <x:v>8.088130577911393</x:v>
      </x:c>
      <x:c r="AF19" s="40" t="n">
        <x:f>DEGREES((2*PI()/Inputs!$C$13)*Inputs!$C$15*SIN(RADIANS(AE19)))</x:f>
        <x:v>50.650608644599096</x:v>
      </x:c>
      <x:c r="AG19" s="40" t="n">
        <x:f>(Z19/AA19)^4</x:f>
        <x:v>0.9614238592336776</x:v>
      </x:c>
      <x:c r="AH19" s="40" t="n">
        <x:f>10*LOG10(AG19)</x:f>
        <x:v>-0.170851043782126</x:v>
      </x:c>
      <x:c r="AI19" s="40" t="n">
        <x:f>AC19-F19</x:f>
        <x:v>-36.06033577900189</x:v>
      </x:c>
      <x:c r="AJ19" s="40" t="n">
        <x:f>AD19-G19</x:f>
        <x:v>-0.4282122246492506</x:v>
      </x:c>
      <x:c r="AK19" s="40" t="n">
        <x:f>Y19-X19</x:f>
        <x:v>65.26568155245485</x:v>
      </x:c>
      <x:c r="AL19" s="40" t="n">
        <x:f>1000*(AA20-AA18)/(A20-A18)*Inputs!$C$11</x:f>
        <x:v>-1021.2125893110624</x:v>
      </x:c>
      <x:c r="AM19" s="40" t="n">
        <x:f>-2*AL19/Inputs!$C$13</x:f>
        <x:v>408.48503572442496</x:v>
      </x:c>
      <x:c r="AN19" s="40" t="n">
        <x:f>-2*AL19/Inputs!$C$14</x:f>
        <x:v>61.33408944811186</x:v>
      </x:c>
      <x:c r="AO19" s="40" t="n">
        <x:f>ABS(AM19)</x:f>
        <x:v>408.48503572442496</x:v>
      </x:c>
      <x:c r="AP19" s="40" t="n">
        <x:f>ABS(AN19)</x:f>
        <x:v>61.33408944811186</x:v>
      </x:c>
      <x:c r="AQ19" s="40" t="n">
        <x:f>IF(Inputs!$C$27="ON",Inputs!$C$46/Inputs!$C$12,0)</x:f>
        <x:v>42.13483146067416</x:v>
      </x:c>
      <x:c r="AR19" s="40" t="n">
        <x:f>AC19-AQ19</x:f>
        <x:v>2194.9994974183705</x:v>
      </x:c>
      <x:c r="AS19" s="40" t="n">
        <x:f>AC19+AQ19</x:f>
        <x:v>2279.2691603397193</x:v>
      </x:c>
    </x:row>
    <x:row r="20">
      <x:c r="A20" s="40" t="n">
        <x:f>Inputs!$C$7+18*(Inputs!$C$8-Inputs!$C$7)/240</x:f>
        <x:v>-51</x:v>
      </x:c>
      <x:c r="B20" s="40" t="n">
        <x:f>Inputs!$C$5+Inputs!$C$9*(A20/Inputs!$C$10)^2</x:f>
        <x:v>402.89</x:v>
      </x:c>
      <x:c r="C20" s="40" t="n">
        <x:f>B20</x:f>
        <x:v>402.89</x:v>
      </x:c>
      <x:c r="D20" s="40" t="n">
        <x:f>SQRT(A20^2+Inputs!$C$6^2+B20^2)</x:f>
        <x:v>406.8738773870842</x:v>
      </x:c>
      <x:c r="E20" s="40" t="n">
        <x:f>(D20-C20)*1000</x:f>
        <x:v>3983.877387084192</x:v>
      </x:c>
      <x:c r="F20" s="40" t="n">
        <x:f>E20/Inputs!$C$12</x:f>
        <x:v>2238.133363530445</x:v>
      </x:c>
      <x:c r="G20" s="40" t="n">
        <x:f>2*E20/Inputs!$C$21*1000000</x:f>
        <x:v>26.577569120062332</x:v>
      </x:c>
      <x:c r="H20" s="40" t="n">
        <x:f>SQRT(A20^2+Inputs!$C$6^2)</x:f>
        <x:v>56.79788728465171</x:v>
      </x:c>
      <x:c r="I20" s="40" t="n">
        <x:f>DEGREES(ATAN(H20/B20))</x:f>
        <x:v>8.024458026468219</x:v>
      </x:c>
      <x:c r="J20" s="40" t="n">
        <x:f>DEGREES((2*PI()/Inputs!$C$13)*Inputs!$C$15*SIN(RADIANS(I20)))</x:f>
        <x:v>50.25449054086581</x:v>
      </x:c>
      <x:c r="K20" s="40" t="n">
        <x:f>(C20/D20)^4</x:f>
        <x:v>0.9614057640575286</x:v>
      </x:c>
      <x:c r="L20" s="40" t="n">
        <x:f>10*LOG10(K20)</x:f>
        <x:v>-0.170932784099163</x:v>
      </x:c>
      <x:c r="M20" s="40" t="n">
        <x:f>2*(Inputs!$C$9/(Inputs!$C$10^2))*A20</x:f>
        <x:v>-0.11333333333333333</x:v>
      </x:c>
      <x:c r="N20" s="40" t="n">
        <x:f>M20*Inputs!$C$11</x:f>
        <x:v>-0.4533333333333333</x:v>
      </x:c>
      <x:c r="O20" s="40" t="n">
        <x:f>1000*((A20*Inputs!$C$11)+(B20*N20))/D20</x:f>
        <x:v>-950.2784232540663</x:v>
      </x:c>
      <x:c r="P20" s="40" t="n">
        <x:f>-2*O20/Inputs!$C$13</x:f>
        <x:v>380.1113693016265</x:v>
      </x:c>
      <x:c r="Q20" s="40" t="n">
        <x:f>-2*O20/Inputs!$C$14</x:f>
        <x:v>57.0737791744184</x:v>
      </x:c>
      <x:c r="R20" s="40" t="n">
        <x:f>F20-Inputs!$C$16/2</x:f>
        <x:v>2223.133363530445</x:v>
      </x:c>
      <x:c r="S20" s="40" t="n">
        <x:f>F20+Inputs!$C$16/2</x:f>
        <x:v>2253.133363530445</x:v>
      </x:c>
      <x:c r="T20" s="40" t="n">
        <x:f>F20-Inputs!$C$17/2</x:f>
        <x:v>2088.133363530445</x:v>
      </x:c>
      <x:c r="U20" s="40" t="n">
        <x:f>F20+Inputs!$C$17/2</x:f>
        <x:v>2388.133363530445</x:v>
      </x:c>
      <x:c r="V20" s="40" t="n">
        <x:f>ABS(P20)</x:f>
        <x:v>380.1113693016265</x:v>
      </x:c>
      <x:c r="W20" s="40" t="n">
        <x:f>ABS(Q20)</x:f>
        <x:v>57.0737791744184</x:v>
      </x:c>
      <x:c r="X20" s="40" t="n">
        <x:f>IF(Inputs!$C$27="ON",1,0)*(Inputs!$C$28*EXP(-(((A20)-Inputs!$C$29)^2)/(2*Inputs!$C$31^2))*EXP(-(((0)-Inputs!$C$30)^2)/(2*Inputs!$C$32^2))+-Inputs!$C$33*EXP(-(((((A20)-Inputs!$C$34)^2)+(((0)-Inputs!$C$35)^2))/(2*Inputs!$C$36^2)))+Inputs!$C$37*(0.55*SIN(2*PI()*(A20)/Inputs!$C$39)+0.35*COS(2*PI()*(0)/Inputs!$C$40)+0.2*SIN(2*PI()*((A20)+(0))/(0.5*(Inputs!$C$39+Inputs!$C$40))))+Inputs!$C$38*SIN(2*PI()*(A20)/Inputs!$C$39)*SIN(2*PI()*(0)/Inputs!$C$40)+-Inputs!$C$41*EXP(-(((0)-Inputs!$C$43)^2)/(2*Inputs!$C$44^2))*EXP(-(((A20)-Inputs!$C$42)^2)/(2*Inputs!$C$45^2)))</x:f>
        <x:v>44.34280823075312</x:v>
      </x:c>
      <x:c r="Y20" s="40" t="n">
        <x:f>IF(Inputs!$C$27="ON",1,0)*(Inputs!$C$28*EXP(-(((A20)-Inputs!$C$29)^2)/(2*Inputs!$C$31^2))*EXP(-(((Inputs!$C$6)-Inputs!$C$30)^2)/(2*Inputs!$C$32^2))+-Inputs!$C$33*EXP(-(((((A20)-Inputs!$C$34)^2)+(((Inputs!$C$6)-Inputs!$C$35)^2))/(2*Inputs!$C$36^2)))+Inputs!$C$37*(0.55*SIN(2*PI()*(A20)/Inputs!$C$39)+0.35*COS(2*PI()*(Inputs!$C$6)/Inputs!$C$40)+0.2*SIN(2*PI()*((A20)+(Inputs!$C$6))/(0.5*(Inputs!$C$39+Inputs!$C$40))))+Inputs!$C$38*SIN(2*PI()*(A20)/Inputs!$C$39)*SIN(2*PI()*(Inputs!$C$6)/Inputs!$C$40)+-Inputs!$C$41*EXP(-(((Inputs!$C$6)-Inputs!$C$43)^2)/(2*Inputs!$C$44^2))*EXP(-(((A20)-Inputs!$C$42)^2)/(2*Inputs!$C$45^2)))</x:f>
        <x:v>115.34556545150139</x:v>
      </x:c>
      <x:c r="Z20" s="40" t="n">
        <x:f>B20-X20/1000</x:f>
        <x:v>402.84565719176925</x:v>
      </x:c>
      <x:c r="AA20" s="40" t="n">
        <x:f>SQRT(A20^2+Inputs!$C$6^2+(B20-Y20/1000)^2)</x:f>
        <x:v>406.7596615384445</x:v>
      </x:c>
      <x:c r="AB20" s="40" t="n">
        <x:f>(AA20-Z20)*1000</x:f>
        <x:v>3914.004346675256</x:v>
      </x:c>
      <x:c r="AC20" s="40" t="n">
        <x:f>AB20/Inputs!$C$12</x:f>
        <x:v>2198.878846446773</x:v>
      </x:c>
      <x:c r="AD20" s="40" t="n">
        <x:f>2*AB20/Inputs!$C$21*1000000</x:f>
        <x:v>26.11142637000732</x:v>
      </x:c>
      <x:c r="AE20" s="40" t="n">
        <x:f>DEGREES(ATAN(H20/(B20-Y20/1000)))</x:f>
        <x:v>8.0267261047058</x:v>
      </x:c>
      <x:c r="AF20" s="40" t="n">
        <x:f>DEGREES((2*PI()/Inputs!$C$13)*Inputs!$C$15*SIN(RADIANS(AE20)))</x:f>
        <x:v>50.2686017220566</x:v>
      </x:c>
      <x:c r="AG20" s="40" t="n">
        <x:f>(Z20/AA20)^4</x:f>
        <x:v>0.9620623865745339</x:v>
      </x:c>
      <x:c r="AH20" s="40" t="n">
        <x:f>10*LOG10(AG20)</x:f>
        <x:v>-0.167967644834314</x:v>
      </x:c>
      <x:c r="AI20" s="40" t="n">
        <x:f>AC20-F20</x:f>
        <x:v>-39.254517083672</x:v>
      </x:c>
      <x:c r="AJ20" s="40" t="n">
        <x:f>AD20-G20</x:f>
        <x:v>-0.46614275005501327</x:v>
      </x:c>
      <x:c r="AK20" s="40" t="n">
        <x:f>Y20-X20</x:f>
        <x:v>71.00275722074826</x:v>
      </x:c>
      <x:c r="AL20" s="40" t="n">
        <x:f>1000*(AA21-AA19)/(A21-A19)*Inputs!$C$11</x:f>
        <x:v>-997.6311648854335</x:v>
      </x:c>
      <x:c r="AM20" s="40" t="n">
        <x:f>-2*AL20/Inputs!$C$13</x:f>
        <x:v>399.0524659541734</x:v>
      </x:c>
      <x:c r="AN20" s="40" t="n">
        <x:f>-2*AL20/Inputs!$C$14</x:f>
        <x:v>59.91778768080682</x:v>
      </x:c>
      <x:c r="AO20" s="40" t="n">
        <x:f>ABS(AM20)</x:f>
        <x:v>399.0524659541734</x:v>
      </x:c>
      <x:c r="AP20" s="40" t="n">
        <x:f>ABS(AN20)</x:f>
        <x:v>59.91778768080682</x:v>
      </x:c>
      <x:c r="AQ20" s="40" t="n">
        <x:f>IF(Inputs!$C$27="ON",Inputs!$C$46/Inputs!$C$12,0)</x:f>
        <x:v>42.13483146067416</x:v>
      </x:c>
      <x:c r="AR20" s="40" t="n">
        <x:f>AC20-AQ20</x:f>
        <x:v>2156.7440149860986</x:v>
      </x:c>
      <x:c r="AS20" s="40" t="n">
        <x:f>AC20+AQ20</x:f>
        <x:v>2241.0136779074473</x:v>
      </x:c>
    </x:row>
    <x:row r="21">
      <x:c r="A21" s="40" t="n">
        <x:f>Inputs!$C$7+19*(Inputs!$C$8-Inputs!$C$7)/240</x:f>
        <x:v>-50.5</x:v>
      </x:c>
      <x:c r="B21" s="40" t="n">
        <x:f>Inputs!$C$5+Inputs!$C$9*(A21/Inputs!$C$10)^2</x:f>
        <x:v>402.8336111111111</x:v>
      </x:c>
      <x:c r="C21" s="40" t="n">
        <x:f>B21</x:f>
        <x:v>402.8336111111111</x:v>
      </x:c>
      <x:c r="D21" s="40" t="n">
        <x:f>SQRT(A21^2+Inputs!$C$6^2+B21^2)</x:f>
        <x:v>406.75566159651413</x:v>
      </x:c>
      <x:c r="E21" s="40" t="n">
        <x:f>(D21-C21)*1000</x:f>
        <x:v>3922.0504854030196</x:v>
      </x:c>
      <x:c r="F21" s="40" t="n">
        <x:f>E21/Inputs!$C$12</x:f>
        <x:v>2203.39914910282</x:v>
      </x:c>
      <x:c r="G21" s="40" t="n">
        <x:f>2*E21/Inputs!$C$21*1000000</x:f>
        <x:v>26.165104429698626</x:v>
      </x:c>
      <x:c r="H21" s="40" t="n">
        <x:f>SQRT(A21^2+Inputs!$C$6^2)</x:f>
        <x:v>56.349356695529366</x:v>
      </x:c>
      <x:c r="I21" s="40" t="n">
        <x:f>DEGREES(ATAN(H21/B21))</x:f>
        <x:v>7.9630052297803156</x:v>
      </x:c>
      <x:c r="J21" s="40" t="n">
        <x:f>DEGREES((2*PI()/Inputs!$C$13)*Inputs!$C$15*SIN(RADIANS(I21)))</x:f>
        <x:v>49.87212305974802</x:v>
      </x:c>
      <x:c r="K21" s="40" t="n">
        <x:f>(C21/D21)^4</x:f>
        <x:v>0.961985158400483</x:v>
      </x:c>
      <x:c r="L21" s="40" t="n">
        <x:f>10*LOG10(K21)</x:f>
        <x:v>-0.168316282475243</x:v>
      </x:c>
      <x:c r="M21" s="40" t="n">
        <x:f>2*(Inputs!$C$9/(Inputs!$C$10^2))*A21</x:f>
        <x:v>-0.11222222222222222</x:v>
      </x:c>
      <x:c r="N21" s="40" t="n">
        <x:f>M21*Inputs!$C$11</x:f>
        <x:v>-0.4488888888888889</x:v>
      </x:c>
      <x:c r="O21" s="40" t="n">
        <x:f>1000*((A21*Inputs!$C$11)+(B21*N21))/D21</x:f>
        <x:v>-941.1732109546285</x:v>
      </x:c>
      <x:c r="P21" s="40" t="n">
        <x:f>-2*O21/Inputs!$C$13</x:f>
        <x:v>376.4692843818514</x:v>
      </x:c>
      <x:c r="Q21" s="40" t="n">
        <x:f>-2*O21/Inputs!$C$14</x:f>
        <x:v>56.526919576854574</x:v>
      </x:c>
      <x:c r="R21" s="40" t="n">
        <x:f>F21-Inputs!$C$16/2</x:f>
        <x:v>2188.39914910282</x:v>
      </x:c>
      <x:c r="S21" s="40" t="n">
        <x:f>F21+Inputs!$C$16/2</x:f>
        <x:v>2218.39914910282</x:v>
      </x:c>
      <x:c r="T21" s="40" t="n">
        <x:f>F21-Inputs!$C$17/2</x:f>
        <x:v>2053.39914910282</x:v>
      </x:c>
      <x:c r="U21" s="40" t="n">
        <x:f>F21+Inputs!$C$17/2</x:f>
        <x:v>2353.39914910282</x:v>
      </x:c>
      <x:c r="V21" s="40" t="n">
        <x:f>ABS(P21)</x:f>
        <x:v>376.4692843818514</x:v>
      </x:c>
      <x:c r="W21" s="40" t="n">
        <x:f>ABS(Q21)</x:f>
        <x:v>56.526919576854574</x:v>
      </x:c>
      <x:c r="X21" s="40" t="n">
        <x:f>IF(Inputs!$C$27="ON",1,0)*(Inputs!$C$28*EXP(-(((A21)-Inputs!$C$29)^2)/(2*Inputs!$C$31^2))*EXP(-(((0)-Inputs!$C$30)^2)/(2*Inputs!$C$32^2))+-Inputs!$C$33*EXP(-(((((A21)-Inputs!$C$34)^2)+(((0)-Inputs!$C$35)^2))/(2*Inputs!$C$36^2)))+Inputs!$C$37*(0.55*SIN(2*PI()*(A21)/Inputs!$C$39)+0.35*COS(2*PI()*(0)/Inputs!$C$40)+0.2*SIN(2*PI()*((A21)+(0))/(0.5*(Inputs!$C$39+Inputs!$C$40))))+Inputs!$C$38*SIN(2*PI()*(A21)/Inputs!$C$39)*SIN(2*PI()*(0)/Inputs!$C$40)+-Inputs!$C$41*EXP(-(((0)-Inputs!$C$43)^2)/(2*Inputs!$C$44^2))*EXP(-(((A21)-Inputs!$C$42)^2)/(2*Inputs!$C$45^2)))</x:f>
        <x:v>44.912873198450285</x:v>
      </x:c>
      <x:c r="Y21" s="40" t="n">
        <x:f>IF(Inputs!$C$27="ON",1,0)*(Inputs!$C$28*EXP(-(((A21)-Inputs!$C$29)^2)/(2*Inputs!$C$31^2))*EXP(-(((Inputs!$C$6)-Inputs!$C$30)^2)/(2*Inputs!$C$32^2))+-Inputs!$C$33*EXP(-(((((A21)-Inputs!$C$34)^2)+(((Inputs!$C$6)-Inputs!$C$35)^2))/(2*Inputs!$C$36^2)))+Inputs!$C$37*(0.55*SIN(2*PI()*(A21)/Inputs!$C$39)+0.35*COS(2*PI()*(Inputs!$C$6)/Inputs!$C$40)+0.2*SIN(2*PI()*((A21)+(Inputs!$C$6))/(0.5*(Inputs!$C$39+Inputs!$C$40))))+Inputs!$C$38*SIN(2*PI()*(A21)/Inputs!$C$39)*SIN(2*PI()*(Inputs!$C$6)/Inputs!$C$40)+-Inputs!$C$41*EXP(-(((Inputs!$C$6)-Inputs!$C$43)^2)/(2*Inputs!$C$44^2))*EXP(-(((A21)-Inputs!$C$42)^2)/(2*Inputs!$C$45^2)))</x:f>
        <x:v>120.35071877782931</x:v>
      </x:c>
      <x:c r="Z21" s="40" t="n">
        <x:f>B21-X21/1000</x:f>
        <x:v>402.7886982379127</x:v>
      </x:c>
      <x:c r="AA21" s="40" t="n">
        <x:f>SQRT(A21^2+Inputs!$C$6^2+(B21-Y21/1000)^2)</x:f>
        <x:v>406.6364716744223</x:v>
      </x:c>
      <x:c r="AB21" s="40" t="n">
        <x:f>(AA21-Z21)*1000</x:f>
        <x:v>3847.7734365096126</x:v>
      </x:c>
      <x:c r="AC21" s="40" t="n">
        <x:f>AB21/Inputs!$C$12</x:f>
        <x:v>2161.6704699492207</x:v>
      </x:c>
      <x:c r="AD21" s="40" t="n">
        <x:f>2*AB21/Inputs!$C$21*1000000</x:f>
        <x:v>25.66958129753626</x:v>
      </x:c>
      <x:c r="AE21" s="40" t="n">
        <x:f>DEGREES(ATAN(H21/(B21-Y21/1000)))</x:f>
        <x:v>7.965354431706717</x:v>
      </x:c>
      <x:c r="AF21" s="40" t="n">
        <x:f>DEGREES((2*PI()/Inputs!$C$13)*Inputs!$C$15*SIN(RADIANS(AE21)))</x:f>
        <x:v>49.886741164310976</x:v>
      </x:c>
      <x:c r="AG21" s="40" t="n">
        <x:f>(Z21/AA21)^4</x:f>
        <x:v>0.9626840835410218</x:v>
      </x:c>
      <x:c r="AH21" s="40" t="n">
        <x:f>10*LOG10(AG21)</x:f>
        <x:v>-0.165162084979616</x:v>
      </x:c>
      <x:c r="AI21" s="40" t="n">
        <x:f>AC21-F21</x:f>
        <x:v>-41.72867915359939</x:v>
      </x:c>
      <x:c r="AJ21" s="40" t="n">
        <x:f>AD21-G21</x:f>
        <x:v>-0.495523132162365</x:v>
      </x:c>
      <x:c r="AK21" s="40" t="n">
        <x:f>Y21-X21</x:f>
        <x:v>75.43784557937903</x:v>
      </x:c>
      <x:c r="AL21" s="40" t="n">
        <x:f>1000*(AA22-AA20)/(A22-A20)*Inputs!$C$11</x:f>
        <x:v>-973.029656656081</x:v>
      </x:c>
      <x:c r="AM21" s="40" t="n">
        <x:f>-2*AL21/Inputs!$C$13</x:f>
        <x:v>389.2118626624324</x:v>
      </x:c>
      <x:c r="AN21" s="40" t="n">
        <x:f>-2*AL21/Inputs!$C$14</x:f>
        <x:v>58.440219618983846</x:v>
      </x:c>
      <x:c r="AO21" s="40" t="n">
        <x:f>ABS(AM21)</x:f>
        <x:v>389.2118626624324</x:v>
      </x:c>
      <x:c r="AP21" s="40" t="n">
        <x:f>ABS(AN21)</x:f>
        <x:v>58.440219618983846</x:v>
      </x:c>
      <x:c r="AQ21" s="40" t="n">
        <x:f>IF(Inputs!$C$27="ON",Inputs!$C$46/Inputs!$C$12,0)</x:f>
        <x:v>42.13483146067416</x:v>
      </x:c>
      <x:c r="AR21" s="40" t="n">
        <x:f>AC21-AQ21</x:f>
        <x:v>2119.5356384885463</x:v>
      </x:c>
      <x:c r="AS21" s="40" t="n">
        <x:f>AC21+AQ21</x:f>
        <x:v>2203.805301409895</x:v>
      </x:c>
    </x:row>
    <x:row r="22">
      <x:c r="A22" s="40" t="n">
        <x:f>Inputs!$C$7+20*(Inputs!$C$8-Inputs!$C$7)/240</x:f>
        <x:v>-50</x:v>
      </x:c>
      <x:c r="B22" s="40" t="n">
        <x:f>Inputs!$C$5+Inputs!$C$9*(A22/Inputs!$C$10)^2</x:f>
        <x:v>402.77777777777777</x:v>
      </x:c>
      <x:c r="C22" s="40" t="n">
        <x:f>B22</x:f>
        <x:v>402.77777777777777</x:v>
      </x:c>
      <x:c r="D22" s="40" t="n">
        <x:f>SQRT(A22^2+Inputs!$C$6^2+B22^2)</x:f>
        <x:v>406.63858433700676</x:v>
      </x:c>
      <x:c r="E22" s="40" t="n">
        <x:f>(D22-C22)*1000</x:f>
        <x:v>3860.8065592289904</x:v>
      </x:c>
      <x:c r="F22" s="40" t="n">
        <x:f>E22/Inputs!$C$12</x:f>
        <x:v>2168.9924490050507</x:v>
      </x:c>
      <x:c r="G22" s="40" t="n">
        <x:f>2*E22/Inputs!$C$21*1000000</x:f>
        <x:v>25.756528933286177</x:v>
      </x:c>
      <x:c r="H22" s="40" t="n">
        <x:f>SQRT(A22^2+Inputs!$C$6^2)</x:f>
        <x:v>55.90169943749474</x:v>
      </x:c>
      <x:c r="I22" s="40" t="n">
        <x:f>DEGREES(ATAN(H22/B22))</x:f>
        <x:v>7.901627897264307</x:v>
      </x:c>
      <x:c r="J22" s="40" t="n">
        <x:f>DEGREES((2*PI()/Inputs!$C$13)*Inputs!$C$15*SIN(RADIANS(I22)))</x:f>
        <x:v>49.490167860754674</x:v>
      </x:c>
      <x:c r="K22" s="40" t="n">
        <x:f>(C22/D22)^4</x:f>
        <x:v>0.9625596822087733</x:v>
      </x:c>
      <x:c r="L22" s="40" t="n">
        <x:f>10*LOG10(K22)</x:f>
        <x:v>-0.165723331437579</x:v>
      </x:c>
      <x:c r="M22" s="40" t="n">
        <x:f>2*(Inputs!$C$9/(Inputs!$C$10^2))*A22</x:f>
        <x:v>-0.1111111111111111</x:v>
      </x:c>
      <x:c r="N22" s="40" t="n">
        <x:f>M22*Inputs!$C$11</x:f>
        <x:v>-0.4444444444444444</x:v>
      </x:c>
      <x:c r="O22" s="40" t="n">
        <x:f>1000*((A22*Inputs!$C$11)+(B22*N22))/D22</x:f>
        <x:v>-932.061934793923</x:v>
      </x:c>
      <x:c r="P22" s="40" t="n">
        <x:f>-2*O22/Inputs!$C$13</x:f>
        <x:v>372.8247739175692</x:v>
      </x:c>
      <x:c r="Q22" s="40" t="n">
        <x:f>-2*O22/Inputs!$C$14</x:f>
        <x:v>55.979695783418805</x:v>
      </x:c>
      <x:c r="R22" s="40" t="n">
        <x:f>F22-Inputs!$C$16/2</x:f>
        <x:v>2153.9924490050507</x:v>
      </x:c>
      <x:c r="S22" s="40" t="n">
        <x:f>F22+Inputs!$C$16/2</x:f>
        <x:v>2183.9924490050507</x:v>
      </x:c>
      <x:c r="T22" s="40" t="n">
        <x:f>F22-Inputs!$C$17/2</x:f>
        <x:v>2018.9924490050507</x:v>
      </x:c>
      <x:c r="U22" s="40" t="n">
        <x:f>F22+Inputs!$C$17/2</x:f>
        <x:v>2318.9924490050507</x:v>
      </x:c>
      <x:c r="V22" s="40" t="n">
        <x:f>ABS(P22)</x:f>
        <x:v>372.8247739175692</x:v>
      </x:c>
      <x:c r="W22" s="40" t="n">
        <x:f>ABS(Q22)</x:f>
        <x:v>55.979695783418805</x:v>
      </x:c>
      <x:c r="X22" s="40" t="n">
        <x:f>IF(Inputs!$C$27="ON",1,0)*(Inputs!$C$28*EXP(-(((A22)-Inputs!$C$29)^2)/(2*Inputs!$C$31^2))*EXP(-(((0)-Inputs!$C$30)^2)/(2*Inputs!$C$32^2))+-Inputs!$C$33*EXP(-(((((A22)-Inputs!$C$34)^2)+(((0)-Inputs!$C$35)^2))/(2*Inputs!$C$36^2)))+Inputs!$C$37*(0.55*SIN(2*PI()*(A22)/Inputs!$C$39)+0.35*COS(2*PI()*(0)/Inputs!$C$40)+0.2*SIN(2*PI()*((A22)+(0))/(0.5*(Inputs!$C$39+Inputs!$C$40))))+Inputs!$C$38*SIN(2*PI()*(A22)/Inputs!$C$39)*SIN(2*PI()*(0)/Inputs!$C$40)+-Inputs!$C$41*EXP(-(((0)-Inputs!$C$43)^2)/(2*Inputs!$C$44^2))*EXP(-(((A22)-Inputs!$C$42)^2)/(2*Inputs!$C$45^2)))</x:f>
        <x:v>44.88218345882624</x:v>
      </x:c>
      <x:c r="Y22" s="40" t="n">
        <x:f>IF(Inputs!$C$27="ON",1,0)*(Inputs!$C$28*EXP(-(((A22)-Inputs!$C$29)^2)/(2*Inputs!$C$31^2))*EXP(-(((Inputs!$C$6)-Inputs!$C$30)^2)/(2*Inputs!$C$32^2))+-Inputs!$C$33*EXP(-(((((A22)-Inputs!$C$34)^2)+(((Inputs!$C$6)-Inputs!$C$35)^2))/(2*Inputs!$C$36^2)))+Inputs!$C$37*(0.55*SIN(2*PI()*(A22)/Inputs!$C$39)+0.35*COS(2*PI()*(Inputs!$C$6)/Inputs!$C$40)+0.2*SIN(2*PI()*((A22)+(Inputs!$C$6))/(0.5*(Inputs!$C$39+Inputs!$C$40))))+Inputs!$C$38*SIN(2*PI()*(A22)/Inputs!$C$39)*SIN(2*PI()*(Inputs!$C$6)/Inputs!$C$40)+-Inputs!$C$41*EXP(-(((Inputs!$C$6)-Inputs!$C$43)^2)/(2*Inputs!$C$44^2))*EXP(-(((A22)-Inputs!$C$42)^2)/(2*Inputs!$C$45^2)))</x:f>
        <x:v>123.35172221419694</x:v>
      </x:c>
      <x:c r="Z22" s="40" t="n">
        <x:f>B22-X22/1000</x:f>
        <x:v>402.73289559431896</x:v>
      </x:c>
      <x:c r="AA22" s="40" t="n">
        <x:f>SQRT(A22^2+Inputs!$C$6^2+(B22-Y22/1000)^2)</x:f>
        <x:v>406.5164041242805</x:v>
      </x:c>
      <x:c r="AB22" s="40" t="n">
        <x:f>(AA22-Z22)*1000</x:f>
        <x:v>3783.508529961523</x:v>
      </x:c>
      <x:c r="AC22" s="40" t="n">
        <x:f>AB22/Inputs!$C$12</x:f>
        <x:v>2125.566589866024</x:v>
      </x:c>
      <x:c r="AD22" s="40" t="n">
        <x:f>2*AB22/Inputs!$C$21*1000000</x:f>
        <x:v>25.240851989422115</x:v>
      </x:c>
      <x:c r="AE22" s="40" t="n">
        <x:f>DEGREES(ATAN(H22/(B22-Y22/1000)))</x:f>
        <x:v>7.904017942939731</x:v>
      </x:c>
      <x:c r="AF22" s="40" t="n">
        <x:f>DEGREES((2*PI()/Inputs!$C$13)*Inputs!$C$15*SIN(RADIANS(AE22)))</x:f>
        <x:v>49.50504233857584</x:v>
      </x:c>
      <x:c r="AG22" s="40" t="n">
        <x:f>(Z22/AA22)^4</x:f>
        <x:v>0.9632879268341368</x:v>
      </x:c>
      <x:c r="AH22" s="40" t="n">
        <x:f>10*LOG10(AG22)</x:f>
        <x:v>-0.16243882817926497</x:v>
      </x:c>
      <x:c r="AI22" s="40" t="n">
        <x:f>AC22-F22</x:f>
        <x:v>-43.42585913902667</x:v>
      </x:c>
      <x:c r="AJ22" s="40" t="n">
        <x:f>AD22-G22</x:f>
        <x:v>-0.5156769438640616</x:v>
      </x:c>
      <x:c r="AK22" s="40" t="n">
        <x:f>Y22-X22</x:f>
        <x:v>78.4695387553707</x:v>
      </x:c>
      <x:c r="AL22" s="40" t="n">
        <x:f>1000*(AA23-AA21)/(A23-A21)*Inputs!$C$11</x:f>
        <x:v>-947.9504799212464</x:v>
      </x:c>
      <x:c r="AM22" s="40" t="n">
        <x:f>-2*AL22/Inputs!$C$13</x:f>
        <x:v>379.18019196849855</x:v>
      </x:c>
      <x:c r="AN22" s="40" t="n">
        <x:f>-2*AL22/Inputs!$C$14</x:f>
        <x:v>56.93396275803282</x:v>
      </x:c>
      <x:c r="AO22" s="40" t="n">
        <x:f>ABS(AM22)</x:f>
        <x:v>379.18019196849855</x:v>
      </x:c>
      <x:c r="AP22" s="40" t="n">
        <x:f>ABS(AN22)</x:f>
        <x:v>56.93396275803282</x:v>
      </x:c>
      <x:c r="AQ22" s="40" t="n">
        <x:f>IF(Inputs!$C$27="ON",Inputs!$C$46/Inputs!$C$12,0)</x:f>
        <x:v>42.13483146067416</x:v>
      </x:c>
      <x:c r="AR22" s="40" t="n">
        <x:f>AC22-AQ22</x:f>
        <x:v>2083.4317584053497</x:v>
      </x:c>
      <x:c r="AS22" s="40" t="n">
        <x:f>AC22+AQ22</x:f>
        <x:v>2167.7014213266984</x:v>
      </x:c>
    </x:row>
    <x:row r="23">
      <x:c r="A23" s="40" t="n">
        <x:f>Inputs!$C$7+21*(Inputs!$C$8-Inputs!$C$7)/240</x:f>
        <x:v>-49.5</x:v>
      </x:c>
      <x:c r="B23" s="40" t="n">
        <x:f>Inputs!$C$5+Inputs!$C$9*(A23/Inputs!$C$10)^2</x:f>
        <x:v>402.7225</x:v>
      </x:c>
      <x:c r="C23" s="40" t="n">
        <x:f>B23</x:f>
        <x:v>402.7225</x:v>
      </x:c>
      <x:c r="D23" s="40" t="n">
        <x:f>SQRT(A23^2+Inputs!$C$6^2+B23^2)</x:f>
        <x:v>406.5226463633361</x:v>
      </x:c>
      <x:c r="E23" s="40" t="n">
        <x:f>(D23-C23)*1000</x:f>
        <x:v>3800.1463633360686</x:v>
      </x:c>
      <x:c r="F23" s="40" t="n">
        <x:f>E23/Inputs!$C$12</x:f>
        <x:v>2134.9136872674544</x:v>
      </x:c>
      <x:c r="G23" s="40" t="n">
        <x:f>2*E23/Inputs!$C$21*1000000</x:f>
        <x:v>25.351847666134873</x:v>
      </x:c>
      <x:c r="H23" s="40" t="n">
        <x:f>SQRT(A23^2+Inputs!$C$6^2)</x:f>
        <x:v>55.45493666031907</x:v>
      </x:c>
      <x:c r="I23" s="40" t="n">
        <x:f>DEGREES(ATAN(H23/B23))</x:f>
        <x:v>7.84032949187448</x:v>
      </x:c>
      <x:c r="J23" s="40" t="n">
        <x:f>DEGREES((2*PI()/Inputs!$C$13)*Inputs!$C$15*SIN(RADIANS(I23)))</x:f>
        <x:v>49.108647147475075</x:v>
      </x:c>
      <x:c r="K23" s="40" t="n">
        <x:f>(C23/D23)^4</x:f>
        <x:v>0.9631293122466821</x:v>
      </x:c>
      <x:c r="L23" s="40" t="n">
        <x:f>10*LOG10(K23)</x:f>
        <x:v>-0.163153994539274</x:v>
      </x:c>
      <x:c r="M23" s="40" t="n">
        <x:f>2*(Inputs!$C$9/(Inputs!$C$10^2))*A23</x:f>
        <x:v>-0.11</x:v>
      </x:c>
      <x:c r="N23" s="40" t="n">
        <x:f>M23*Inputs!$C$11</x:f>
        <x:v>-0.44</x:v>
      </x:c>
      <x:c r="O23" s="40" t="n">
        <x:f>1000*((A23*Inputs!$C$11)+(B23*N23))/D23</x:f>
        <x:v>-922.9446461505638</x:v>
      </x:c>
      <x:c r="P23" s="40" t="n">
        <x:f>-2*O23/Inputs!$C$13</x:f>
        <x:v>369.17785846022554</x:v>
      </x:c>
      <x:c r="Q23" s="40" t="n">
        <x:f>-2*O23/Inputs!$C$14</x:f>
        <x:v>55.43211087991375</x:v>
      </x:c>
      <x:c r="R23" s="40" t="n">
        <x:f>F23-Inputs!$C$16/2</x:f>
        <x:v>2119.9136872674544</x:v>
      </x:c>
      <x:c r="S23" s="40" t="n">
        <x:f>F23+Inputs!$C$16/2</x:f>
        <x:v>2149.9136872674544</x:v>
      </x:c>
      <x:c r="T23" s="40" t="n">
        <x:f>F23-Inputs!$C$17/2</x:f>
        <x:v>1984.9136872674544</x:v>
      </x:c>
      <x:c r="U23" s="40" t="n">
        <x:f>F23+Inputs!$C$17/2</x:f>
        <x:v>2284.9136872674544</x:v>
      </x:c>
      <x:c r="V23" s="40" t="n">
        <x:f>ABS(P23)</x:f>
        <x:v>369.17785846022554</x:v>
      </x:c>
      <x:c r="W23" s="40" t="n">
        <x:f>ABS(Q23)</x:f>
        <x:v>55.43211087991375</x:v>
      </x:c>
      <x:c r="X23" s="40" t="n">
        <x:f>IF(Inputs!$C$27="ON",1,0)*(Inputs!$C$28*EXP(-(((A23)-Inputs!$C$29)^2)/(2*Inputs!$C$31^2))*EXP(-(((0)-Inputs!$C$30)^2)/(2*Inputs!$C$32^2))+-Inputs!$C$33*EXP(-(((((A23)-Inputs!$C$34)^2)+(((0)-Inputs!$C$35)^2))/(2*Inputs!$C$36^2)))+Inputs!$C$37*(0.55*SIN(2*PI()*(A23)/Inputs!$C$39)+0.35*COS(2*PI()*(0)/Inputs!$C$40)+0.2*SIN(2*PI()*((A23)+(0))/(0.5*(Inputs!$C$39+Inputs!$C$40))))+Inputs!$C$38*SIN(2*PI()*(A23)/Inputs!$C$39)*SIN(2*PI()*(0)/Inputs!$C$40)+-Inputs!$C$41*EXP(-(((0)-Inputs!$C$43)^2)/(2*Inputs!$C$44^2))*EXP(-(((A23)-Inputs!$C$42)^2)/(2*Inputs!$C$45^2)))</x:f>
        <x:v>44.27112797946913</x:v>
      </x:c>
      <x:c r="Y23" s="40" t="n">
        <x:f>IF(Inputs!$C$27="ON",1,0)*(Inputs!$C$28*EXP(-(((A23)-Inputs!$C$29)^2)/(2*Inputs!$C$31^2))*EXP(-(((Inputs!$C$6)-Inputs!$C$30)^2)/(2*Inputs!$C$32^2))+-Inputs!$C$33*EXP(-(((((A23)-Inputs!$C$34)^2)+(((Inputs!$C$6)-Inputs!$C$35)^2))/(2*Inputs!$C$36^2)))+Inputs!$C$37*(0.55*SIN(2*PI()*(A23)/Inputs!$C$39)+0.35*COS(2*PI()*(Inputs!$C$6)/Inputs!$C$40)+0.2*SIN(2*PI()*((A23)+(Inputs!$C$6))/(0.5*(Inputs!$C$39+Inputs!$C$40))))+Inputs!$C$38*SIN(2*PI()*(A23)/Inputs!$C$39)*SIN(2*PI()*(Inputs!$C$6)/Inputs!$C$40)+-Inputs!$C$41*EXP(-(((Inputs!$C$6)-Inputs!$C$43)^2)/(2*Inputs!$C$44^2))*EXP(-(((A23)-Inputs!$C$42)^2)/(2*Inputs!$C$45^2)))</x:f>
        <x:v>124.3248430370301</x:v>
      </x:c>
      <x:c r="Z23" s="40" t="n">
        <x:f>B23-X23/1000</x:f>
        <x:v>402.67822887202055</x:v>
      </x:c>
      <x:c r="AA23" s="40" t="n">
        <x:f>SQRT(A23^2+Inputs!$C$6^2+(B23-Y23/1000)^2)</x:f>
        <x:v>406.399484054442</x:v>
      </x:c>
      <x:c r="AB23" s="40" t="n">
        <x:f>(AA23-Z23)*1000</x:f>
        <x:v>3721.25518242143</x:v>
      </x:c>
      <x:c r="AC23" s="40" t="n">
        <x:f>AB23/Inputs!$C$12</x:f>
        <x:v>2090.592799113163</x:v>
      </x:c>
      <x:c r="AD23" s="40" t="n">
        <x:f>2*AB23/Inputs!$C$21*1000000</x:f>
        <x:v>24.82554235851677</x:v>
      </x:c>
      <x:c r="AE23" s="40" t="n">
        <x:f>DEGREES(ATAN(H23/(B23-Y23/1000)))</x:f>
        <x:v>7.842720510029529</x:v>
      </x:c>
      <x:c r="AF23" s="40" t="n">
        <x:f>DEGREES((2*PI()/Inputs!$C$13)*Inputs!$C$15*SIN(RADIANS(AE23)))</x:f>
        <x:v>49.12352987889247</x:v>
      </x:c>
      <x:c r="AG23" s="40" t="n">
        <x:f>(Z23/AA23)^4</x:f>
        <x:v>0.9638734269396155</x:v>
      </x:c>
      <x:c r="AH23" s="40" t="n">
        <x:f>10*LOG10(AG23)</x:f>
        <x:v>-0.159799926436151</x:v>
      </x:c>
      <x:c r="AI23" s="40" t="n">
        <x:f>AC23-F23</x:f>
        <x:v>-44.320888154291424</x:v>
      </x:c>
      <x:c r="AJ23" s="40" t="n">
        <x:f>AD23-G23</x:f>
        <x:v>-0.5263053076181023</x:v>
      </x:c>
      <x:c r="AK23" s="40" t="n">
        <x:f>Y23-X23</x:f>
        <x:v>80.05371505756098</x:v>
      </x:c>
      <x:c r="AL23" s="40" t="n">
        <x:f>1000*(AA24-AA22)/(A24-A22)*Inputs!$C$11</x:f>
        <x:v>-922.946916754654</x:v>
      </x:c>
      <x:c r="AM23" s="40" t="n">
        <x:f>-2*AL23/Inputs!$C$13</x:f>
        <x:v>369.1787667018616</x:v>
      </x:c>
      <x:c r="AN23" s="40" t="n">
        <x:f>-2*AL23/Inputs!$C$14</x:f>
        <x:v>55.43224725253178</x:v>
      </x:c>
      <x:c r="AO23" s="40" t="n">
        <x:f>ABS(AM23)</x:f>
        <x:v>369.1787667018616</x:v>
      </x:c>
      <x:c r="AP23" s="40" t="n">
        <x:f>ABS(AN23)</x:f>
        <x:v>55.43224725253178</x:v>
      </x:c>
      <x:c r="AQ23" s="40" t="n">
        <x:f>IF(Inputs!$C$27="ON",Inputs!$C$46/Inputs!$C$12,0)</x:f>
        <x:v>42.13483146067416</x:v>
      </x:c>
      <x:c r="AR23" s="40" t="n">
        <x:f>AC23-AQ23</x:f>
        <x:v>2048.4579676524886</x:v>
      </x:c>
      <x:c r="AS23" s="40" t="n">
        <x:f>AC23+AQ23</x:f>
        <x:v>2132.7276305738374</x:v>
      </x:c>
    </x:row>
    <x:row r="24">
      <x:c r="A24" s="40" t="n">
        <x:f>Inputs!$C$7+22*(Inputs!$C$8-Inputs!$C$7)/240</x:f>
        <x:v>-49</x:v>
      </x:c>
      <x:c r="B24" s="40" t="n">
        <x:f>Inputs!$C$5+Inputs!$C$9*(A24/Inputs!$C$10)^2</x:f>
        <x:v>402.66777777777776</x:v>
      </x:c>
      <x:c r="C24" s="40" t="n">
        <x:f>B24</x:f>
        <x:v>402.66777777777776</x:v>
      </x:c>
      <x:c r="D24" s="40" t="n">
        <x:f>SQRT(A24^2+Inputs!$C$6^2+B24^2)</x:f>
        <x:v>406.40784842383863</x:v>
      </x:c>
      <x:c r="E24" s="40" t="n">
        <x:f>(D24-C24)*1000</x:f>
        <x:v>3740.0706460608717</x:v>
      </x:c>
      <x:c r="F24" s="40" t="n">
        <x:f>E24/Inputs!$C$12</x:f>
        <x:v>2101.1632843038606</x:v>
      </x:c>
      <x:c r="G24" s="40" t="n">
        <x:f>2*E24/Inputs!$C$21*1000000</x:f>
        <x:v>24.951065620609253</x:v>
      </x:c>
      <x:c r="H24" s="40" t="n">
        <x:f>SQRT(A24^2+Inputs!$C$6^2)</x:f>
        <x:v>55.00909015790027</x:v>
      </x:c>
      <x:c r="I24" s="40" t="n">
        <x:f>DEGREES(ATAN(H24/B24))</x:f>
        <x:v>7.779113570233542</x:v>
      </x:c>
      <x:c r="J24" s="40" t="n">
        <x:f>DEGREES((2*PI()/Inputs!$C$13)*Inputs!$C$15*SIN(RADIANS(I24)))</x:f>
        <x:v>48.727583715832836</x:v>
      </x:c>
      <x:c r="K24" s="40" t="n">
        <x:f>(C24/D24)^4</x:f>
        <x:v>0.9636940254317625</x:v>
      </x:c>
      <x:c r="L24" s="40" t="n">
        <x:f>10*LOG10(K24)</x:f>
        <x:v>-0.160608334827098</x:v>
      </x:c>
      <x:c r="M24" s="40" t="n">
        <x:f>2*(Inputs!$C$9/(Inputs!$C$10^2))*A24</x:f>
        <x:v>-0.10888888888888888</x:v>
      </x:c>
      <x:c r="N24" s="40" t="n">
        <x:f>M24*Inputs!$C$11</x:f>
        <x:v>-0.43555555555555553</x:v>
      </x:c>
      <x:c r="O24" s="40" t="n">
        <x:f>1000*((A24*Inputs!$C$11)+(B24*N24))/D24</x:f>
        <x:v>-913.8213966453919</x:v>
      </x:c>
      <x:c r="P24" s="40" t="n">
        <x:f>-2*O24/Inputs!$C$13</x:f>
        <x:v>365.5285586581568</x:v>
      </x:c>
      <x:c r="Q24" s="40" t="n">
        <x:f>-2*O24/Inputs!$C$14</x:f>
        <x:v>54.884167966690214</x:v>
      </x:c>
      <x:c r="R24" s="40" t="n">
        <x:f>F24-Inputs!$C$16/2</x:f>
        <x:v>2086.1632843038606</x:v>
      </x:c>
      <x:c r="S24" s="40" t="n">
        <x:f>F24+Inputs!$C$16/2</x:f>
        <x:v>2116.1632843038606</x:v>
      </x:c>
      <x:c r="T24" s="40" t="n">
        <x:f>F24-Inputs!$C$17/2</x:f>
        <x:v>1951.1632843038606</x:v>
      </x:c>
      <x:c r="U24" s="40" t="n">
        <x:f>F24+Inputs!$C$17/2</x:f>
        <x:v>2251.1632843038606</x:v>
      </x:c>
      <x:c r="V24" s="40" t="n">
        <x:f>ABS(P24)</x:f>
        <x:v>365.5285586581568</x:v>
      </x:c>
      <x:c r="W24" s="40" t="n">
        <x:f>ABS(Q24)</x:f>
        <x:v>54.884167966690214</x:v>
      </x:c>
      <x:c r="X24" s="40" t="n">
        <x:f>IF(Inputs!$C$27="ON",1,0)*(Inputs!$C$28*EXP(-(((A24)-Inputs!$C$29)^2)/(2*Inputs!$C$31^2))*EXP(-(((0)-Inputs!$C$30)^2)/(2*Inputs!$C$32^2))+-Inputs!$C$33*EXP(-(((((A24)-Inputs!$C$34)^2)+(((0)-Inputs!$C$35)^2))/(2*Inputs!$C$36^2)))+Inputs!$C$37*(0.55*SIN(2*PI()*(A24)/Inputs!$C$39)+0.35*COS(2*PI()*(0)/Inputs!$C$40)+0.2*SIN(2*PI()*((A24)+(0))/(0.5*(Inputs!$C$39+Inputs!$C$40))))+Inputs!$C$38*SIN(2*PI()*(A24)/Inputs!$C$39)*SIN(2*PI()*(0)/Inputs!$C$40)+-Inputs!$C$41*EXP(-(((0)-Inputs!$C$43)^2)/(2*Inputs!$C$44^2))*EXP(-(((A24)-Inputs!$C$42)^2)/(2*Inputs!$C$45^2)))</x:f>
        <x:v>43.11100356277044</x:v>
      </x:c>
      <x:c r="Y24" s="40" t="n">
        <x:f>IF(Inputs!$C$27="ON",1,0)*(Inputs!$C$28*EXP(-(((A24)-Inputs!$C$29)^2)/(2*Inputs!$C$31^2))*EXP(-(((Inputs!$C$6)-Inputs!$C$30)^2)/(2*Inputs!$C$32^2))+-Inputs!$C$33*EXP(-(((((A24)-Inputs!$C$34)^2)+(((Inputs!$C$6)-Inputs!$C$35)^2))/(2*Inputs!$C$36^2)))+Inputs!$C$37*(0.55*SIN(2*PI()*(A24)/Inputs!$C$39)+0.35*COS(2*PI()*(Inputs!$C$6)/Inputs!$C$40)+0.2*SIN(2*PI()*((A24)+(Inputs!$C$6))/(0.5*(Inputs!$C$39+Inputs!$C$40))))+Inputs!$C$38*SIN(2*PI()*(A24)/Inputs!$C$39)*SIN(2*PI()*(Inputs!$C$6)/Inputs!$C$40)+-Inputs!$C$41*EXP(-(((Inputs!$C$6)-Inputs!$C$43)^2)/(2*Inputs!$C$44^2))*EXP(-(((A24)-Inputs!$C$42)^2)/(2*Inputs!$C$45^2)))</x:f>
        <x:v>123.31622020621384</x:v>
      </x:c>
      <x:c r="Z24" s="40" t="n">
        <x:f>B24-X24/1000</x:f>
        <x:v>402.624666774215</x:v>
      </x:c>
      <x:c r="AA24" s="40" t="n">
        <x:f>SQRT(A24^2+Inputs!$C$6^2+(B24-Y24/1000)^2)</x:f>
        <x:v>406.2856673950918</x:v>
      </x:c>
      <x:c r="AB24" s="40" t="n">
        <x:f>(AA24-Z24)*1000</x:f>
        <x:v>3661.000620876848</x:v>
      </x:c>
      <x:c r="AC24" s="40" t="n">
        <x:f>AB24/Inputs!$C$12</x:f>
        <x:v>2056.741921840926</x:v>
      </x:c>
      <x:c r="AD24" s="40" t="n">
        <x:f>2*AB24/Inputs!$C$21*1000000</x:f>
        <x:v>24.423567192453174</x:v>
      </x:c>
      <x:c r="AE24" s="40" t="n">
        <x:f>DEGREES(ATAN(H24/(B24-Y24/1000)))</x:f>
        <x:v>7.781467446937352</x:v>
      </x:c>
      <x:c r="AF24" s="40" t="n">
        <x:f>DEGREES((2*PI()/Inputs!$C$13)*Inputs!$C$15*SIN(RADIANS(AE24)))</x:f>
        <x:v>48.74223741096542</x:v>
      </x:c>
      <x:c r="AG24" s="40" t="n">
        <x:f>(Z24/AA24)^4</x:f>
        <x:v>0.9644406473531406</x:v>
      </x:c>
      <x:c r="AH24" s="40" t="n">
        <x:f>10*LOG10(AG24)</x:f>
        <x:v>-0.15724494116683302</x:v>
      </x:c>
      <x:c r="AI24" s="40" t="n">
        <x:f>AC24-F24</x:f>
        <x:v>-44.42136246293467</x:v>
      </x:c>
      <x:c r="AJ24" s="40" t="n">
        <x:f>AD24-G24</x:f>
        <x:v>-0.5274984281560791</x:v>
      </x:c>
      <x:c r="AK24" s="40" t="n">
        <x:f>Y24-X24</x:f>
        <x:v>80.2052166434434</x:v>
      </x:c>
      <x:c r="AL24" s="40" t="n">
        <x:f>1000*(AA25-AA23)/(A25-A23)*Inputs!$C$11</x:f>
        <x:v>-898.5639021673251</x:v>
      </x:c>
      <x:c r="AM24" s="40" t="n">
        <x:f>-2*AL24/Inputs!$C$13</x:f>
        <x:v>359.42556086693</x:v>
      </x:c>
      <x:c r="AN24" s="40" t="n">
        <x:f>-2*AL24/Inputs!$C$14</x:f>
        <x:v>53.96780193197148</x:v>
      </x:c>
      <x:c r="AO24" s="40" t="n">
        <x:f>ABS(AM24)</x:f>
        <x:v>359.42556086693</x:v>
      </x:c>
      <x:c r="AP24" s="40" t="n">
        <x:f>ABS(AN24)</x:f>
        <x:v>53.96780193197148</x:v>
      </x:c>
      <x:c r="AQ24" s="40" t="n">
        <x:f>IF(Inputs!$C$27="ON",Inputs!$C$46/Inputs!$C$12,0)</x:f>
        <x:v>42.13483146067416</x:v>
      </x:c>
      <x:c r="AR24" s="40" t="n">
        <x:f>AC24-AQ24</x:f>
        <x:v>2014.6070903802517</x:v>
      </x:c>
      <x:c r="AS24" s="40" t="n">
        <x:f>AC24+AQ24</x:f>
        <x:v>2098.8767533016003</x:v>
      </x:c>
    </x:row>
    <x:row r="25">
      <x:c r="A25" s="40" t="n">
        <x:f>Inputs!$C$7+23*(Inputs!$C$8-Inputs!$C$7)/240</x:f>
        <x:v>-48.5</x:v>
      </x:c>
      <x:c r="B25" s="40" t="n">
        <x:f>Inputs!$C$5+Inputs!$C$9*(A25/Inputs!$C$10)^2</x:f>
        <x:v>402.6136111111111</x:v>
      </x:c>
      <x:c r="C25" s="40" t="n">
        <x:f>B25</x:f>
        <x:v>402.6136111111111</x:v>
      </x:c>
      <x:c r="D25" s="40" t="n">
        <x:f>SQRT(A25^2+Inputs!$C$6^2+B25^2)</x:f>
        <x:v>406.2941912603834</x:v>
      </x:c>
      <x:c r="E25" s="40" t="n">
        <x:f>(D25-C25)*1000</x:f>
        <x:v>3680.5801492723162</x:v>
      </x:c>
      <x:c r="F25" s="40" t="n">
        <x:f>E25/Inputs!$C$12</x:f>
        <x:v>2067.7416568945596</x:v>
      </x:c>
      <x:c r="G25" s="40" t="n">
        <x:f>2*E25/Inputs!$C$21*1000000</x:f>
        <x:v>24.554187745925994</x:v>
      </x:c>
      <x:c r="H25" s="40" t="n">
        <x:f>SQRT(A25^2+Inputs!$C$6^2)</x:f>
        <x:v>54.56418239101544</x:v>
      </x:c>
      <x:c r="I25" s="40" t="n">
        <x:f>DEGREES(ATAN(H25/B25))</x:f>
        <x:v>7.717983785874701</x:v>
      </x:c>
      <x:c r="J25" s="40" t="n">
        <x:f>DEGREES((2*PI()/Inputs!$C$13)*Inputs!$C$15*SIN(RADIANS(I25)))</x:f>
        <x:v>48.347000974416595</x:v>
      </x:c>
      <x:c r="K25" s="40" t="n">
        <x:f>(C25/D25)^4</x:f>
        <x:v>0.964253798836902</x:v>
      </x:c>
      <x:c r="L25" s="40" t="n">
        <x:f>10*LOG10(K25)</x:f>
        <x:v>-0.15808641483798297</x:v>
      </x:c>
      <x:c r="M25" s="40" t="n">
        <x:f>2*(Inputs!$C$9/(Inputs!$C$10^2))*A25</x:f>
        <x:v>-0.10777777777777778</x:v>
      </x:c>
      <x:c r="N25" s="40" t="n">
        <x:f>M25*Inputs!$C$11</x:f>
        <x:v>-0.4311111111111111</x:v>
      </x:c>
      <x:c r="O25" s="40" t="n">
        <x:f>1000*((A25*Inputs!$C$11)+(B25*N25))/D25</x:f>
        <x:v>-904.6922381398286</x:v>
      </x:c>
      <x:c r="P25" s="40" t="n">
        <x:f>-2*O25/Inputs!$C$13</x:f>
        <x:v>361.87689525593146</x:v>
      </x:c>
      <x:c r="Q25" s="40" t="n">
        <x:f>-2*O25/Inputs!$C$14</x:f>
        <x:v>54.335870158548275</x:v>
      </x:c>
      <x:c r="R25" s="40" t="n">
        <x:f>F25-Inputs!$C$16/2</x:f>
        <x:v>2052.7416568945596</x:v>
      </x:c>
      <x:c r="S25" s="40" t="n">
        <x:f>F25+Inputs!$C$16/2</x:f>
        <x:v>2082.7416568945596</x:v>
      </x:c>
      <x:c r="T25" s="40" t="n">
        <x:f>F25-Inputs!$C$17/2</x:f>
        <x:v>1917.7416568945596</x:v>
      </x:c>
      <x:c r="U25" s="40" t="n">
        <x:f>F25+Inputs!$C$17/2</x:f>
        <x:v>2217.7416568945596</x:v>
      </x:c>
      <x:c r="V25" s="40" t="n">
        <x:f>ABS(P25)</x:f>
        <x:v>361.87689525593146</x:v>
      </x:c>
      <x:c r="W25" s="40" t="n">
        <x:f>ABS(Q25)</x:f>
        <x:v>54.335870158548275</x:v>
      </x:c>
      <x:c r="X25" s="40" t="n">
        <x:f>IF(Inputs!$C$27="ON",1,0)*(Inputs!$C$28*EXP(-(((A25)-Inputs!$C$29)^2)/(2*Inputs!$C$31^2))*EXP(-(((0)-Inputs!$C$30)^2)/(2*Inputs!$C$32^2))+-Inputs!$C$33*EXP(-(((((A25)-Inputs!$C$34)^2)+(((0)-Inputs!$C$35)^2))/(2*Inputs!$C$36^2)))+Inputs!$C$37*(0.55*SIN(2*PI()*(A25)/Inputs!$C$39)+0.35*COS(2*PI()*(0)/Inputs!$C$40)+0.2*SIN(2*PI()*((A25)+(0))/(0.5*(Inputs!$C$39+Inputs!$C$40))))+Inputs!$C$38*SIN(2*PI()*(A25)/Inputs!$C$39)*SIN(2*PI()*(0)/Inputs!$C$40)+-Inputs!$C$41*EXP(-(((0)-Inputs!$C$43)^2)/(2*Inputs!$C$44^2))*EXP(-(((A25)-Inputs!$C$42)^2)/(2*Inputs!$C$45^2)))</x:f>
        <x:v>41.44238822020011</x:v>
      </x:c>
      <x:c r="Y25" s="40" t="n">
        <x:f>IF(Inputs!$C$27="ON",1,0)*(Inputs!$C$28*EXP(-(((A25)-Inputs!$C$29)^2)/(2*Inputs!$C$31^2))*EXP(-(((Inputs!$C$6)-Inputs!$C$30)^2)/(2*Inputs!$C$32^2))+-Inputs!$C$33*EXP(-(((((A25)-Inputs!$C$34)^2)+(((Inputs!$C$6)-Inputs!$C$35)^2))/(2*Inputs!$C$36^2)))+Inputs!$C$37*(0.55*SIN(2*PI()*(A25)/Inputs!$C$39)+0.35*COS(2*PI()*(Inputs!$C$6)/Inputs!$C$40)+0.2*SIN(2*PI()*((A25)+(Inputs!$C$6))/(0.5*(Inputs!$C$39+Inputs!$C$40))))+Inputs!$C$38*SIN(2*PI()*(A25)/Inputs!$C$39)*SIN(2*PI()*(Inputs!$C$6)/Inputs!$C$40)+-Inputs!$C$41*EXP(-(((Inputs!$C$6)-Inputs!$C$43)^2)/(2*Inputs!$C$44^2))*EXP(-(((A25)-Inputs!$C$42)^2)/(2*Inputs!$C$45^2)))</x:f>
        <x:v>120.43955391663755</x:v>
      </x:c>
      <x:c r="Z25" s="40" t="n">
        <x:f>B25-X25/1000</x:f>
        <x:v>402.57216872289086</x:v>
      </x:c>
      <x:c r="AA25" s="40" t="n">
        <x:f>SQRT(A25^2+Inputs!$C$6^2+(B25-Y25/1000)^2)</x:f>
        <x:v>406.17484307890015</x:v>
      </x:c>
      <x:c r="AB25" s="40" t="n">
        <x:f>(AA25-Z25)*1000</x:f>
        <x:v>3602.674356009288</x:v>
      </x:c>
      <x:c r="AC25" s="40" t="n">
        <x:f>AB25/Inputs!$C$12</x:f>
        <x:v>2023.9743573085889</x:v>
      </x:c>
      <x:c r="AD25" s="40" t="n">
        <x:f>2*AB25/Inputs!$C$21*1000000</x:f>
        <x:v>24.034456237116466</x:v>
      </x:c>
      <x:c r="AE25" s="40" t="n">
        <x:f>DEGREES(ATAN(H25/(B25-Y25/1000)))</x:f>
        <x:v>7.720265418867161</x:v>
      </x:c>
      <x:c r="AF25" s="40" t="n">
        <x:f>DEGREES((2*PI()/Inputs!$C$13)*Inputs!$C$15*SIN(RADIANS(AE25)))</x:f>
        <x:v>48.36120699122139</x:v>
      </x:c>
      <x:c r="AG25" s="40" t="n">
        <x:f>(Z25/AA25)^4</x:f>
        <x:v>0.9649902014191462</x:v>
      </x:c>
      <x:c r="AH25" s="40" t="n">
        <x:f>10*LOG10(AG25)</x:f>
        <x:v>-0.15477096491648298</x:v>
      </x:c>
      <x:c r="AI25" s="40" t="n">
        <x:f>AC25-F25</x:f>
        <x:v>-43.767299585970704</x:v>
      </x:c>
      <x:c r="AJ25" s="40" t="n">
        <x:f>AD25-G25</x:f>
        <x:v>-0.519731508809528</x:v>
      </x:c>
      <x:c r="AK25" s="40" t="n">
        <x:f>Y25-X25</x:f>
        <x:v>78.99716569643743</x:v>
      </x:c>
      <x:c r="AL25" s="40" t="n">
        <x:f>1000*(AA26-AA24)/(A26-A24)*Inputs!$C$11</x:f>
        <x:v>-875.3193275410922</x:v>
      </x:c>
      <x:c r="AM25" s="40" t="n">
        <x:f>-2*AL25/Inputs!$C$13</x:f>
        <x:v>350.1277310164369</x:v>
      </x:c>
      <x:c r="AN25" s="40" t="n">
        <x:f>-2*AL25/Inputs!$C$14</x:f>
        <x:v>52.57173138384939</x:v>
      </x:c>
      <x:c r="AO25" s="40" t="n">
        <x:f>ABS(AM25)</x:f>
        <x:v>350.1277310164369</x:v>
      </x:c>
      <x:c r="AP25" s="40" t="n">
        <x:f>ABS(AN25)</x:f>
        <x:v>52.57173138384939</x:v>
      </x:c>
      <x:c r="AQ25" s="40" t="n">
        <x:f>IF(Inputs!$C$27="ON",Inputs!$C$46/Inputs!$C$12,0)</x:f>
        <x:v>42.13483146067416</x:v>
      </x:c>
      <x:c r="AR25" s="40" t="n">
        <x:f>AC25-AQ25</x:f>
        <x:v>1981.8395258479147</x:v>
      </x:c>
      <x:c r="AS25" s="40" t="n">
        <x:f>AC25+AQ25</x:f>
        <x:v>2066.1091887692633</x:v>
      </x:c>
    </x:row>
    <x:row r="26">
      <x:c r="A26" s="40" t="n">
        <x:f>Inputs!$C$7+24*(Inputs!$C$8-Inputs!$C$7)/240</x:f>
        <x:v>-48</x:v>
      </x:c>
      <x:c r="B26" s="40" t="n">
        <x:f>Inputs!$C$5+Inputs!$C$9*(A26/Inputs!$C$10)^2</x:f>
        <x:v>402.56</x:v>
      </x:c>
      <x:c r="C26" s="40" t="n">
        <x:f>B26</x:f>
        <x:v>402.56</x:v>
      </x:c>
      <x:c r="D26" s="40" t="n">
        <x:f>SQRT(A26^2+Inputs!$C$6^2+B26^2)</x:f>
        <x:v>406.18167560834155</x:v>
      </x:c>
      <x:c r="E26" s="40" t="n">
        <x:f>(D26-C26)*1000</x:f>
        <x:v>3621.6756083415476</x:v>
      </x:c>
      <x:c r="F26" s="40" t="n">
        <x:f>E26/Inputs!$C$12</x:f>
        <x:v>2034.6492181694086</x:v>
      </x:c>
      <x:c r="G26" s="40" t="n">
        <x:f>2*E26/Inputs!$C$21*1000000</x:f>
        <x:v>24.161218947953305</x:v>
      </x:c>
      <x:c r="H26" s="40" t="n">
        <x:f>SQRT(A26^2+Inputs!$C$6^2)</x:f>
        <x:v>54.120236510939236</x:v>
      </x:c>
      <x:c r="I26" s="40" t="n">
        <x:f>DEGREES(ATAN(H26/B26))</x:f>
        <x:v>7.656943892607386</x:v>
      </x:c>
      <x:c r="J26" s="40" t="n">
        <x:f>DEGREES((2*PI()/Inputs!$C$13)*Inputs!$C$15*SIN(RADIANS(I26)))</x:f>
        <x:v>47.96692296558639</x:v>
      </x:c>
      <x:c r="K26" s="40" t="n">
        <x:f>(C26/D26)^4</x:f>
        <x:v>0.964808609692378</x:v>
      </x:c>
      <x:c r="L26" s="40" t="n">
        <x:f>10*LOG10(K26)</x:f>
        <x:v>-0.15558829659555098</x:v>
      </x:c>
      <x:c r="M26" s="40" t="n">
        <x:f>2*(Inputs!$C$9/(Inputs!$C$10^2))*A26</x:f>
        <x:v>-0.10666666666666666</x:v>
      </x:c>
      <x:c r="N26" s="40" t="n">
        <x:f>M26*Inputs!$C$11</x:f>
        <x:v>-0.42666666666666664</x:v>
      </x:c>
      <x:c r="O26" s="40" t="n">
        <x:f>1000*((A26*Inputs!$C$11)+(B26*N26))/D26</x:f>
        <x:v>-895.5572227342078</x:v>
      </x:c>
      <x:c r="P26" s="40" t="n">
        <x:f>-2*O26/Inputs!$C$13</x:f>
        <x:v>358.22288909368314</x:v>
      </x:c>
      <x:c r="Q26" s="40" t="n">
        <x:f>-2*O26/Inputs!$C$14</x:f>
        <x:v>53.78722058463711</x:v>
      </x:c>
      <x:c r="R26" s="40" t="n">
        <x:f>F26-Inputs!$C$16/2</x:f>
        <x:v>2019.6492181694086</x:v>
      </x:c>
      <x:c r="S26" s="40" t="n">
        <x:f>F26+Inputs!$C$16/2</x:f>
        <x:v>2049.6492181694084</x:v>
      </x:c>
      <x:c r="T26" s="40" t="n">
        <x:f>F26-Inputs!$C$17/2</x:f>
        <x:v>1884.6492181694086</x:v>
      </x:c>
      <x:c r="U26" s="40" t="n">
        <x:f>F26+Inputs!$C$17/2</x:f>
        <x:v>2184.6492181694084</x:v>
      </x:c>
      <x:c r="V26" s="40" t="n">
        <x:f>ABS(P26)</x:f>
        <x:v>358.22288909368314</x:v>
      </x:c>
      <x:c r="W26" s="40" t="n">
        <x:f>ABS(Q26)</x:f>
        <x:v>53.78722058463711</x:v>
      </x:c>
      <x:c r="X26" s="40" t="n">
        <x:f>IF(Inputs!$C$27="ON",1,0)*(Inputs!$C$28*EXP(-(((A26)-Inputs!$C$29)^2)/(2*Inputs!$C$31^2))*EXP(-(((0)-Inputs!$C$30)^2)/(2*Inputs!$C$32^2))+-Inputs!$C$33*EXP(-(((((A26)-Inputs!$C$34)^2)+(((0)-Inputs!$C$35)^2))/(2*Inputs!$C$36^2)))+Inputs!$C$37*(0.55*SIN(2*PI()*(A26)/Inputs!$C$39)+0.35*COS(2*PI()*(0)/Inputs!$C$40)+0.2*SIN(2*PI()*((A26)+(0))/(0.5*(Inputs!$C$39+Inputs!$C$40))))+Inputs!$C$38*SIN(2*PI()*(A26)/Inputs!$C$39)*SIN(2*PI()*(0)/Inputs!$C$40)+-Inputs!$C$41*EXP(-(((0)-Inputs!$C$43)^2)/(2*Inputs!$C$44^2))*EXP(-(((A26)-Inputs!$C$42)^2)/(2*Inputs!$C$45^2)))</x:f>
        <x:v>39.31354159994106</x:v>
      </x:c>
      <x:c r="Y26" s="40" t="n">
        <x:f>IF(Inputs!$C$27="ON",1,0)*(Inputs!$C$28*EXP(-(((A26)-Inputs!$C$29)^2)/(2*Inputs!$C$31^2))*EXP(-(((Inputs!$C$6)-Inputs!$C$30)^2)/(2*Inputs!$C$32^2))+-Inputs!$C$33*EXP(-(((((A26)-Inputs!$C$34)^2)+(((Inputs!$C$6)-Inputs!$C$35)^2))/(2*Inputs!$C$36^2)))+Inputs!$C$37*(0.55*SIN(2*PI()*(A26)/Inputs!$C$39)+0.35*COS(2*PI()*(Inputs!$C$6)/Inputs!$C$40)+0.2*SIN(2*PI()*((A26)+(Inputs!$C$6))/(0.5*(Inputs!$C$39+Inputs!$C$40))))+Inputs!$C$38*SIN(2*PI()*(A26)/Inputs!$C$39)*SIN(2*PI()*(Inputs!$C$6)/Inputs!$C$40)+-Inputs!$C$41*EXP(-(((Inputs!$C$6)-Inputs!$C$43)^2)/(2*Inputs!$C$44^2))*EXP(-(((A26)-Inputs!$C$42)^2)/(2*Inputs!$C$45^2)))</x:f>
        <x:v>115.871494460014</x:v>
      </x:c>
      <x:c r="Z26" s="40" t="n">
        <x:f>B26-X26/1000</x:f>
        <x:v>402.52068645840006</x:v>
      </x:c>
      <x:c r="AA26" s="40" t="n">
        <x:f>SQRT(A26^2+Inputs!$C$6^2+(B26-Y26/1000)^2)</x:f>
        <x:v>406.06683756320655</x:v>
      </x:c>
      <x:c r="AB26" s="40" t="n">
        <x:f>(AA26-Z26)*1000</x:f>
        <x:v>3546.1511048064835</x:v>
      </x:c>
      <x:c r="AC26" s="40" t="n">
        <x:f>AB26/Inputs!$C$12</x:f>
        <x:v>1992.2197218013953</x:v>
      </x:c>
      <x:c r="AD26" s="40" t="n">
        <x:f>2*AB26/Inputs!$C$21*1000000</x:f>
        <x:v>23.657373694214037</x:v>
      </x:c>
      <x:c r="AE26" s="40" t="n">
        <x:f>DEGREES(ATAN(H26/(B26-Y26/1000)))</x:f>
        <x:v>7.659122309903952</x:v>
      </x:c>
      <x:c r="AF26" s="40" t="n">
        <x:f>DEGREES((2*PI()/Inputs!$C$13)*Inputs!$C$15*SIN(RADIANS(AE26)))</x:f>
        <x:v>47.98048828822531</x:v>
      </x:c>
      <x:c r="AG26" s="40" t="n">
        <x:f>(Z26/AA26)^4</x:f>
        <x:v>0.9655232269325512</x:v>
      </x:c>
      <x:c r="AH26" s="40" t="n">
        <x:f>10*LOG10(AG26)</x:f>
        <x:v>-0.15237274233311898</x:v>
      </x:c>
      <x:c r="AI26" s="40" t="n">
        <x:f>AC26-F26</x:f>
        <x:v>-42.42949636801336</x:v>
      </x:c>
      <x:c r="AJ26" s="40" t="n">
        <x:f>AD26-G26</x:f>
        <x:v>-0.5038452537392679</x:v>
      </x:c>
      <x:c r="AK26" s="40" t="n">
        <x:f>Y26-X26</x:f>
        <x:v>76.55795286007294</x:v>
      </x:c>
      <x:c r="AL26" s="40" t="n">
        <x:f>1000*(AA27-AA25)/(A27-A25)*Inputs!$C$11</x:f>
        <x:v>-853.6865223534278</x:v>
      </x:c>
      <x:c r="AM26" s="40" t="n">
        <x:f>-2*AL26/Inputs!$C$13</x:f>
        <x:v>341.4746089413711</x:v>
      </x:c>
      <x:c r="AN26" s="40" t="n">
        <x:f>-2*AL26/Inputs!$C$14</x:f>
        <x:v>51.27246380501068</x:v>
      </x:c>
      <x:c r="AO26" s="40" t="n">
        <x:f>ABS(AM26)</x:f>
        <x:v>341.4746089413711</x:v>
      </x:c>
      <x:c r="AP26" s="40" t="n">
        <x:f>ABS(AN26)</x:f>
        <x:v>51.27246380501068</x:v>
      </x:c>
      <x:c r="AQ26" s="40" t="n">
        <x:f>IF(Inputs!$C$27="ON",Inputs!$C$46/Inputs!$C$12,0)</x:f>
        <x:v>42.13483146067416</x:v>
      </x:c>
      <x:c r="AR26" s="40" t="n">
        <x:f>AC26-AQ26</x:f>
        <x:v>1950.0848903407211</x:v>
      </x:c>
      <x:c r="AS26" s="40" t="n">
        <x:f>AC26+AQ26</x:f>
        <x:v>2034.3545532620694</x:v>
      </x:c>
    </x:row>
    <x:row r="27">
      <x:c r="A27" s="40" t="n">
        <x:f>Inputs!$C$7+25*(Inputs!$C$8-Inputs!$C$7)/240</x:f>
        <x:v>-47.5</x:v>
      </x:c>
      <x:c r="B27" s="40" t="n">
        <x:f>Inputs!$C$5+Inputs!$C$9*(A27/Inputs!$C$10)^2</x:f>
        <x:v>402.50694444444446</x:v>
      </x:c>
      <x:c r="C27" s="40" t="n">
        <x:f>B27</x:f>
        <x:v>402.50694444444446</x:v>
      </x:c>
      <x:c r="D27" s="40" t="n">
        <x:f>SQRT(A27^2+Inputs!$C$6^2+B27^2)</x:f>
        <x:v>406.07030219655695</x:v>
      </x:c>
      <x:c r="E27" s="40" t="n">
        <x:f>(D27-C27)*1000</x:f>
        <x:v>3563.357752112495</x:v>
      </x:c>
      <x:c r="F27" s="40" t="n">
        <x:f>E27/Inputs!$C$12</x:f>
        <x:v>2001.8863775912891</x:v>
      </x:c>
      <x:c r="G27" s="40" t="n">
        <x:f>2*E27/Inputs!$C$21*1000000</x:f>
        <x:v>23.772164089014506</x:v>
      </x:c>
      <x:c r="H27" s="40" t="n">
        <x:f>SQRT(A27^2+Inputs!$C$6^2)</x:f>
        <x:v>53.67727638395972</x:v>
      </x:c>
      <x:c r="I27" s="40" t="n">
        <x:f>DEGREES(ATAN(H27/B27))</x:f>
        <x:v>7.595997748011028</x:v>
      </x:c>
      <x:c r="J27" s="40" t="n">
        <x:f>DEGREES((2*PI()/Inputs!$C$13)*Inputs!$C$15*SIN(RADIANS(I27)))</x:f>
        <x:v>47.58737438738348</x:v>
      </x:c>
      <x:c r="K27" s="40" t="n">
        <x:f>(C27/D27)^4</x:f>
        <x:v>0.9653584353879024</x:v>
      </x:c>
      <x:c r="L27" s="40" t="n">
        <x:f>10*LOG10(K27)</x:f>
        <x:v>-0.153114041606665</x:v>
      </x:c>
      <x:c r="M27" s="40" t="n">
        <x:f>2*(Inputs!$C$9/(Inputs!$C$10^2))*A27</x:f>
        <x:v>-0.10555555555555556</x:v>
      </x:c>
      <x:c r="N27" s="40" t="n">
        <x:f>M27*Inputs!$C$11</x:f>
        <x:v>-0.4222222222222222</x:v>
      </x:c>
      <x:c r="O27" s="40" t="n">
        <x:f>1000*((A27*Inputs!$C$11)+(B27*N27))/D27</x:f>
        <x:v>-886.416402766087</x:v>
      </x:c>
      <x:c r="P27" s="40" t="n">
        <x:f>-2*O27/Inputs!$C$13</x:f>
        <x:v>354.5665611064348</x:v>
      </x:c>
      <x:c r="Q27" s="40" t="n">
        <x:f>-2*O27/Inputs!$C$14</x:f>
        <x:v>53.23822238835358</x:v>
      </x:c>
      <x:c r="R27" s="40" t="n">
        <x:f>F27-Inputs!$C$16/2</x:f>
        <x:v>1986.8863775912891</x:v>
      </x:c>
      <x:c r="S27" s="40" t="n">
        <x:f>F27+Inputs!$C$16/2</x:f>
        <x:v>2016.8863775912891</x:v>
      </x:c>
      <x:c r="T27" s="40" t="n">
        <x:f>F27-Inputs!$C$17/2</x:f>
        <x:v>1851.8863775912891</x:v>
      </x:c>
      <x:c r="U27" s="40" t="n">
        <x:f>F27+Inputs!$C$17/2</x:f>
        <x:v>2151.886377591289</x:v>
      </x:c>
      <x:c r="V27" s="40" t="n">
        <x:f>ABS(P27)</x:f>
        <x:v>354.5665611064348</x:v>
      </x:c>
      <x:c r="W27" s="40" t="n">
        <x:f>ABS(Q27)</x:f>
        <x:v>53.23822238835358</x:v>
      </x:c>
      <x:c r="X27" s="40" t="n">
        <x:f>IF(Inputs!$C$27="ON",1,0)*(Inputs!$C$28*EXP(-(((A27)-Inputs!$C$29)^2)/(2*Inputs!$C$31^2))*EXP(-(((0)-Inputs!$C$30)^2)/(2*Inputs!$C$32^2))+-Inputs!$C$33*EXP(-(((((A27)-Inputs!$C$34)^2)+(((0)-Inputs!$C$35)^2))/(2*Inputs!$C$36^2)))+Inputs!$C$37*(0.55*SIN(2*PI()*(A27)/Inputs!$C$39)+0.35*COS(2*PI()*(0)/Inputs!$C$40)+0.2*SIN(2*PI()*((A27)+(0))/(0.5*(Inputs!$C$39+Inputs!$C$40))))+Inputs!$C$38*SIN(2*PI()*(A27)/Inputs!$C$39)*SIN(2*PI()*(0)/Inputs!$C$40)+-Inputs!$C$41*EXP(-(((0)-Inputs!$C$43)^2)/(2*Inputs!$C$44^2))*EXP(-(((A27)-Inputs!$C$42)^2)/(2*Inputs!$C$45^2)))</x:f>
        <x:v>36.778894753797296</x:v>
      </x:c>
      <x:c r="Y27" s="40" t="n">
        <x:f>IF(Inputs!$C$27="ON",1,0)*(Inputs!$C$28*EXP(-(((A27)-Inputs!$C$29)^2)/(2*Inputs!$C$31^2))*EXP(-(((Inputs!$C$6)-Inputs!$C$30)^2)/(2*Inputs!$C$32^2))+-Inputs!$C$33*EXP(-(((((A27)-Inputs!$C$34)^2)+(((Inputs!$C$6)-Inputs!$C$35)^2))/(2*Inputs!$C$36^2)))+Inputs!$C$37*(0.55*SIN(2*PI()*(A27)/Inputs!$C$39)+0.35*COS(2*PI()*(Inputs!$C$6)/Inputs!$C$40)+0.2*SIN(2*PI()*((A27)+(Inputs!$C$6))/(0.5*(Inputs!$C$39+Inputs!$C$40))))+Inputs!$C$38*SIN(2*PI()*(A27)/Inputs!$C$39)*SIN(2*PI()*(Inputs!$C$6)/Inputs!$C$40)+-Inputs!$C$41*EXP(-(((Inputs!$C$6)-Inputs!$C$43)^2)/(2*Inputs!$C$44^2))*EXP(-(((A27)-Inputs!$C$42)^2)/(2*Inputs!$C$45^2)))</x:f>
        <x:v>109.84492167972658</x:v>
      </x:c>
      <x:c r="Z27" s="40" t="n">
        <x:f>B27-X27/1000</x:f>
        <x:v>402.47016554969065</x:v>
      </x:c>
      <x:c r="AA27" s="40" t="n">
        <x:f>SQRT(A27^2+Inputs!$C$6^2+(B27-Y27/1000)^2)</x:f>
        <x:v>405.9614214483118</x:v>
      </x:c>
      <x:c r="AB27" s="40" t="n">
        <x:f>(AA27-Z27)*1000</x:f>
        <x:v>3491.255898621148</x:v>
      </x:c>
      <x:c r="AC27" s="40" t="n">
        <x:f>AB27/Inputs!$C$12</x:f>
        <x:v>1961.3797183264876</x:v>
      </x:c>
      <x:c r="AD27" s="40" t="n">
        <x:f>2*AB27/Inputs!$C$21*1000000</x:f>
        <x:v>23.29115229857549</x:v>
      </x:c>
      <x:c r="AE27" s="40" t="n">
        <x:f>DEGREES(ATAN(H27/(B27-Y27/1000)))</x:f>
        <x:v>7.598047055344708</x:v>
      </x:c>
      <x:c r="AF27" s="40" t="n">
        <x:f>DEGREES((2*PI()/Inputs!$C$13)*Inputs!$C$15*SIN(RADIANS(AE27)))</x:f>
        <x:v>47.600137543330256</x:v>
      </x:c>
      <x:c r="AG27" s="40" t="n">
        <x:f>(Z27/AA27)^4</x:f>
        <x:v>0.9660413395879214</x:v>
      </x:c>
      <x:c r="AH27" s="40" t="n">
        <x:f>10*LOG10(AG27)</x:f>
        <x:v>-0.15004288521596</x:v>
      </x:c>
      <x:c r="AI27" s="40" t="n">
        <x:f>AC27-F27</x:f>
        <x:v>-40.506659264801556</x:v>
      </x:c>
      <x:c r="AJ27" s="40" t="n">
        <x:f>AD27-G27</x:f>
        <x:v>-0.4810117904390161</x:v>
      </x:c>
      <x:c r="AK27" s="40" t="n">
        <x:f>Y27-X27</x:f>
        <x:v>73.0660269259293</x:v>
      </x:c>
      <x:c r="AL27" s="40" t="n">
        <x:f>1000*(AA28-AA26)/(A28-A26)*Inputs!$C$11</x:f>
        <x:v>-834.0785237519412</x:v>
      </x:c>
      <x:c r="AM27" s="40" t="n">
        <x:f>-2*AL27/Inputs!$C$13</x:f>
        <x:v>333.6314095007765</x:v>
      </x:c>
      <x:c r="AN27" s="40" t="n">
        <x:f>-2*AL27/Inputs!$C$14</x:f>
        <x:v>50.094806231347825</x:v>
      </x:c>
      <x:c r="AO27" s="40" t="n">
        <x:f>ABS(AM27)</x:f>
        <x:v>333.6314095007765</x:v>
      </x:c>
      <x:c r="AP27" s="40" t="n">
        <x:f>ABS(AN27)</x:f>
        <x:v>50.094806231347825</x:v>
      </x:c>
      <x:c r="AQ27" s="40" t="n">
        <x:f>IF(Inputs!$C$27="ON",Inputs!$C$46/Inputs!$C$12,0)</x:f>
        <x:v>42.13483146067416</x:v>
      </x:c>
      <x:c r="AR27" s="40" t="n">
        <x:f>AC27-AQ27</x:f>
        <x:v>1919.2448868658134</x:v>
      </x:c>
      <x:c r="AS27" s="40" t="n">
        <x:f>AC27+AQ27</x:f>
        <x:v>2003.5145497871617</x:v>
      </x:c>
    </x:row>
    <x:row r="28">
      <x:c r="A28" s="40" t="n">
        <x:f>Inputs!$C$7+26*(Inputs!$C$8-Inputs!$C$7)/240</x:f>
        <x:v>-47</x:v>
      </x:c>
      <x:c r="B28" s="40" t="n">
        <x:f>Inputs!$C$5+Inputs!$C$9*(A28/Inputs!$C$10)^2</x:f>
        <x:v>402.45444444444445</x:v>
      </x:c>
      <x:c r="C28" s="40" t="n">
        <x:f>B28</x:f>
        <x:v>402.45444444444445</x:v>
      </x:c>
      <x:c r="D28" s="40" t="n">
        <x:f>SQRT(A28^2+Inputs!$C$6^2+B28^2)</x:f>
        <x:v>405.9600717473166</x:v>
      </x:c>
      <x:c r="E28" s="40" t="n">
        <x:f>(D28-C28)*1000</x:f>
        <x:v>3505.627302872142</x:v>
      </x:c>
      <x:c r="F28" s="40" t="n">
        <x:f>E28/Inputs!$C$12</x:f>
        <x:v>1969.4535409394057</x:v>
      </x:c>
      <x:c r="G28" s="40" t="n">
        <x:f>2*E28/Inputs!$C$21*1000000</x:f>
        <x:v>23.387027987689684</x:v>
      </x:c>
      <x:c r="H28" s="40" t="n">
        <x:f>SQRT(A28^2+Inputs!$C$6^2)</x:f>
        <x:v>53.23532661682466</x:v>
      </x:c>
      <x:c r="I28" s="40" t="n">
        <x:f>DEGREES(ATAN(H28/B28))</x:f>
        <x:v>7.535149317061624</x:v>
      </x:c>
      <x:c r="J28" s="40" t="n">
        <x:f>DEGREES((2*PI()/Inputs!$C$13)*Inputs!$C$15*SIN(RADIANS(I28)))</x:f>
        <x:v>47.20838061627316</x:v>
      </x:c>
      <x:c r="K28" s="40" t="n">
        <x:f>(C28/D28)^4</x:f>
        <x:v>0.9659032534746591</x:v>
      </x:c>
      <x:c r="L28" s="40" t="n">
        <x:f>10*LOG10(K28)</x:f>
        <x:v>-0.150663710858007</x:v>
      </x:c>
      <x:c r="M28" s="40" t="n">
        <x:f>2*(Inputs!$C$9/(Inputs!$C$10^2))*A28</x:f>
        <x:v>-0.10444444444444445</x:v>
      </x:c>
      <x:c r="N28" s="40" t="n">
        <x:f>M28*Inputs!$C$11</x:f>
        <x:v>-0.4177777777777778</x:v>
      </x:c>
      <x:c r="O28" s="40" t="n">
        <x:f>1000*((A28*Inputs!$C$11)+(B28*N28))/D28</x:f>
        <x:v>-877.2698308085374</x:v>
      </x:c>
      <x:c r="P28" s="40" t="n">
        <x:f>-2*O28/Inputs!$C$13</x:f>
        <x:v>350.90793232341497</x:v>
      </x:c>
      <x:c r="Q28" s="40" t="n">
        <x:f>-2*O28/Inputs!$C$14</x:f>
        <x:v>52.68887872723949</x:v>
      </x:c>
      <x:c r="R28" s="40" t="n">
        <x:f>F28-Inputs!$C$16/2</x:f>
        <x:v>1954.4535409394057</x:v>
      </x:c>
      <x:c r="S28" s="40" t="n">
        <x:f>F28+Inputs!$C$16/2</x:f>
        <x:v>1984.4535409394057</x:v>
      </x:c>
      <x:c r="T28" s="40" t="n">
        <x:f>F28-Inputs!$C$17/2</x:f>
        <x:v>1819.4535409394057</x:v>
      </x:c>
      <x:c r="U28" s="40" t="n">
        <x:f>F28+Inputs!$C$17/2</x:f>
        <x:v>2119.4535409394057</x:v>
      </x:c>
      <x:c r="V28" s="40" t="n">
        <x:f>ABS(P28)</x:f>
        <x:v>350.90793232341497</x:v>
      </x:c>
      <x:c r="W28" s="40" t="n">
        <x:f>ABS(Q28)</x:f>
        <x:v>52.68887872723949</x:v>
      </x:c>
      <x:c r="X28" s="40" t="n">
        <x:f>IF(Inputs!$C$27="ON",1,0)*(Inputs!$C$28*EXP(-(((A28)-Inputs!$C$29)^2)/(2*Inputs!$C$31^2))*EXP(-(((0)-Inputs!$C$30)^2)/(2*Inputs!$C$32^2))+-Inputs!$C$33*EXP(-(((((A28)-Inputs!$C$34)^2)+(((0)-Inputs!$C$35)^2))/(2*Inputs!$C$36^2)))+Inputs!$C$37*(0.55*SIN(2*PI()*(A28)/Inputs!$C$39)+0.35*COS(2*PI()*(0)/Inputs!$C$40)+0.2*SIN(2*PI()*((A28)+(0))/(0.5*(Inputs!$C$39+Inputs!$C$40))))+Inputs!$C$38*SIN(2*PI()*(A28)/Inputs!$C$39)*SIN(2*PI()*(0)/Inputs!$C$40)+-Inputs!$C$41*EXP(-(((0)-Inputs!$C$43)^2)/(2*Inputs!$C$44^2))*EXP(-(((A28)-Inputs!$C$42)^2)/(2*Inputs!$C$45^2)))</x:f>
        <x:v>33.89767440608287</x:v>
      </x:c>
      <x:c r="Y28" s="40" t="n">
        <x:f>IF(Inputs!$C$27="ON",1,0)*(Inputs!$C$28*EXP(-(((A28)-Inputs!$C$29)^2)/(2*Inputs!$C$31^2))*EXP(-(((Inputs!$C$6)-Inputs!$C$30)^2)/(2*Inputs!$C$32^2))+-Inputs!$C$33*EXP(-(((((A28)-Inputs!$C$34)^2)+(((Inputs!$C$6)-Inputs!$C$35)^2))/(2*Inputs!$C$36^2)))+Inputs!$C$37*(0.55*SIN(2*PI()*(A28)/Inputs!$C$39)+0.35*COS(2*PI()*(Inputs!$C$6)/Inputs!$C$40)+0.2*SIN(2*PI()*((A28)+(Inputs!$C$6))/(0.5*(Inputs!$C$39+Inputs!$C$40))))+Inputs!$C$38*SIN(2*PI()*(A28)/Inputs!$C$39)*SIN(2*PI()*(Inputs!$C$6)/Inputs!$C$40)+-Inputs!$C$41*EXP(-(((Inputs!$C$6)-Inputs!$C$43)^2)/(2*Inputs!$C$44^2))*EXP(-(((A28)-Inputs!$C$42)^2)/(2*Inputs!$C$45^2)))</x:f>
        <x:v>102.64037888490984</x:v>
      </x:c>
      <x:c r="Z28" s="40" t="n">
        <x:f>B28-X28/1000</x:f>
        <x:v>402.42054677003836</x:v>
      </x:c>
      <x:c r="AA28" s="40" t="n">
        <x:f>SQRT(A28^2+Inputs!$C$6^2+(B28-Y28/1000)^2)</x:f>
        <x:v>405.85831793226856</x:v>
      </x:c>
      <x:c r="AB28" s="40" t="n">
        <x:f>(AA28-Z28)*1000</x:f>
        <x:v>3437.771162230206</x:v>
      </x:c>
      <x:c r="AC28" s="40" t="n">
        <x:f>AB28/Inputs!$C$12</x:f>
        <x:v>1931.3321136124753</x:v>
      </x:c>
      <x:c r="AD28" s="40" t="n">
        <x:f>2*AB28/Inputs!$C$21*1000000</x:f>
        <x:v>22.934340544552363</x:v>
      </x:c>
      <x:c r="AE28" s="40" t="n">
        <x:f>DEGREES(ATAN(H28/(B28-Y28/1000)))</x:f>
        <x:v>7.537049445816581</x:v>
      </x:c>
      <x:c r="AF28" s="40" t="n">
        <x:f>DEGREES((2*PI()/Inputs!$C$13)*Inputs!$C$15*SIN(RADIANS(AE28)))</x:f>
        <x:v>47.22021635455349</x:v>
      </x:c>
      <x:c r="AG28" s="40" t="n">
        <x:f>(Z28/AA28)^4</x:f>
        <x:v>0.9665465672464516</x:v>
      </x:c>
      <x:c r="AH28" s="40" t="n">
        <x:f>10*LOG10(AG28)</x:f>
        <x:v>-0.147772172577976</x:v>
      </x:c>
      <x:c r="AI28" s="40" t="n">
        <x:f>AC28-F28</x:f>
        <x:v>-38.121427326930416</x:v>
      </x:c>
      <x:c r="AJ28" s="40" t="n">
        <x:f>AD28-G28</x:f>
        <x:v>-0.45268744313732157</x:v>
      </x:c>
      <x:c r="AK28" s="40" t="n">
        <x:f>Y28-X28</x:f>
        <x:v>68.74270447882697</x:v>
      </x:c>
      <x:c r="AL28" s="40" t="n">
        <x:f>1000*(AA29-AA27)/(A29-A27)*Inputs!$C$11</x:f>
        <x:v>-816.8346701777409</x:v>
      </x:c>
      <x:c r="AM28" s="40" t="n">
        <x:f>-2*AL28/Inputs!$C$13</x:f>
        <x:v>326.73386807109637</x:v>
      </x:c>
      <x:c r="AN28" s="40" t="n">
        <x:f>-2*AL28/Inputs!$C$14</x:f>
        <x:v>49.059139350014476</x:v>
      </x:c>
      <x:c r="AO28" s="40" t="n">
        <x:f>ABS(AM28)</x:f>
        <x:v>326.73386807109637</x:v>
      </x:c>
      <x:c r="AP28" s="40" t="n">
        <x:f>ABS(AN28)</x:f>
        <x:v>49.059139350014476</x:v>
      </x:c>
      <x:c r="AQ28" s="40" t="n">
        <x:f>IF(Inputs!$C$27="ON",Inputs!$C$46/Inputs!$C$12,0)</x:f>
        <x:v>42.13483146067416</x:v>
      </x:c>
      <x:c r="AR28" s="40" t="n">
        <x:f>AC28-AQ28</x:f>
        <x:v>1889.1972821518011</x:v>
      </x:c>
      <x:c r="AS28" s="40" t="n">
        <x:f>AC28+AQ28</x:f>
        <x:v>1973.4669450731494</x:v>
      </x:c>
    </x:row>
    <x:row r="29">
      <x:c r="A29" s="40" t="n">
        <x:f>Inputs!$C$7+27*(Inputs!$C$8-Inputs!$C$7)/240</x:f>
        <x:v>-46.5</x:v>
      </x:c>
      <x:c r="B29" s="40" t="n">
        <x:f>Inputs!$C$5+Inputs!$C$9*(A29/Inputs!$C$10)^2</x:f>
        <x:v>402.4025</x:v>
      </x:c>
      <x:c r="C29" s="40" t="n">
        <x:f>B29</x:f>
        <x:v>402.4025</x:v>
      </x:c>
      <x:c r="D29" s="40" t="n">
        <x:f>SQRT(A29^2+Inputs!$C$6^2+B29^2)</x:f>
        <x:v>405.85098497632106</x:v>
      </x:c>
      <x:c r="E29" s="40" t="n">
        <x:f>(D29-C29)*1000</x:f>
        <x:v>3448.484976321083</x:v>
      </x:c>
      <x:c r="F29" s="40" t="n">
        <x:f>E29/Inputs!$C$12</x:f>
        <x:v>1937.3511102927434</x:v>
      </x:c>
      <x:c r="G29" s="40" t="n">
        <x:f>2*E29/Inputs!$C$21*1000000</x:f>
        <x:v>23.005815418619257</x:v>
      </x:c>
      <x:c r="H29" s="40" t="n">
        <x:f>SQRT(A29^2+Inputs!$C$6^2)</x:f>
        <x:v>52.79441258315126</x:v>
      </x:c>
      <x:c r="I29" s="40" t="n">
        <x:f>DEGREES(ATAN(H29/B29))</x:f>
        <x:v>7.4744026758958535</x:v>
      </x:c>
      <x:c r="J29" s="40" t="n">
        <x:f>DEGREES((2*PI()/Inputs!$C$13)*Inputs!$C$15*SIN(RADIANS(I29)))</x:f>
        <x:v>46.82996773075058</x:v>
      </x:c>
      <x:c r="K29" s="40" t="n">
        <x:f>(C29/D29)^4</x:f>
        <x:v>0.9664430416673366</x:v>
      </x:c>
      <x:c r="L29" s="40" t="n">
        <x:f>10*LOG10(K29)</x:f>
        <x:v>-0.148237364812649</x:v>
      </x:c>
      <x:c r="M29" s="40" t="n">
        <x:f>2*(Inputs!$C$9/(Inputs!$C$10^2))*A29</x:f>
        <x:v>-0.10333333333333333</x:v>
      </x:c>
      <x:c r="N29" s="40" t="n">
        <x:f>M29*Inputs!$C$11</x:f>
        <x:v>-0.41333333333333333</x:v>
      </x:c>
      <x:c r="O29" s="40" t="n">
        <x:f>1000*((A29*Inputs!$C$11)+(B29*N29))/D29</x:f>
        <x:v>-868.1175596684158</x:v>
      </x:c>
      <x:c r="P29" s="40" t="n">
        <x:f>-2*O29/Inputs!$C$13</x:f>
        <x:v>347.2470238673663</x:v>
      </x:c>
      <x:c r="Q29" s="40" t="n">
        <x:f>-2*O29/Inputs!$C$14</x:f>
        <x:v>52.13919277287783</x:v>
      </x:c>
      <x:c r="R29" s="40" t="n">
        <x:f>F29-Inputs!$C$16/2</x:f>
        <x:v>1922.3511102927434</x:v>
      </x:c>
      <x:c r="S29" s="40" t="n">
        <x:f>F29+Inputs!$C$16/2</x:f>
        <x:v>1952.3511102927434</x:v>
      </x:c>
      <x:c r="T29" s="40" t="n">
        <x:f>F29-Inputs!$C$17/2</x:f>
        <x:v>1787.3511102927434</x:v>
      </x:c>
      <x:c r="U29" s="40" t="n">
        <x:f>F29+Inputs!$C$17/2</x:f>
        <x:v>2087.351110292743</x:v>
      </x:c>
      <x:c r="V29" s="40" t="n">
        <x:f>ABS(P29)</x:f>
        <x:v>347.2470238673663</x:v>
      </x:c>
      <x:c r="W29" s="40" t="n">
        <x:f>ABS(Q29)</x:f>
        <x:v>52.13919277287783</x:v>
      </x:c>
      <x:c r="X29" s="40" t="n">
        <x:f>IF(Inputs!$C$27="ON",1,0)*(Inputs!$C$28*EXP(-(((A29)-Inputs!$C$29)^2)/(2*Inputs!$C$31^2))*EXP(-(((0)-Inputs!$C$30)^2)/(2*Inputs!$C$32^2))+-Inputs!$C$33*EXP(-(((((A29)-Inputs!$C$34)^2)+(((0)-Inputs!$C$35)^2))/(2*Inputs!$C$36^2)))+Inputs!$C$37*(0.55*SIN(2*PI()*(A29)/Inputs!$C$39)+0.35*COS(2*PI()*(0)/Inputs!$C$40)+0.2*SIN(2*PI()*((A29)+(0))/(0.5*(Inputs!$C$39+Inputs!$C$40))))+Inputs!$C$38*SIN(2*PI()*(A29)/Inputs!$C$39)*SIN(2*PI()*(0)/Inputs!$C$40)+-Inputs!$C$41*EXP(-(((0)-Inputs!$C$43)^2)/(2*Inputs!$C$44^2))*EXP(-(((A29)-Inputs!$C$42)^2)/(2*Inputs!$C$45^2)))</x:f>
        <x:v>30.732688402904408</x:v>
      </x:c>
      <x:c r="Y29" s="40" t="n">
        <x:f>IF(Inputs!$C$27="ON",1,0)*(Inputs!$C$28*EXP(-(((A29)-Inputs!$C$29)^2)/(2*Inputs!$C$31^2))*EXP(-(((Inputs!$C$6)-Inputs!$C$30)^2)/(2*Inputs!$C$32^2))+-Inputs!$C$33*EXP(-(((((A29)-Inputs!$C$34)^2)+(((Inputs!$C$6)-Inputs!$C$35)^2))/(2*Inputs!$C$36^2)))+Inputs!$C$37*(0.55*SIN(2*PI()*(A29)/Inputs!$C$39)+0.35*COS(2*PI()*(Inputs!$C$6)/Inputs!$C$40)+0.2*SIN(2*PI()*((A29)+(Inputs!$C$6))/(0.5*(Inputs!$C$39+Inputs!$C$40))))+Inputs!$C$38*SIN(2*PI()*(A29)/Inputs!$C$39)*SIN(2*PI()*(Inputs!$C$6)/Inputs!$C$40)+-Inputs!$C$41*EXP(-(((Inputs!$C$6)-Inputs!$C$43)^2)/(2*Inputs!$C$44^2))*EXP(-(((A29)-Inputs!$C$42)^2)/(2*Inputs!$C$45^2)))</x:f>
        <x:v>94.57598704087006</x:v>
      </x:c>
      <x:c r="Z29" s="40" t="n">
        <x:f>B29-X29/1000</x:f>
        <x:v>402.37176731159707</x:v>
      </x:c>
      <x:c r="AA29" s="40" t="n">
        <x:f>SQRT(A29^2+Inputs!$C$6^2+(B29-Y29/1000)^2)</x:f>
        <x:v>405.75721278076736</x:v>
      </x:c>
      <x:c r="AB29" s="40" t="n">
        <x:f>(AA29-Z29)*1000</x:f>
        <x:v>3385.4454691702927</x:v>
      </x:c>
      <x:c r="AC29" s="40" t="n">
        <x:f>AB29/Inputs!$C$12</x:f>
        <x:v>1901.935656837243</x:v>
      </x:c>
      <x:c r="AD29" s="40" t="n">
        <x:f>2*AB29/Inputs!$C$21*1000000</x:f>
        <x:v>22.58526109532944</x:v>
      </x:c>
      <x:c r="AE29" s="40" t="n">
        <x:f>DEGREES(ATAN(H29/(B29-Y29/1000)))</x:f>
        <x:v>7.476139911110286</x:v>
      </x:c>
      <x:c r="AF29" s="40" t="n">
        <x:f>DEGREES((2*PI()/Inputs!$C$13)*Inputs!$C$15*SIN(RADIANS(AE29)))</x:f>
        <x:v>46.84079033292128</x:v>
      </x:c>
      <x:c r="AG29" s="40" t="n">
        <x:f>(Z29/AA29)^4</x:f>
        <x:v>0.9670412677883096</x:v>
      </x:c>
      <x:c r="AH29" s="40" t="n">
        <x:f>10*LOG10(AG29)</x:f>
        <x:v>-0.145549923179026</x:v>
      </x:c>
      <x:c r="AI29" s="40" t="n">
        <x:f>AC29-F29</x:f>
        <x:v>-35.41545345550048</x:v>
      </x:c>
      <x:c r="AJ29" s="40" t="n">
        <x:f>AD29-G29</x:f>
        <x:v>-0.42055432328981723</x:v>
      </x:c>
      <x:c r="AK29" s="40" t="n">
        <x:f>Y29-X29</x:f>
        <x:v>63.84329863796565</x:v>
      </x:c>
      <x:c r="AL29" s="40" t="n">
        <x:f>1000*(AA30-AA28)/(A30-A28)*Inputs!$C$11</x:f>
        <x:v>-802.209963035466</x:v>
      </x:c>
      <x:c r="AM29" s="40" t="n">
        <x:f>-2*AL29/Inputs!$C$13</x:f>
        <x:v>320.8839852141864</x:v>
      </x:c>
      <x:c r="AN29" s="40" t="n">
        <x:f>-2*AL29/Inputs!$C$14</x:f>
        <x:v>48.18077856068865</x:v>
      </x:c>
      <x:c r="AO29" s="40" t="n">
        <x:f>ABS(AM29)</x:f>
        <x:v>320.8839852141864</x:v>
      </x:c>
      <x:c r="AP29" s="40" t="n">
        <x:f>ABS(AN29)</x:f>
        <x:v>48.18077856068865</x:v>
      </x:c>
      <x:c r="AQ29" s="40" t="n">
        <x:f>IF(Inputs!$C$27="ON",Inputs!$C$46/Inputs!$C$12,0)</x:f>
        <x:v>42.13483146067416</x:v>
      </x:c>
      <x:c r="AR29" s="40" t="n">
        <x:f>AC29-AQ29</x:f>
        <x:v>1859.8008253765688</x:v>
      </x:c>
      <x:c r="AS29" s="40" t="n">
        <x:f>AC29+AQ29</x:f>
        <x:v>1944.070488297917</x:v>
      </x:c>
    </x:row>
    <x:row r="30">
      <x:c r="A30" s="40" t="n">
        <x:f>Inputs!$C$7+28*(Inputs!$C$8-Inputs!$C$7)/240</x:f>
        <x:v>-46</x:v>
      </x:c>
      <x:c r="B30" s="40" t="n">
        <x:f>Inputs!$C$5+Inputs!$C$9*(A30/Inputs!$C$10)^2</x:f>
        <x:v>402.3511111111111</x:v>
      </x:c>
      <x:c r="C30" s="40" t="n">
        <x:f>B30</x:f>
        <x:v>402.3511111111111</x:v>
      </x:c>
      <x:c r="D30" s="40" t="n">
        <x:f>SQRT(A30^2+Inputs!$C$6^2+B30^2)</x:f>
        <x:v>405.74304259265574</x:v>
      </x:c>
      <x:c r="E30" s="40" t="n">
        <x:f>(D30-C30)*1000</x:f>
        <x:v>3391.9314815446455</x:v>
      </x:c>
      <x:c r="F30" s="40" t="n">
        <x:f>E30/Inputs!$C$12</x:f>
        <x:v>1905.5794840138458</x:v>
      </x:c>
      <x:c r="G30" s="40" t="n">
        <x:f>2*E30/Inputs!$C$21*1000000</x:f>
        <x:v>22.62853111231134</x:v>
      </x:c>
      <x:c r="H30" s="40" t="n">
        <x:f>SQRT(A30^2+Inputs!$C$6^2)</x:f>
        <x:v>52.354560450833695</x:v>
      </x:c>
      <x:c r="I30" s="40" t="n">
        <x:f>DEGREES(ATAN(H30/B30))</x:f>
        <x:v>7.413762015717533</x:v>
      </x:c>
      <x:c r="J30" s="40" t="n">
        <x:f>DEGREES((2*PI()/Inputs!$C$13)*Inputs!$C$15*SIN(RADIANS(I30)))</x:f>
        <x:v>46.45216253583958</x:v>
      </x:c>
      <x:c r="K30" s="40" t="n">
        <x:f>(C30/D30)^4</x:f>
        <x:v>0.9669777778461417</x:v>
      </x:c>
      <x:c r="L30" s="40" t="n">
        <x:f>10*LOG10(K30)</x:f>
        <x:v>-0.145835063406698</x:v>
      </x:c>
      <x:c r="M30" s="40" t="n">
        <x:f>2*(Inputs!$C$9/(Inputs!$C$10^2))*A30</x:f>
        <x:v>-0.10222222222222223</x:v>
      </x:c>
      <x:c r="N30" s="40" t="n">
        <x:f>M30*Inputs!$C$11</x:f>
        <x:v>-0.4088888888888889</x:v>
      </x:c>
      <x:c r="O30" s="40" t="n">
        <x:f>1000*((A30*Inputs!$C$11)+(B30*N30))/D30</x:f>
        <x:v>-858.9596423846123</x:v>
      </x:c>
      <x:c r="P30" s="40" t="n">
        <x:f>-2*O30/Inputs!$C$13</x:f>
        <x:v>343.58385695384493</x:v>
      </x:c>
      <x:c r="Q30" s="40" t="n">
        <x:f>-2*O30/Inputs!$C$14</x:f>
        <x:v>51.58916771078753</x:v>
      </x:c>
      <x:c r="R30" s="40" t="n">
        <x:f>F30-Inputs!$C$16/2</x:f>
        <x:v>1890.5794840138458</x:v>
      </x:c>
      <x:c r="S30" s="40" t="n">
        <x:f>F30+Inputs!$C$16/2</x:f>
        <x:v>1920.5794840138458</x:v>
      </x:c>
      <x:c r="T30" s="40" t="n">
        <x:f>F30-Inputs!$C$17/2</x:f>
        <x:v>1755.5794840138458</x:v>
      </x:c>
      <x:c r="U30" s="40" t="n">
        <x:f>F30+Inputs!$C$17/2</x:f>
        <x:v>2055.579484013846</x:v>
      </x:c>
      <x:c r="V30" s="40" t="n">
        <x:f>ABS(P30)</x:f>
        <x:v>343.58385695384493</x:v>
      </x:c>
      <x:c r="W30" s="40" t="n">
        <x:f>ABS(Q30)</x:f>
        <x:v>51.58916771078753</x:v>
      </x:c>
      <x:c r="X30" s="40" t="n">
        <x:f>IF(Inputs!$C$27="ON",1,0)*(Inputs!$C$28*EXP(-(((A30)-Inputs!$C$29)^2)/(2*Inputs!$C$31^2))*EXP(-(((0)-Inputs!$C$30)^2)/(2*Inputs!$C$32^2))+-Inputs!$C$33*EXP(-(((((A30)-Inputs!$C$34)^2)+(((0)-Inputs!$C$35)^2))/(2*Inputs!$C$36^2)))+Inputs!$C$37*(0.55*SIN(2*PI()*(A30)/Inputs!$C$39)+0.35*COS(2*PI()*(0)/Inputs!$C$40)+0.2*SIN(2*PI()*((A30)+(0))/(0.5*(Inputs!$C$39+Inputs!$C$40))))+Inputs!$C$38*SIN(2*PI()*(A30)/Inputs!$C$39)*SIN(2*PI()*(0)/Inputs!$C$40)+-Inputs!$C$41*EXP(-(((0)-Inputs!$C$43)^2)/(2*Inputs!$C$44^2))*EXP(-(((A30)-Inputs!$C$42)^2)/(2*Inputs!$C$45^2)))</x:f>
        <x:v>27.349280368001587</x:v>
      </x:c>
      <x:c r="Y30" s="40" t="n">
        <x:f>IF(Inputs!$C$27="ON",1,0)*(Inputs!$C$28*EXP(-(((A30)-Inputs!$C$29)^2)/(2*Inputs!$C$31^2))*EXP(-(((Inputs!$C$6)-Inputs!$C$30)^2)/(2*Inputs!$C$32^2))+-Inputs!$C$33*EXP(-(((((A30)-Inputs!$C$34)^2)+(((Inputs!$C$6)-Inputs!$C$35)^2))/(2*Inputs!$C$36^2)))+Inputs!$C$37*(0.55*SIN(2*PI()*(A30)/Inputs!$C$39)+0.35*COS(2*PI()*(Inputs!$C$6)/Inputs!$C$40)+0.2*SIN(2*PI()*((A30)+(Inputs!$C$6))/(0.5*(Inputs!$C$39+Inputs!$C$40))))+Inputs!$C$38*SIN(2*PI()*(A30)/Inputs!$C$39)*SIN(2*PI()*(Inputs!$C$6)/Inputs!$C$40)+-Inputs!$C$41*EXP(-(((Inputs!$C$6)-Inputs!$C$43)^2)/(2*Inputs!$C$44^2))*EXP(-(((A30)-Inputs!$C$42)^2)/(2*Inputs!$C$45^2)))</x:f>
        <x:v>85.99621423254672</x:v>
      </x:c>
      <x:c r="Z30" s="40" t="n">
        <x:f>B30-X30/1000</x:f>
        <x:v>402.3237618307431</x:v>
      </x:c>
      <x:c r="AA30" s="40" t="n">
        <x:f>SQRT(A30^2+Inputs!$C$6^2+(B30-Y30/1000)^2)</x:f>
        <x:v>405.6577654415097</x:v>
      </x:c>
      <x:c r="AB30" s="40" t="n">
        <x:f>(AA30-Z30)*1000</x:f>
        <x:v>3334.003610766615</x:v>
      </x:c>
      <x:c r="AC30" s="40" t="n">
        <x:f>AB30/Inputs!$C$12</x:f>
        <x:v>1873.0357363857388</x:v>
      </x:c>
      <x:c r="AD30" s="40" t="n">
        <x:f>2*AB30/Inputs!$C$21*1000000</x:f>
        <x:v>22.242077956254757</x:v>
      </x:c>
      <x:c r="AE30" s="40" t="n">
        <x:f>DEGREES(ATAN(H30/(B30-Y30/1000)))</x:f>
        <x:v>7.41532929216635</x:v>
      </x:c>
      <x:c r="AF30" s="40" t="n">
        <x:f>DEGREES((2*PI()/Inputs!$C$13)*Inputs!$C$15*SIN(RADIANS(AE30)))</x:f>
        <x:v>46.46192768376254</x:v>
      </x:c>
      <x:c r="AG30" s="40" t="n">
        <x:f>(Z30/AA30)^4</x:f>
        <x:v>0.9675280339917423</x:v>
      </x:c>
      <x:c r="AH30" s="40" t="n">
        <x:f>10*LOG10(AG30)</x:f>
        <x:v>-0.143364425038488</x:v>
      </x:c>
      <x:c r="AI30" s="40" t="n">
        <x:f>AC30-F30</x:f>
        <x:v>-32.543747628106985</x:v>
      </x:c>
      <x:c r="AJ30" s="40" t="n">
        <x:f>AD30-G30</x:f>
        <x:v>-0.38645315605658226</x:v>
      </x:c>
      <x:c r="AK30" s="40" t="n">
        <x:f>Y30-X30</x:f>
        <x:v>58.64693386454513</x:v>
      </x:c>
      <x:c r="AL30" s="40" t="n">
        <x:f>1000*(AA31-AA29)/(A31-A29)*Inputs!$C$11</x:f>
        <x:v>-790.3675331031081</x:v>
      </x:c>
      <x:c r="AM30" s="40" t="n">
        <x:f>-2*AL30/Inputs!$C$13</x:f>
        <x:v>316.14701324124326</x:v>
      </x:c>
      <x:c r="AN30" s="40" t="n">
        <x:f>-2*AL30/Inputs!$C$14</x:f>
        <x:v>47.46952150769419</x:v>
      </x:c>
      <x:c r="AO30" s="40" t="n">
        <x:f>ABS(AM30)</x:f>
        <x:v>316.14701324124326</x:v>
      </x:c>
      <x:c r="AP30" s="40" t="n">
        <x:f>ABS(AN30)</x:f>
        <x:v>47.46952150769419</x:v>
      </x:c>
      <x:c r="AQ30" s="40" t="n">
        <x:f>IF(Inputs!$C$27="ON",Inputs!$C$46/Inputs!$C$12,0)</x:f>
        <x:v>42.13483146067416</x:v>
      </x:c>
      <x:c r="AR30" s="40" t="n">
        <x:f>AC30-AQ30</x:f>
        <x:v>1830.9009049250647</x:v>
      </x:c>
      <x:c r="AS30" s="40" t="n">
        <x:f>AC30+AQ30</x:f>
        <x:v>1915.170567846413</x:v>
      </x:c>
    </x:row>
    <x:row r="31">
      <x:c r="A31" s="40" t="n">
        <x:f>Inputs!$C$7+29*(Inputs!$C$8-Inputs!$C$7)/240</x:f>
        <x:v>-45.5</x:v>
      </x:c>
      <x:c r="B31" s="40" t="n">
        <x:f>Inputs!$C$5+Inputs!$C$9*(A31/Inputs!$C$10)^2</x:f>
        <x:v>402.30027777777775</x:v>
      </x:c>
      <x:c r="C31" s="40" t="n">
        <x:f>B31</x:f>
        <x:v>402.30027777777775</x:v>
      </x:c>
      <x:c r="D31" s="40" t="n">
        <x:f>SQRT(A31^2+Inputs!$C$6^2+B31^2)</x:f>
        <x:v>405.63624529876165</x:v>
      </x:c>
      <x:c r="E31" s="40" t="n">
        <x:f>(D31-C31)*1000</x:f>
        <x:v>3335.9675209838997</x:v>
      </x:c>
      <x:c r="F31" s="40" t="n">
        <x:f>E31/Inputs!$C$12</x:f>
        <x:v>1874.139056732528</x:v>
      </x:c>
      <x:c r="G31" s="40" t="n">
        <x:f>2*E31/Inputs!$C$21*1000000</x:f>
        <x:v>22.255179754948337</x:v>
      </x:c>
      <x:c r="H31" s="40" t="n">
        <x:f>SQRT(A31^2+Inputs!$C$6^2)</x:f>
        <x:v>51.915797210483056</x:v>
      </x:c>
      <x:c r="I31" s="40" t="n">
        <x:f>DEGREES(ATAN(H31/B31))</x:f>
        <x:v>7.353231646851434</x:v>
      </x:c>
      <x:c r="J31" s="40" t="n">
        <x:f>DEGREES((2*PI()/Inputs!$C$13)*Inputs!$C$15*SIN(RADIANS(I31)))</x:f>
        <x:v>46.07499258851599</x:v>
      </x:c>
      <x:c r="K31" s="40" t="n">
        <x:f>(C31/D31)^4</x:f>
        <x:v>0.9675074400588148</x:v>
      </x:c>
      <x:c r="L31" s="40" t="n">
        <x:f>10*LOG10(K31)</x:f>
        <x:v>-0.143456866045915</x:v>
      </x:c>
      <x:c r="M31" s="40" t="n">
        <x:f>2*(Inputs!$C$9/(Inputs!$C$10^2))*A31</x:f>
        <x:v>-0.10111111111111111</x:v>
      </x:c>
      <x:c r="N31" s="40" t="n">
        <x:f>M31*Inputs!$C$11</x:f>
        <x:v>-0.40444444444444444</x:v>
      </x:c>
      <x:c r="O31" s="40" t="n">
        <x:f>1000*((A31*Inputs!$C$11)+(B31*N31))/D31</x:f>
        <x:v>-849.796132226282</x:v>
      </x:c>
      <x:c r="P31" s="40" t="n">
        <x:f>-2*O31/Inputs!$C$13</x:f>
        <x:v>339.9184528905128</x:v>
      </x:c>
      <x:c r="Q31" s="40" t="n">
        <x:f>-2*O31/Inputs!$C$14</x:f>
        <x:v>51.03880674031724</x:v>
      </x:c>
      <x:c r="R31" s="40" t="n">
        <x:f>F31-Inputs!$C$16/2</x:f>
        <x:v>1859.139056732528</x:v>
      </x:c>
      <x:c r="S31" s="40" t="n">
        <x:f>F31+Inputs!$C$16/2</x:f>
        <x:v>1889.139056732528</x:v>
      </x:c>
      <x:c r="T31" s="40" t="n">
        <x:f>F31-Inputs!$C$17/2</x:f>
        <x:v>1724.139056732528</x:v>
      </x:c>
      <x:c r="U31" s="40" t="n">
        <x:f>F31+Inputs!$C$17/2</x:f>
        <x:v>2024.139056732528</x:v>
      </x:c>
      <x:c r="V31" s="40" t="n">
        <x:f>ABS(P31)</x:f>
        <x:v>339.9184528905128</x:v>
      </x:c>
      <x:c r="W31" s="40" t="n">
        <x:f>ABS(Q31)</x:f>
        <x:v>51.03880674031724</x:v>
      </x:c>
      <x:c r="X31" s="40" t="n">
        <x:f>IF(Inputs!$C$27="ON",1,0)*(Inputs!$C$28*EXP(-(((A31)-Inputs!$C$29)^2)/(2*Inputs!$C$31^2))*EXP(-(((0)-Inputs!$C$30)^2)/(2*Inputs!$C$32^2))+-Inputs!$C$33*EXP(-(((((A31)-Inputs!$C$34)^2)+(((0)-Inputs!$C$35)^2))/(2*Inputs!$C$36^2)))+Inputs!$C$37*(0.55*SIN(2*PI()*(A31)/Inputs!$C$39)+0.35*COS(2*PI()*(0)/Inputs!$C$40)+0.2*SIN(2*PI()*((A31)+(0))/(0.5*(Inputs!$C$39+Inputs!$C$40))))+Inputs!$C$38*SIN(2*PI()*(A31)/Inputs!$C$39)*SIN(2*PI()*(0)/Inputs!$C$40)+-Inputs!$C$41*EXP(-(((0)-Inputs!$C$43)^2)/(2*Inputs!$C$44^2))*EXP(-(((A31)-Inputs!$C$42)^2)/(2*Inputs!$C$45^2)))</x:f>
        <x:v>23.814443942079276</x:v>
      </x:c>
      <x:c r="Y31" s="40" t="n">
        <x:f>IF(Inputs!$C$27="ON",1,0)*(Inputs!$C$28*EXP(-(((A31)-Inputs!$C$29)^2)/(2*Inputs!$C$31^2))*EXP(-(((Inputs!$C$6)-Inputs!$C$30)^2)/(2*Inputs!$C$32^2))+-Inputs!$C$33*EXP(-(((((A31)-Inputs!$C$34)^2)+(((Inputs!$C$6)-Inputs!$C$35)^2))/(2*Inputs!$C$36^2)))+Inputs!$C$37*(0.55*SIN(2*PI()*(A31)/Inputs!$C$39)+0.35*COS(2*PI()*(Inputs!$C$6)/Inputs!$C$40)+0.2*SIN(2*PI()*((A31)+(Inputs!$C$6))/(0.5*(Inputs!$C$39+Inputs!$C$40))))+Inputs!$C$38*SIN(2*PI()*(A31)/Inputs!$C$39)*SIN(2*PI()*(Inputs!$C$6)/Inputs!$C$40)+-Inputs!$C$41*EXP(-(((Inputs!$C$6)-Inputs!$C$43)^2)/(2*Inputs!$C$44^2))*EXP(-(((A31)-Inputs!$C$42)^2)/(2*Inputs!$C$45^2)))</x:f>
        <x:v>77.25991018092577</x:v>
      </x:c>
      <x:c r="Z31" s="40" t="n">
        <x:f>B31-X31/1000</x:f>
        <x:v>402.2764633338357</x:v>
      </x:c>
      <x:c r="AA31" s="40" t="n">
        <x:f>SQRT(A31^2+Inputs!$C$6^2+(B31-Y31/1000)^2)</x:f>
        <x:v>405.5596208974916</x:v>
      </x:c>
      <x:c r="AB31" s="40" t="n">
        <x:f>(AA31-Z31)*1000</x:f>
        <x:v>3283.157563655891</x:v>
      </x:c>
      <x:c r="AC31" s="40" t="n">
        <x:f>AB31/Inputs!$C$12</x:f>
        <x:v>1844.470541379714</x:v>
      </x:c>
      <x:c r="AD31" s="40" t="n">
        <x:f>2*AB31/Inputs!$C$21*1000000</x:f>
        <x:v>21.90286964227693</x:v>
      </x:c>
      <x:c r="AE31" s="40" t="n">
        <x:f>DEGREES(ATAN(H31/(B31-Y31/1000)))</x:f>
        <x:v>7.354628609827897</x:v>
      </x:c>
      <x:c r="AF31" s="40" t="n">
        <x:f>DEGREES((2*PI()/Inputs!$C$13)*Inputs!$C$15*SIN(RADIANS(AE31)))</x:f>
        <x:v>46.08369776659265</x:v>
      </x:c>
      <x:c r="AG31" s="40" t="n">
        <x:f>(Z31/AA31)^4</x:f>
        <x:v>0.9680095894023923</x:v>
      </x:c>
      <x:c r="AH31" s="40" t="n">
        <x:f>10*LOG10(AG31)</x:f>
        <x:v>-0.14120340414834</x:v>
      </x:c>
      <x:c r="AI31" s="40" t="n">
        <x:f>AC31-F31</x:f>
        <x:v>-29.668515352813984</x:v>
      </x:c>
      <x:c r="AJ31" s="40" t="n">
        <x:f>AD31-G31</x:f>
        <x:v>-0.35231011267140744</x:v>
      </x:c>
      <x:c r="AK31" s="40" t="n">
        <x:f>Y31-X31</x:f>
        <x:v>53.44546623884649</x:v>
      </x:c>
      <x:c r="AL31" s="40" t="n">
        <x:f>1000*(AA32-AA30)/(A32-A30)*Inputs!$C$11</x:f>
        <x:v>-781.3744302620762</x:v>
      </x:c>
      <x:c r="AM31" s="40" t="n">
        <x:f>-2*AL31/Inputs!$C$13</x:f>
        <x:v>312.5497721048305</x:v>
      </x:c>
      <x:c r="AN31" s="40" t="n">
        <x:f>-2*AL31/Inputs!$C$14</x:f>
        <x:v>46.92939521093551</x:v>
      </x:c>
      <x:c r="AO31" s="40" t="n">
        <x:f>ABS(AM31)</x:f>
        <x:v>312.5497721048305</x:v>
      </x:c>
      <x:c r="AP31" s="40" t="n">
        <x:f>ABS(AN31)</x:f>
        <x:v>46.92939521093551</x:v>
      </x:c>
      <x:c r="AQ31" s="40" t="n">
        <x:f>IF(Inputs!$C$27="ON",Inputs!$C$46/Inputs!$C$12,0)</x:f>
        <x:v>42.13483146067416</x:v>
      </x:c>
      <x:c r="AR31" s="40" t="n">
        <x:f>AC31-AQ31</x:f>
        <x:v>1802.3357099190398</x:v>
      </x:c>
      <x:c r="AS31" s="40" t="n">
        <x:f>AC31+AQ31</x:f>
        <x:v>1886.605372840388</x:v>
      </x:c>
    </x:row>
    <x:row r="32">
      <x:c r="A32" s="40" t="n">
        <x:f>Inputs!$C$7+30*(Inputs!$C$8-Inputs!$C$7)/240</x:f>
        <x:v>-45</x:v>
      </x:c>
      <x:c r="B32" s="40" t="n">
        <x:f>Inputs!$C$5+Inputs!$C$9*(A32/Inputs!$C$10)^2</x:f>
        <x:v>402.25</x:v>
      </x:c>
      <x:c r="C32" s="40" t="n">
        <x:f>B32</x:f>
        <x:v>402.25</x:v>
      </x:c>
      <x:c r="D32" s="40" t="n">
        <x:f>SQRT(A32^2+Inputs!$C$6^2+B32^2)</x:f>
        <x:v>405.5305937904069</x:v>
      </x:c>
      <x:c r="E32" s="40" t="n">
        <x:f>(D32-C32)*1000</x:f>
        <x:v>3280.593790406897</x:v>
      </x:c>
      <x:c r="F32" s="40" t="n">
        <x:f>E32/Inputs!$C$12</x:f>
        <x:v>1843.0302193297173</x:v>
      </x:c>
      <x:c r="G32" s="40" t="n">
        <x:f>2*E32/Inputs!$C$21*1000000</x:f>
        <x:v>21.885765988195054</x:v>
      </x:c>
      <x:c r="H32" s="40" t="n">
        <x:f>SQRT(A32^2+Inputs!$C$6^2)</x:f>
        <x:v>51.478150704935004</x:v>
      </x:c>
      <x:c r="I32" s="40" t="n">
        <x:f>DEGREES(ATAN(H32/B32))</x:f>
        <x:v>7.292816002949435</x:v>
      </x:c>
      <x:c r="J32" s="40" t="n">
        <x:f>DEGREES((2*PI()/Inputs!$C$13)*Inputs!$C$15*SIN(RADIANS(I32)))</x:f>
        <x:v>45.69848622408668</x:v>
      </x:c>
      <x:c r="K32" s="40" t="n">
        <x:f>(C32/D32)^4</x:f>
        <x:v>0.9680320065226272</x:v>
      </x:c>
      <x:c r="L32" s="40" t="n">
        <x:f>10*LOG10(K32)</x:f>
        <x:v>-0.141102831602387</x:v>
      </x:c>
      <x:c r="M32" s="40" t="n">
        <x:f>2*(Inputs!$C$9/(Inputs!$C$10^2))*A32</x:f>
        <x:v>-0.1</x:v>
      </x:c>
      <x:c r="N32" s="40" t="n">
        <x:f>M32*Inputs!$C$11</x:f>
        <x:v>-0.4</x:v>
      </x:c>
      <x:c r="O32" s="40" t="n">
        <x:f>1000*((A32*Inputs!$C$11)+(B32*N32))/D32</x:f>
        <x:v>-840.6270826910525</x:v>
      </x:c>
      <x:c r="P32" s="40" t="n">
        <x:f>-2*O32/Inputs!$C$13</x:f>
        <x:v>336.250833076421</x:v>
      </x:c>
      <x:c r="Q32" s="40" t="n">
        <x:f>-2*O32/Inputs!$C$14</x:f>
        <x:v>50.48811307453769</x:v>
      </x:c>
      <x:c r="R32" s="40" t="n">
        <x:f>F32-Inputs!$C$16/2</x:f>
        <x:v>1828.0302193297173</x:v>
      </x:c>
      <x:c r="S32" s="40" t="n">
        <x:f>F32+Inputs!$C$16/2</x:f>
        <x:v>1858.0302193297173</x:v>
      </x:c>
      <x:c r="T32" s="40" t="n">
        <x:f>F32-Inputs!$C$17/2</x:f>
        <x:v>1693.0302193297173</x:v>
      </x:c>
      <x:c r="U32" s="40" t="n">
        <x:f>F32+Inputs!$C$17/2</x:f>
        <x:v>1993.0302193297173</x:v>
      </x:c>
      <x:c r="V32" s="40" t="n">
        <x:f>ABS(P32)</x:f>
        <x:v>336.250833076421</x:v>
      </x:c>
      <x:c r="W32" s="40" t="n">
        <x:f>ABS(Q32)</x:f>
        <x:v>50.48811307453769</x:v>
      </x:c>
      <x:c r="X32" s="40" t="n">
        <x:f>IF(Inputs!$C$27="ON",1,0)*(Inputs!$C$28*EXP(-(((A32)-Inputs!$C$29)^2)/(2*Inputs!$C$31^2))*EXP(-(((0)-Inputs!$C$30)^2)/(2*Inputs!$C$32^2))+-Inputs!$C$33*EXP(-(((((A32)-Inputs!$C$34)^2)+(((0)-Inputs!$C$35)^2))/(2*Inputs!$C$36^2)))+Inputs!$C$37*(0.55*SIN(2*PI()*(A32)/Inputs!$C$39)+0.35*COS(2*PI()*(0)/Inputs!$C$40)+0.2*SIN(2*PI()*((A32)+(0))/(0.5*(Inputs!$C$39+Inputs!$C$40))))+Inputs!$C$38*SIN(2*PI()*(A32)/Inputs!$C$39)*SIN(2*PI()*(0)/Inputs!$C$40)+-Inputs!$C$41*EXP(-(((0)-Inputs!$C$43)^2)/(2*Inputs!$C$44^2))*EXP(-(((A32)-Inputs!$C$42)^2)/(2*Inputs!$C$45^2)))</x:f>
        <x:v>20.196071423272823</x:v>
      </x:c>
      <x:c r="Y32" s="40" t="n">
        <x:f>IF(Inputs!$C$27="ON",1,0)*(Inputs!$C$28*EXP(-(((A32)-Inputs!$C$29)^2)/(2*Inputs!$C$31^2))*EXP(-(((Inputs!$C$6)-Inputs!$C$30)^2)/(2*Inputs!$C$32^2))+-Inputs!$C$33*EXP(-(((((A32)-Inputs!$C$34)^2)+(((Inputs!$C$6)-Inputs!$C$35)^2))/(2*Inputs!$C$36^2)))+Inputs!$C$37*(0.55*SIN(2*PI()*(A32)/Inputs!$C$39)+0.35*COS(2*PI()*(Inputs!$C$6)/Inputs!$C$40)+0.2*SIN(2*PI()*((A32)+(Inputs!$C$6))/(0.5*(Inputs!$C$39+Inputs!$C$40))))+Inputs!$C$38*SIN(2*PI()*(A32)/Inputs!$C$39)*SIN(2*PI()*(Inputs!$C$6)/Inputs!$C$40)+-Inputs!$C$41*EXP(-(((Inputs!$C$6)-Inputs!$C$43)^2)/(2*Inputs!$C$44^2))*EXP(-(((A32)-Inputs!$C$42)^2)/(2*Inputs!$C$45^2)))</x:f>
        <x:v>68.72803492291186</x:v>
      </x:c>
      <x:c r="Z32" s="40" t="n">
        <x:f>B32-X32/1000</x:f>
        <x:v>402.2298039285767</x:v>
      </x:c>
      <x:c r="AA32" s="40" t="n">
        <x:f>SQRT(A32^2+Inputs!$C$6^2+(B32-Y32/1000)^2)</x:f>
        <x:v>405.4624218339442</x:v>
      </x:c>
      <x:c r="AB32" s="40" t="n">
        <x:f>(AA32-Z32)*1000</x:f>
        <x:v>3232.6179053674764</x:v>
      </x:c>
      <x:c r="AC32" s="40" t="n">
        <x:f>AB32/Inputs!$C$12</x:f>
        <x:v>1816.0774749255486</x:v>
      </x:c>
      <x:c r="AD32" s="40" t="n">
        <x:f>2*AB32/Inputs!$C$21*1000000</x:f>
        <x:v>21.565705334504955</x:v>
      </x:c>
      <x:c r="AE32" s="40" t="n">
        <x:f>DEGREES(ATAN(H32/(B32-Y32/1000)))</x:f>
        <x:v>7.294048838820971</x:v>
      </x:c>
      <x:c r="AF32" s="40" t="n">
        <x:f>DEGREES((2*PI()/Inputs!$C$13)*Inputs!$C$15*SIN(RADIANS(AE32)))</x:f>
        <x:v>45.70616968633994</x:v>
      </x:c>
      <x:c r="AG32" s="40" t="n">
        <x:f>(Z32/AA32)^4</x:f>
        <x:v>0.968488679505988</x:v>
      </x:c>
      <x:c r="AH32" s="40" t="n">
        <x:f>10*LOG10(AG32)</x:f>
        <x:v>-0.139054513070958</x:v>
      </x:c>
      <x:c r="AI32" s="40" t="n">
        <x:f>AC32-F32</x:f>
        <x:v>-26.952744404168698</x:v>
      </x:c>
      <x:c r="AJ32" s="40" t="n">
        <x:f>AD32-G32</x:f>
        <x:v>-0.3200606536900992</x:v>
      </x:c>
      <x:c r="AK32" s="40" t="n">
        <x:f>Y32-X32</x:f>
        <x:v>48.53196349963903</x:v>
      </x:c>
      <x:c r="AL32" s="40" t="n">
        <x:f>1000*(AA33-AA31)/(A33-A31)*Inputs!$C$11</x:f>
        <x:v>-775.2008308179938</x:v>
      </x:c>
      <x:c r="AM32" s="40" t="n">
        <x:f>-2*AL32/Inputs!$C$13</x:f>
        <x:v>310.08033232719754</x:v>
      </x:c>
      <x:c r="AN32" s="40" t="n">
        <x:f>-2*AL32/Inputs!$C$14</x:f>
        <x:v>46.55860845753717</x:v>
      </x:c>
      <x:c r="AO32" s="40" t="n">
        <x:f>ABS(AM32)</x:f>
        <x:v>310.08033232719754</x:v>
      </x:c>
      <x:c r="AP32" s="40" t="n">
        <x:f>ABS(AN32)</x:f>
        <x:v>46.55860845753717</x:v>
      </x:c>
      <x:c r="AQ32" s="40" t="n">
        <x:f>IF(Inputs!$C$27="ON",Inputs!$C$46/Inputs!$C$12,0)</x:f>
        <x:v>42.13483146067416</x:v>
      </x:c>
      <x:c r="AR32" s="40" t="n">
        <x:f>AC32-AQ32</x:f>
        <x:v>1773.9426434648744</x:v>
      </x:c>
      <x:c r="AS32" s="40" t="n">
        <x:f>AC32+AQ32</x:f>
        <x:v>1858.2123063862227</x:v>
      </x:c>
    </x:row>
    <x:row r="33">
      <x:c r="A33" s="40" t="n">
        <x:f>Inputs!$C$7+31*(Inputs!$C$8-Inputs!$C$7)/240</x:f>
        <x:v>-44.5</x:v>
      </x:c>
      <x:c r="B33" s="40" t="n">
        <x:f>Inputs!$C$5+Inputs!$C$9*(A33/Inputs!$C$10)^2</x:f>
        <x:v>402.2002777777778</x:v>
      </x:c>
      <x:c r="C33" s="40" t="n">
        <x:f>B33</x:f>
        <x:v>402.2002777777778</x:v>
      </x:c>
      <x:c r="D33" s="40" t="n">
        <x:f>SQRT(A33^2+Inputs!$C$6^2+B33^2)</x:f>
        <x:v>405.4260887566581</x:v>
      </x:c>
      <x:c r="E33" s="40" t="n">
        <x:f>(D33-C33)*1000</x:f>
        <x:v>3225.810978880304</x:v>
      </x:c>
      <x:c r="F33" s="40" t="n">
        <x:f>E33/Inputs!$C$12</x:f>
        <x:v>1812.253358921519</x:v>
      </x:c>
      <x:c r="G33" s="40" t="n">
        <x:f>2*E33/Inputs!$C$21*1000000</x:f>
        <x:v>21.520294409009473</x:v>
      </x:c>
      <x:c r="H33" s="40" t="n">
        <x:f>SQRT(A33^2+Inputs!$C$6^2)</x:f>
        <x:v>51.041649659861115</x:v>
      </x:c>
      <x:c r="I33" s="40" t="n">
        <x:f>DEGREES(ATAN(H33/B33))</x:f>
        <x:v>7.232519645354166</x:v>
      </x:c>
      <x:c r="J33" s="40" t="n">
        <x:f>DEGREES((2*PI()/Inputs!$C$13)*Inputs!$C$15*SIN(RADIANS(I33)))</x:f>
        <x:v>45.32267258355667</x:v>
      </x:c>
      <x:c r="K33" s="40" t="n">
        <x:f>(C33/D33)^4</x:f>
        <x:v>0.9685514556263732</x:v>
      </x:c>
      <x:c r="L33" s="40" t="n">
        <x:f>10*LOG10(K33)</x:f>
        <x:v>-0.138773018411207</x:v>
      </x:c>
      <x:c r="M33" s="40" t="n">
        <x:f>2*(Inputs!$C$9/(Inputs!$C$10^2))*A33</x:f>
        <x:v>-0.09888888888888889</x:v>
      </x:c>
      <x:c r="N33" s="40" t="n">
        <x:f>M33*Inputs!$C$11</x:f>
        <x:v>-0.39555555555555555</x:v>
      </x:c>
      <x:c r="O33" s="40" t="n">
        <x:f>1000*((A33*Inputs!$C$11)+(B33*N33))/D33</x:f>
        <x:v>-831.4525475032144</x:v>
      </x:c>
      <x:c r="P33" s="40" t="n">
        <x:f>-2*O33/Inputs!$C$13</x:f>
        <x:v>332.58101900128577</x:v>
      </x:c>
      <x:c r="Q33" s="40" t="n">
        <x:f>-2*O33/Inputs!$C$14</x:f>
        <x:v>49.937089940133</x:v>
      </x:c>
      <x:c r="R33" s="40" t="n">
        <x:f>F33-Inputs!$C$16/2</x:f>
        <x:v>1797.253358921519</x:v>
      </x:c>
      <x:c r="S33" s="40" t="n">
        <x:f>F33+Inputs!$C$16/2</x:f>
        <x:v>1827.253358921519</x:v>
      </x:c>
      <x:c r="T33" s="40" t="n">
        <x:f>F33-Inputs!$C$17/2</x:f>
        <x:v>1662.253358921519</x:v>
      </x:c>
      <x:c r="U33" s="40" t="n">
        <x:f>F33+Inputs!$C$17/2</x:f>
        <x:v>1962.253358921519</x:v>
      </x:c>
      <x:c r="V33" s="40" t="n">
        <x:f>ABS(P33)</x:f>
        <x:v>332.58101900128577</x:v>
      </x:c>
      <x:c r="W33" s="40" t="n">
        <x:f>ABS(Q33)</x:f>
        <x:v>49.937089940133</x:v>
      </x:c>
      <x:c r="X33" s="40" t="n">
        <x:f>IF(Inputs!$C$27="ON",1,0)*(Inputs!$C$28*EXP(-(((A33)-Inputs!$C$29)^2)/(2*Inputs!$C$31^2))*EXP(-(((0)-Inputs!$C$30)^2)/(2*Inputs!$C$32^2))+-Inputs!$C$33*EXP(-(((((A33)-Inputs!$C$34)^2)+(((0)-Inputs!$C$35)^2))/(2*Inputs!$C$36^2)))+Inputs!$C$37*(0.55*SIN(2*PI()*(A33)/Inputs!$C$39)+0.35*COS(2*PI()*(0)/Inputs!$C$40)+0.2*SIN(2*PI()*((A33)+(0))/(0.5*(Inputs!$C$39+Inputs!$C$40))))+Inputs!$C$38*SIN(2*PI()*(A33)/Inputs!$C$39)*SIN(2*PI()*(0)/Inputs!$C$40)+-Inputs!$C$41*EXP(-(((0)-Inputs!$C$43)^2)/(2*Inputs!$C$44^2))*EXP(-(((A33)-Inputs!$C$42)^2)/(2*Inputs!$C$45^2)))</x:f>
        <x:v>16.5622991027781</x:v>
      </x:c>
      <x:c r="Y33" s="40" t="n">
        <x:f>IF(Inputs!$C$27="ON",1,0)*(Inputs!$C$28*EXP(-(((A33)-Inputs!$C$29)^2)/(2*Inputs!$C$31^2))*EXP(-(((Inputs!$C$6)-Inputs!$C$30)^2)/(2*Inputs!$C$32^2))+-Inputs!$C$33*EXP(-(((((A33)-Inputs!$C$34)^2)+(((Inputs!$C$6)-Inputs!$C$35)^2))/(2*Inputs!$C$36^2)))+Inputs!$C$37*(0.55*SIN(2*PI()*(A33)/Inputs!$C$39)+0.35*COS(2*PI()*(Inputs!$C$6)/Inputs!$C$40)+0.2*SIN(2*PI()*((A33)+(Inputs!$C$6))/(0.5*(Inputs!$C$39+Inputs!$C$40))))+Inputs!$C$38*SIN(2*PI()*(A33)/Inputs!$C$39)*SIN(2*PI()*(Inputs!$C$6)/Inputs!$C$40)+-Inputs!$C$41*EXP(-(((Inputs!$C$6)-Inputs!$C$43)^2)/(2*Inputs!$C$44^2))*EXP(-(((A33)-Inputs!$C$42)^2)/(2*Inputs!$C$45^2)))</x:f>
        <x:v>60.75151418773373</x:v>
      </x:c>
      <x:c r="Z33" s="40" t="n">
        <x:f>B33-X33/1000</x:f>
        <x:v>402.183715478675</x:v>
      </x:c>
      <x:c r="AA33" s="40" t="n">
        <x:f>SQRT(A33^2+Inputs!$C$6^2+(B33-Y33/1000)^2)</x:f>
        <x:v>405.3658206897871</x:v>
      </x:c>
      <x:c r="AB33" s="40" t="n">
        <x:f>(AA33-Z33)*1000</x:f>
        <x:v>3182.1052111120594</x:v>
      </x:c>
      <x:c r="AC33" s="40" t="n">
        <x:f>AB33/Inputs!$C$12</x:f>
        <x:v>1787.6995568045277</x:v>
      </x:c>
      <x:c r="AD33" s="40" t="n">
        <x:f>2*AB33/Inputs!$C$21*1000000</x:f>
        <x:v>21.228720911398376</x:v>
      </x:c>
      <x:c r="AE33" s="40" t="n">
        <x:f>DEGREES(ATAN(H33/(B33-Y33/1000)))</x:f>
        <x:v>7.233600694959416</x:v>
      </x:c>
      <x:c r="AF33" s="40" t="n">
        <x:f>DEGREES((2*PI()/Inputs!$C$13)*Inputs!$C$15*SIN(RADIANS(AE33)))</x:f>
        <x:v>45.32941096583417</x:v>
      </x:c>
      <x:c r="AG33" s="40" t="n">
        <x:f>(Z33/AA33)^4</x:f>
        <x:v>0.9689679626822596</x:v>
      </x:c>
      <x:c r="AH33" s="40" t="n">
        <x:f>10*LOG10(AG33)</x:f>
        <x:v>-0.136905819382157</x:v>
      </x:c>
      <x:c r="AI33" s="40" t="n">
        <x:f>AC33-F33</x:f>
        <x:v>-24.553802116991392</x:v>
      </x:c>
      <x:c r="AJ33" s="40" t="n">
        <x:f>AD33-G33</x:f>
        <x:v>-0.29157349761109685</x:v>
      </x:c>
      <x:c r="AK33" s="40" t="n">
        <x:f>Y33-X33</x:f>
        <x:v>44.189215084955634</x:v>
      </x:c>
      <x:c r="AL33" s="40" t="n">
        <x:f>1000*(AA34-AA32)/(A34-A32)*Inputs!$C$11</x:f>
        <x:v>-771.72263096395</x:v>
      </x:c>
      <x:c r="AM33" s="40" t="n">
        <x:f>-2*AL33/Inputs!$C$13</x:f>
        <x:v>308.68905238558</x:v>
      </x:c>
      <x:c r="AN33" s="40" t="n">
        <x:f>-2*AL33/Inputs!$C$14</x:f>
        <x:v>46.349707565402404</x:v>
      </x:c>
      <x:c r="AO33" s="40" t="n">
        <x:f>ABS(AM33)</x:f>
        <x:v>308.68905238558</x:v>
      </x:c>
      <x:c r="AP33" s="40" t="n">
        <x:f>ABS(AN33)</x:f>
        <x:v>46.349707565402404</x:v>
      </x:c>
      <x:c r="AQ33" s="40" t="n">
        <x:f>IF(Inputs!$C$27="ON",Inputs!$C$46/Inputs!$C$12,0)</x:f>
        <x:v>42.13483146067416</x:v>
      </x:c>
      <x:c r="AR33" s="40" t="n">
        <x:f>AC33-AQ33</x:f>
        <x:v>1745.5647253438535</x:v>
      </x:c>
      <x:c r="AS33" s="40" t="n">
        <x:f>AC33+AQ33</x:f>
        <x:v>1829.8343882652018</x:v>
      </x:c>
    </x:row>
    <x:row r="34">
      <x:c r="A34" s="40" t="n">
        <x:f>Inputs!$C$7+32*(Inputs!$C$8-Inputs!$C$7)/240</x:f>
        <x:v>-44</x:v>
      </x:c>
      <x:c r="B34" s="40" t="n">
        <x:f>Inputs!$C$5+Inputs!$C$9*(A34/Inputs!$C$10)^2</x:f>
        <x:v>402.1511111111111</x:v>
      </x:c>
      <x:c r="C34" s="40" t="n">
        <x:f>B34</x:f>
        <x:v>402.1511111111111</x:v>
      </x:c>
      <x:c r="D34" s="40" t="n">
        <x:f>SQRT(A34^2+Inputs!$C$6^2+B34^2)</x:f>
        <x:v>405.3227308798524</x:v>
      </x:c>
      <x:c r="E34" s="40" t="n">
        <x:f>(D34-C34)*1000</x:f>
        <x:v>3171.619768741266</x:v>
      </x:c>
      <x:c r="F34" s="40" t="n">
        <x:f>E34/Inputs!$C$12</x:f>
        <x:v>1781.8088588434077</x:v>
      </x:c>
      <x:c r="G34" s="40" t="n">
        <x:f>2*E34/Inputs!$C$21*1000000</x:f>
        <x:v>21.158769569455053</x:v>
      </x:c>
      <x:c r="H34" s="40" t="n">
        <x:f>SQRT(A34^2+Inputs!$C$6^2)</x:f>
        <x:v>50.60632371551998</x:v>
      </x:c>
      <x:c r="I34" s="40" t="n">
        <x:f>DEGREES(ATAN(H34/B34))</x:f>
        <x:v>7.172347267625263</x:v>
      </x:c>
      <x:c r="J34" s="40" t="n">
        <x:f>DEGREES((2*PI()/Inputs!$C$13)*Inputs!$C$15*SIN(RADIANS(I34)))</x:f>
        <x:v>44.94758164201636</x:v>
      </x:c>
      <x:c r="K34" s="40" t="n">
        <x:f>(C34/D34)^4</x:f>
        <x:v>0.9690657659323467</x:v>
      </x:c>
      <x:c r="L34" s="40" t="n">
        <x:f>10*LOG10(K34)</x:f>
        <x:v>-0.136467484267201</x:v>
      </x:c>
      <x:c r="M34" s="40" t="n">
        <x:f>2*(Inputs!$C$9/(Inputs!$C$10^2))*A34</x:f>
        <x:v>-0.09777777777777778</x:v>
      </x:c>
      <x:c r="N34" s="40" t="n">
        <x:f>M34*Inputs!$C$11</x:f>
        <x:v>-0.39111111111111113</x:v>
      </x:c>
      <x:c r="O34" s="40" t="n">
        <x:f>1000*((A34*Inputs!$C$11)+(B34*N34))/D34</x:f>
        <x:v>-822.2725806118895</x:v>
      </x:c>
      <x:c r="P34" s="40" t="n">
        <x:f>-2*O34/Inputs!$C$13</x:f>
        <x:v>328.9090322447558</x:v>
      </x:c>
      <x:c r="Q34" s="40" t="n">
        <x:f>-2*O34/Inputs!$C$14</x:f>
        <x:v>49.38574057729066</x:v>
      </x:c>
      <x:c r="R34" s="40" t="n">
        <x:f>F34-Inputs!$C$16/2</x:f>
        <x:v>1766.8088588434077</x:v>
      </x:c>
      <x:c r="S34" s="40" t="n">
        <x:f>F34+Inputs!$C$16/2</x:f>
        <x:v>1796.8088588434077</x:v>
      </x:c>
      <x:c r="T34" s="40" t="n">
        <x:f>F34-Inputs!$C$17/2</x:f>
        <x:v>1631.8088588434077</x:v>
      </x:c>
      <x:c r="U34" s="40" t="n">
        <x:f>F34+Inputs!$C$17/2</x:f>
        <x:v>1931.8088588434077</x:v>
      </x:c>
      <x:c r="V34" s="40" t="n">
        <x:f>ABS(P34)</x:f>
        <x:v>328.9090322447558</x:v>
      </x:c>
      <x:c r="W34" s="40" t="n">
        <x:f>ABS(Q34)</x:f>
        <x:v>49.38574057729066</x:v>
      </x:c>
      <x:c r="X34" s="40" t="n">
        <x:f>IF(Inputs!$C$27="ON",1,0)*(Inputs!$C$28*EXP(-(((A34)-Inputs!$C$29)^2)/(2*Inputs!$C$31^2))*EXP(-(((0)-Inputs!$C$30)^2)/(2*Inputs!$C$32^2))+-Inputs!$C$33*EXP(-(((((A34)-Inputs!$C$34)^2)+(((0)-Inputs!$C$35)^2))/(2*Inputs!$C$36^2)))+Inputs!$C$37*(0.55*SIN(2*PI()*(A34)/Inputs!$C$39)+0.35*COS(2*PI()*(0)/Inputs!$C$40)+0.2*SIN(2*PI()*((A34)+(0))/(0.5*(Inputs!$C$39+Inputs!$C$40))))+Inputs!$C$38*SIN(2*PI()*(A34)/Inputs!$C$39)*SIN(2*PI()*(0)/Inputs!$C$40)+-Inputs!$C$41*EXP(-(((0)-Inputs!$C$43)^2)/(2*Inputs!$C$44^2))*EXP(-(((A34)-Inputs!$C$42)^2)/(2*Inputs!$C$45^2)))</x:f>
        <x:v>12.980902857013113</x:v>
      </x:c>
      <x:c r="Y34" s="40" t="n">
        <x:f>IF(Inputs!$C$27="ON",1,0)*(Inputs!$C$28*EXP(-(((A34)-Inputs!$C$29)^2)/(2*Inputs!$C$31^2))*EXP(-(((Inputs!$C$6)-Inputs!$C$30)^2)/(2*Inputs!$C$32^2))+-Inputs!$C$33*EXP(-(((((A34)-Inputs!$C$34)^2)+(((Inputs!$C$6)-Inputs!$C$35)^2))/(2*Inputs!$C$36^2)))+Inputs!$C$37*(0.55*SIN(2*PI()*(A34)/Inputs!$C$39)+0.35*COS(2*PI()*(Inputs!$C$6)/Inputs!$C$40)+0.2*SIN(2*PI()*((A34)+(Inputs!$C$6))/(0.5*(Inputs!$C$39+Inputs!$C$40))))+Inputs!$C$38*SIN(2*PI()*(A34)/Inputs!$C$39)*SIN(2*PI()*(Inputs!$C$6)/Inputs!$C$40)+-Inputs!$C$41*EXP(-(((Inputs!$C$6)-Inputs!$C$43)^2)/(2*Inputs!$C$44^2))*EXP(-(((A34)-Inputs!$C$42)^2)/(2*Inputs!$C$45^2)))</x:f>
        <x:v>53.659641671091876</x:v>
      </x:c>
      <x:c r="Z34" s="40" t="n">
        <x:f>B34-X34/1000</x:f>
        <x:v>402.1381302082541</x:v>
      </x:c>
      <x:c r="AA34" s="40" t="n">
        <x:f>SQRT(A34^2+Inputs!$C$6^2+(B34-Y34/1000)^2)</x:f>
        <x:v>405.2694911762032</x:v>
      </x:c>
      <x:c r="AB34" s="40" t="n">
        <x:f>(AA34-Z34)*1000</x:f>
        <x:v>3131.3609679490924</x:v>
      </x:c>
      <x:c r="AC34" s="40" t="n">
        <x:f>AB34/Inputs!$C$12</x:f>
        <x:v>1759.1915550275799</x:v>
      </x:c>
      <x:c r="AD34" s="40" t="n">
        <x:f>2*AB34/Inputs!$C$21*1000000</x:f>
        <x:v>20.89019176025497</x:v>
      </x:c>
      <x:c r="AE34" s="40" t="n">
        <x:f>DEGREES(ATAN(H34/(B34-Y34/1000)))</x:f>
        <x:v>7.173294442825971</x:v>
      </x:c>
      <x:c r="AF34" s="40" t="n">
        <x:f>DEGREES((2*PI()/Inputs!$C$13)*Inputs!$C$15*SIN(RADIANS(AE34)))</x:f>
        <x:v>44.953486344883146</x:v>
      </x:c>
      <x:c r="AG34" s="40" t="n">
        <x:f>(Z34/AA34)^4</x:f>
        <x:v>0.9694499053937808</x:v>
      </x:c>
      <x:c r="AH34" s="40" t="n">
        <x:f>10*LOG10(AG34)</x:f>
        <x:v>-0.134746274033685</x:v>
      </x:c>
      <x:c r="AI34" s="40" t="n">
        <x:f>AC34-F34</x:f>
        <x:v>-22.61730381582788</x:v>
      </x:c>
      <x:c r="AJ34" s="40" t="n">
        <x:f>AD34-G34</x:f>
        <x:v>-0.2685778092000817</x:v>
      </x:c>
      <x:c r="AK34" s="40" t="n">
        <x:f>Y34-X34</x:f>
        <x:v>40.67873881407876</x:v>
      </x:c>
      <x:c r="AL34" s="40" t="n">
        <x:f>1000*(AA35-AA33)/(A35-A33)*Inputs!$C$11</x:f>
        <x:v>-770.7272726399879</x:v>
      </x:c>
      <x:c r="AM34" s="40" t="n">
        <x:f>-2*AL34/Inputs!$C$13</x:f>
        <x:v>308.29090905599514</x:v>
      </x:c>
      <x:c r="AN34" s="40" t="n">
        <x:f>-2*AL34/Inputs!$C$14</x:f>
        <x:v>46.28992628468396</x:v>
      </x:c>
      <x:c r="AO34" s="40" t="n">
        <x:f>ABS(AM34)</x:f>
        <x:v>308.29090905599514</x:v>
      </x:c>
      <x:c r="AP34" s="40" t="n">
        <x:f>ABS(AN34)</x:f>
        <x:v>46.28992628468396</x:v>
      </x:c>
      <x:c r="AQ34" s="40" t="n">
        <x:f>IF(Inputs!$C$27="ON",Inputs!$C$46/Inputs!$C$12,0)</x:f>
        <x:v>42.13483146067416</x:v>
      </x:c>
      <x:c r="AR34" s="40" t="n">
        <x:f>AC34-AQ34</x:f>
        <x:v>1717.0567235669057</x:v>
      </x:c>
      <x:c r="AS34" s="40" t="n">
        <x:f>AC34+AQ34</x:f>
        <x:v>1801.326386488254</x:v>
      </x:c>
    </x:row>
    <x:row r="35">
      <x:c r="A35" s="40" t="n">
        <x:f>Inputs!$C$7+33*(Inputs!$C$8-Inputs!$C$7)/240</x:f>
        <x:v>-43.5</x:v>
      </x:c>
      <x:c r="B35" s="40" t="n">
        <x:f>Inputs!$C$5+Inputs!$C$9*(A35/Inputs!$C$10)^2</x:f>
        <x:v>402.1025</x:v>
      </x:c>
      <x:c r="C35" s="40" t="n">
        <x:f>B35</x:f>
        <x:v>402.1025</x:v>
      </x:c>
      <x:c r="D35" s="40" t="n">
        <x:f>SQRT(A35^2+Inputs!$C$6^2+B35^2)</x:f>
        <x:v>405.2205208355693</x:v>
      </x:c>
      <x:c r="E35" s="40" t="n">
        <x:f>(D35-C35)*1000</x:f>
        <x:v>3118.0208355692685</x:v>
      </x:c>
      <x:c r="F35" s="40" t="n">
        <x:f>E35/Inputs!$C$12</x:f>
        <x:v>1751.6970986344204</x:v>
      </x:c>
      <x:c r="G35" s="40" t="n">
        <x:f>2*E35/Inputs!$C$21*1000000</x:f>
        <x:v>20.801195976512982</x:v>
      </x:c>
      <x:c r="H35" s="40" t="n">
        <x:f>SQRT(A35^2+Inputs!$C$6^2)</x:f>
        <x:v>50.172203459684724</x:v>
      </x:c>
      <x:c r="I35" s="40" t="n">
        <x:f>DEGREES(ATAN(H35/B35))</x:f>
        <x:v>7.1123037002334435</x:v>
      </x:c>
      <x:c r="J35" s="40" t="n">
        <x:f>DEGREES((2*PI()/Inputs!$C$13)*Inputs!$C$15*SIN(RADIANS(I35)))</x:f>
        <x:v>44.57324423808168</x:v>
      </x:c>
      <x:c r="K35" s="40" t="n">
        <x:f>(C35/D35)^4</x:f>
        <x:v>0.969574916178313</x:v>
      </x:c>
      <x:c r="L35" s="40" t="n">
        <x:f>10*LOG10(K35)</x:f>
        <x:v>-0.134186286421645</x:v>
      </x:c>
      <x:c r="M35" s="40" t="n">
        <x:f>2*(Inputs!$C$9/(Inputs!$C$10^2))*A35</x:f>
        <x:v>-0.09666666666666666</x:v>
      </x:c>
      <x:c r="N35" s="40" t="n">
        <x:f>M35*Inputs!$C$11</x:f>
        <x:v>-0.38666666666666666</x:v>
      </x:c>
      <x:c r="O35" s="40" t="n">
        <x:f>1000*((A35*Inputs!$C$11)+(B35*N35))/D35</x:f>
        <x:v>-813.0872361891808</x:v>
      </x:c>
      <x:c r="P35" s="40" t="n">
        <x:f>-2*O35/Inputs!$C$13</x:f>
        <x:v>325.2348944756723</x:v>
      </x:c>
      <x:c r="Q35" s="40" t="n">
        <x:f>-2*O35/Inputs!$C$14</x:f>
        <x:v>48.834068239590444</x:v>
      </x:c>
      <x:c r="R35" s="40" t="n">
        <x:f>F35-Inputs!$C$16/2</x:f>
        <x:v>1736.6970986344204</x:v>
      </x:c>
      <x:c r="S35" s="40" t="n">
        <x:f>F35+Inputs!$C$16/2</x:f>
        <x:v>1766.6970986344204</x:v>
      </x:c>
      <x:c r="T35" s="40" t="n">
        <x:f>F35-Inputs!$C$17/2</x:f>
        <x:v>1601.6970986344204</x:v>
      </x:c>
      <x:c r="U35" s="40" t="n">
        <x:f>F35+Inputs!$C$17/2</x:f>
        <x:v>1901.6970986344204</x:v>
      </x:c>
      <x:c r="V35" s="40" t="n">
        <x:f>ABS(P35)</x:f>
        <x:v>325.2348944756723</x:v>
      </x:c>
      <x:c r="W35" s="40" t="n">
        <x:f>ABS(Q35)</x:f>
        <x:v>48.834068239590444</x:v>
      </x:c>
      <x:c r="X35" s="40" t="n">
        <x:f>IF(Inputs!$C$27="ON",1,0)*(Inputs!$C$28*EXP(-(((A35)-Inputs!$C$29)^2)/(2*Inputs!$C$31^2))*EXP(-(((0)-Inputs!$C$30)^2)/(2*Inputs!$C$32^2))+-Inputs!$C$33*EXP(-(((((A35)-Inputs!$C$34)^2)+(((0)-Inputs!$C$35)^2))/(2*Inputs!$C$36^2)))+Inputs!$C$37*(0.55*SIN(2*PI()*(A35)/Inputs!$C$39)+0.35*COS(2*PI()*(0)/Inputs!$C$40)+0.2*SIN(2*PI()*((A35)+(0))/(0.5*(Inputs!$C$39+Inputs!$C$40))))+Inputs!$C$38*SIN(2*PI()*(A35)/Inputs!$C$39)*SIN(2*PI()*(0)/Inputs!$C$40)+-Inputs!$C$41*EXP(-(((0)-Inputs!$C$43)^2)/(2*Inputs!$C$44^2))*EXP(-(((A35)-Inputs!$C$42)^2)/(2*Inputs!$C$45^2)))</x:f>
        <x:v>9.518693141311164</x:v>
      </x:c>
      <x:c r="Y35" s="40" t="n">
        <x:f>IF(Inputs!$C$27="ON",1,0)*(Inputs!$C$28*EXP(-(((A35)-Inputs!$C$29)^2)/(2*Inputs!$C$31^2))*EXP(-(((Inputs!$C$6)-Inputs!$C$30)^2)/(2*Inputs!$C$32^2))+-Inputs!$C$33*EXP(-(((((A35)-Inputs!$C$34)^2)+(((Inputs!$C$6)-Inputs!$C$35)^2))/(2*Inputs!$C$36^2)))+Inputs!$C$37*(0.55*SIN(2*PI()*(A35)/Inputs!$C$39)+0.35*COS(2*PI()*(Inputs!$C$6)/Inputs!$C$40)+0.2*SIN(2*PI()*((A35)+(Inputs!$C$6))/(0.5*(Inputs!$C$39+Inputs!$C$40))))+Inputs!$C$38*SIN(2*PI()*(A35)/Inputs!$C$39)*SIN(2*PI()*(Inputs!$C$6)/Inputs!$C$40)+-Inputs!$C$41*EXP(-(((Inputs!$C$6)-Inputs!$C$43)^2)/(2*Inputs!$C$44^2))*EXP(-(((A35)-Inputs!$C$42)^2)/(2*Inputs!$C$45^2)))</x:f>
        <x:v>47.749421068538865</x:v>
      </x:c>
      <x:c r="Z35" s="40" t="n">
        <x:f>B35-X35/1000</x:f>
        <x:v>402.0929813068587</x:v>
      </x:c>
      <x:c r="AA35" s="40" t="n">
        <x:f>SQRT(A35^2+Inputs!$C$6^2+(B35-Y35/1000)^2)</x:f>
        <x:v>405.1731388716271</x:v>
      </x:c>
      <x:c r="AB35" s="40" t="n">
        <x:f>(AA35-Z35)*1000</x:f>
        <x:v>3080.157564768399</x:v>
      </x:c>
      <x:c r="AC35" s="40" t="n">
        <x:f>AB35/Inputs!$C$12</x:f>
        <x:v>1730.4255981844938</x:v>
      </x:c>
      <x:c r="AD35" s="40" t="n">
        <x:f>2*AB35/Inputs!$C$21*1000000</x:f>
        <x:v>20.54859942319429</x:v>
      </x:c>
      <x:c r="AE35" s="40" t="n">
        <x:f>DEGREES(ATAN(H35/(B35-Y35/1000)))</x:f>
        <x:v>7.113139730193757</x:v>
      </x:c>
      <x:c r="AF35" s="40" t="n">
        <x:f>DEGREES((2*PI()/Inputs!$C$13)*Inputs!$C$15*SIN(RADIANS(AE35)))</x:f>
        <x:v>44.57845674515251</x:v>
      </x:c>
      <x:c r="AG35" s="40" t="n">
        <x:f>(Z35/AA35)^4</x:f>
        <x:v>0.9699366858546418</x:v>
      </x:c>
      <x:c r="AH35" s="40" t="n">
        <x:f>10*LOG10(AG35)</x:f>
        <x:v>-0.13256614065085498</x:v>
      </x:c>
      <x:c r="AI35" s="40" t="n">
        <x:f>AC35-F35</x:f>
        <x:v>-21.271500449926634</x:v>
      </x:c>
      <x:c r="AJ35" s="40" t="n">
        <x:f>AD35-G35</x:f>
        <x:v>-0.2525965533186927</x:v>
      </x:c>
      <x:c r="AK35" s="40" t="n">
        <x:f>Y35-X35</x:f>
        <x:v>38.230727927227704</x:v>
      </x:c>
      <x:c r="AL35" s="40" t="n">
        <x:f>1000*(AA36-AA34)/(A36-A34)*Inputs!$C$11</x:f>
        <x:v>-771.9225336768432</x:v>
      </x:c>
      <x:c r="AM35" s="40" t="n">
        <x:f>-2*AL35/Inputs!$C$13</x:f>
        <x:v>308.76901347073726</x:v>
      </x:c>
      <x:c r="AN35" s="40" t="n">
        <x:f>-2*AL35/Inputs!$C$14</x:f>
        <x:v>46.36171373434494</x:v>
      </x:c>
      <x:c r="AO35" s="40" t="n">
        <x:f>ABS(AM35)</x:f>
        <x:v>308.76901347073726</x:v>
      </x:c>
      <x:c r="AP35" s="40" t="n">
        <x:f>ABS(AN35)</x:f>
        <x:v>46.36171373434494</x:v>
      </x:c>
      <x:c r="AQ35" s="40" t="n">
        <x:f>IF(Inputs!$C$27="ON",Inputs!$C$46/Inputs!$C$12,0)</x:f>
        <x:v>42.13483146067416</x:v>
      </x:c>
      <x:c r="AR35" s="40" t="n">
        <x:f>AC35-AQ35</x:f>
        <x:v>1688.2907667238196</x:v>
      </x:c>
      <x:c r="AS35" s="40" t="n">
        <x:f>AC35+AQ35</x:f>
        <x:v>1772.560429645168</x:v>
      </x:c>
    </x:row>
    <x:row r="36">
      <x:c r="A36" s="40" t="n">
        <x:f>Inputs!$C$7+34*(Inputs!$C$8-Inputs!$C$7)/240</x:f>
        <x:v>-43</x:v>
      </x:c>
      <x:c r="B36" s="40" t="n">
        <x:f>Inputs!$C$5+Inputs!$C$9*(A36/Inputs!$C$10)^2</x:f>
        <x:v>402.05444444444447</x:v>
      </x:c>
      <x:c r="C36" s="40" t="n">
        <x:f>B36</x:f>
        <x:v>402.05444444444447</x:v>
      </x:c>
      <x:c r="D36" s="40" t="n">
        <x:f>SQRT(A36^2+Inputs!$C$6^2+B36^2)</x:f>
        <x:v>405.1194592926028</x:v>
      </x:c>
      <x:c r="E36" s="40" t="n">
        <x:f>(D36-C36)*1000</x:f>
        <x:v>3065.0148481583415</x:v>
      </x:c>
      <x:c r="F36" s="40" t="n">
        <x:f>E36/Inputs!$C$12</x:f>
        <x:v>1721.9184540215401</x:v>
      </x:c>
      <x:c r="G36" s="40" t="n">
        <x:f>2*E36/Inputs!$C$21*1000000</x:f>
        <x:v>20.44757809189677</x:v>
      </x:c>
      <x:c r="H36" s="40" t="n">
        <x:f>SQRT(A36^2+Inputs!$C$6^2)</x:f>
        <x:v>49.73932046178355</x:v>
      </x:c>
      <x:c r="I36" s="40" t="n">
        <x:f>DEGREES(ATAN(H36/B36))</x:f>
        <x:v>7.05239391542762</x:v>
      </x:c>
      <x:c r="J36" s="40" t="n">
        <x:f>DEGREES((2*PI()/Inputs!$C$13)*Inputs!$C$15*SIN(RADIANS(I36)))</x:f>
        <x:v>44.1996921044198</x:v>
      </x:c>
      <x:c r="K36" s="40" t="n">
        <x:f>(C36/D36)^4</x:f>
        <x:v>0.9700788852794662</x:v>
      </x:c>
      <x:c r="L36" s="40" t="n">
        <x:f>10*LOG10(K36)</x:f>
        <x:v>-0.131929481579036</x:v>
      </x:c>
      <x:c r="M36" s="40" t="n">
        <x:f>2*(Inputs!$C$9/(Inputs!$C$10^2))*A36</x:f>
        <x:v>-0.09555555555555556</x:v>
      </x:c>
      <x:c r="N36" s="40" t="n">
        <x:f>M36*Inputs!$C$11</x:f>
        <x:v>-0.38222222222222224</x:v>
      </x:c>
      <x:c r="O36" s="40" t="n">
        <x:f>1000*((A36*Inputs!$C$11)+(B36*N36))/D36</x:f>
        <x:v>-803.8965686283021</x:v>
      </x:c>
      <x:c r="P36" s="40" t="n">
        <x:f>-2*O36/Inputs!$C$13</x:f>
        <x:v>321.55862745132083</x:v>
      </x:c>
      <x:c r="Q36" s="40" t="n">
        <x:f>-2*O36/Inputs!$C$14</x:f>
        <x:v>48.282076193892024</x:v>
      </x:c>
      <x:c r="R36" s="40" t="n">
        <x:f>F36-Inputs!$C$16/2</x:f>
        <x:v>1706.9184540215401</x:v>
      </x:c>
      <x:c r="S36" s="40" t="n">
        <x:f>F36+Inputs!$C$16/2</x:f>
        <x:v>1736.9184540215401</x:v>
      </x:c>
      <x:c r="T36" s="40" t="n">
        <x:f>F36-Inputs!$C$17/2</x:f>
        <x:v>1571.9184540215401</x:v>
      </x:c>
      <x:c r="U36" s="40" t="n">
        <x:f>F36+Inputs!$C$17/2</x:f>
        <x:v>1871.9184540215401</x:v>
      </x:c>
      <x:c r="V36" s="40" t="n">
        <x:f>ABS(P36)</x:f>
        <x:v>321.55862745132083</x:v>
      </x:c>
      <x:c r="W36" s="40" t="n">
        <x:f>ABS(Q36)</x:f>
        <x:v>48.282076193892024</x:v>
      </x:c>
      <x:c r="X36" s="40" t="n">
        <x:f>IF(Inputs!$C$27="ON",1,0)*(Inputs!$C$28*EXP(-(((A36)-Inputs!$C$29)^2)/(2*Inputs!$C$31^2))*EXP(-(((0)-Inputs!$C$30)^2)/(2*Inputs!$C$32^2))+-Inputs!$C$33*EXP(-(((((A36)-Inputs!$C$34)^2)+(((0)-Inputs!$C$35)^2))/(2*Inputs!$C$36^2)))+Inputs!$C$37*(0.55*SIN(2*PI()*(A36)/Inputs!$C$39)+0.35*COS(2*PI()*(0)/Inputs!$C$40)+0.2*SIN(2*PI()*((A36)+(0))/(0.5*(Inputs!$C$39+Inputs!$C$40))))+Inputs!$C$38*SIN(2*PI()*(A36)/Inputs!$C$39)*SIN(2*PI()*(0)/Inputs!$C$40)+-Inputs!$C$41*EXP(-(((0)-Inputs!$C$43)^2)/(2*Inputs!$C$44^2))*EXP(-(((A36)-Inputs!$C$42)^2)/(2*Inputs!$C$45^2)))</x:f>
        <x:v>6.240858698215646</x:v>
      </x:c>
      <x:c r="Y36" s="40" t="n">
        <x:f>IF(Inputs!$C$27="ON",1,0)*(Inputs!$C$28*EXP(-(((A36)-Inputs!$C$29)^2)/(2*Inputs!$C$31^2))*EXP(-(((Inputs!$C$6)-Inputs!$C$30)^2)/(2*Inputs!$C$32^2))+-Inputs!$C$33*EXP(-(((((A36)-Inputs!$C$34)^2)+(((Inputs!$C$6)-Inputs!$C$35)^2))/(2*Inputs!$C$36^2)))+Inputs!$C$37*(0.55*SIN(2*PI()*(A36)/Inputs!$C$39)+0.35*COS(2*PI()*(Inputs!$C$6)/Inputs!$C$40)+0.2*SIN(2*PI()*((A36)+(Inputs!$C$6))/(0.5*(Inputs!$C$39+Inputs!$C$40))))+Inputs!$C$38*SIN(2*PI()*(A36)/Inputs!$C$39)*SIN(2*PI()*(Inputs!$C$6)/Inputs!$C$40)+-Inputs!$C$41*EXP(-(((Inputs!$C$6)-Inputs!$C$43)^2)/(2*Inputs!$C$44^2))*EXP(-(((A36)-Inputs!$C$42)^2)/(2*Inputs!$C$45^2)))</x:f>
        <x:v>43.27619968268002</x:v>
      </x:c>
      <x:c r="Z36" s="40" t="n">
        <x:f>B36-X36/1000</x:f>
        <x:v>402.04820358574625</x:v>
      </x:c>
      <x:c r="AA36" s="40" t="n">
        <x:f>SQRT(A36^2+Inputs!$C$6^2+(B36-Y36/1000)^2)</x:f>
        <x:v>405.076510542784</x:v>
      </x:c>
      <x:c r="AB36" s="40" t="n">
        <x:f>(AA36-Z36)*1000</x:f>
        <x:v>3028.306957037728</x:v>
      </x:c>
      <x:c r="AC36" s="40" t="n">
        <x:f>AB36/Inputs!$C$12</x:f>
        <x:v>1701.2960432796224</x:v>
      </x:c>
      <x:c r="AD36" s="40" t="n">
        <x:f>2*AB36/Inputs!$C$21*1000000</x:f>
        <x:v>20.202689402131178</x:v>
      </x:c>
      <x:c r="AE36" s="40" t="n">
        <x:f>DEGREES(ATAN(H36/(B36-Y36/1000)))</x:f>
        <x:v>7.053145454270127</x:v>
      </x:c>
      <x:c r="AF36" s="40" t="n">
        <x:f>DEGREES((2*PI()/Inputs!$C$13)*Inputs!$C$15*SIN(RADIANS(AE36)))</x:f>
        <x:v>44.2043784327278</x:v>
      </x:c>
      <x:c r="AG36" s="40" t="n">
        <x:f>(Z36/AA36)^4</x:f>
        <x:v>0.9704301100421989</x:v>
      </x:c>
      <x:c r="AH36" s="40" t="n">
        <x:f>10*LOG10(AG36)</x:f>
        <x:v>-0.130357368505651</x:v>
      </x:c>
      <x:c r="AI36" s="40" t="n">
        <x:f>AC36-F36</x:f>
        <x:v>-20.622410741917747</x:v>
      </x:c>
      <x:c r="AJ36" s="40" t="n">
        <x:f>AD36-G36</x:f>
        <x:v>-0.24488868976559175</x:v>
      </x:c>
      <x:c r="AK36" s="40" t="n">
        <x:f>Y36-X36</x:f>
        <x:v>37.035340984464376</x:v>
      </x:c>
      <x:c r="AL36" s="40" t="n">
        <x:f>1000*(AA37-AA35)/(A37-A35)*Inputs!$C$11</x:f>
        <x:v>-774.9479118861018</x:v>
      </x:c>
      <x:c r="AM36" s="40" t="n">
        <x:f>-2*AL36/Inputs!$C$13</x:f>
        <x:v>309.9791647544407</x:v>
      </x:c>
      <x:c r="AN36" s="40" t="n">
        <x:f>-2*AL36/Inputs!$C$14</x:f>
        <x:v>46.54341813129741</x:v>
      </x:c>
      <x:c r="AO36" s="40" t="n">
        <x:f>ABS(AM36)</x:f>
        <x:v>309.9791647544407</x:v>
      </x:c>
      <x:c r="AP36" s="40" t="n">
        <x:f>ABS(AN36)</x:f>
        <x:v>46.54341813129741</x:v>
      </x:c>
      <x:c r="AQ36" s="40" t="n">
        <x:f>IF(Inputs!$C$27="ON",Inputs!$C$46/Inputs!$C$12,0)</x:f>
        <x:v>42.13483146067416</x:v>
      </x:c>
      <x:c r="AR36" s="40" t="n">
        <x:f>AC36-AQ36</x:f>
        <x:v>1659.1612118189482</x:v>
      </x:c>
      <x:c r="AS36" s="40" t="n">
        <x:f>AC36+AQ36</x:f>
        <x:v>1743.4308747402965</x:v>
      </x:c>
    </x:row>
    <x:row r="37">
      <x:c r="A37" s="40" t="n">
        <x:f>Inputs!$C$7+35*(Inputs!$C$8-Inputs!$C$7)/240</x:f>
        <x:v>-42.5</x:v>
      </x:c>
      <x:c r="B37" s="40" t="n">
        <x:f>Inputs!$C$5+Inputs!$C$9*(A37/Inputs!$C$10)^2</x:f>
        <x:v>402.00694444444446</x:v>
      </x:c>
      <x:c r="C37" s="40" t="n">
        <x:f>B37</x:f>
        <x:v>402.00694444444446</x:v>
      </x:c>
      <x:c r="D37" s="40" t="n">
        <x:f>SQRT(A37^2+Inputs!$C$6^2+B37^2)</x:f>
        <x:v>405.0195469129344</x:v>
      </x:c>
      <x:c r="E37" s="40" t="n">
        <x:f>(D37-C37)*1000</x:f>
        <x:v>3012.602468489945</x:v>
      </x:c>
      <x:c r="F37" s="40" t="n">
        <x:f>E37/Inputs!$C$12</x:f>
        <x:v>1692.4732969044633</x:v>
      </x:c>
      <x:c r="G37" s="40" t="n">
        <x:f>2*E37/Inputs!$C$21*1000000</x:f>
        <x:v>20.097920331871354</x:v>
      </x:c>
      <x:c r="H37" s="40" t="n">
        <x:f>SQRT(A37^2+Inputs!$C$6^2)</x:f>
        <x:v>49.30770730829005</x:v>
      </x:c>
      <x:c r="I37" s="40" t="n">
        <x:f>DEGREES(ATAN(H37/B37))</x:f>
        <x:v>6.992623032280269</x:v>
      </x:c>
      <x:c r="J37" s="40" t="n">
        <x:f>DEGREES((2*PI()/Inputs!$C$13)*Inputs!$C$15*SIN(RADIANS(I37)))</x:f>
        <x:v>43.82695789939304</x:v>
      </x:c>
      <x:c r="K37" s="40" t="n">
        <x:f>(C37/D37)^4</x:f>
        <x:v>0.9705776523303707</x:v>
      </x:c>
      <x:c r="L37" s="40" t="n">
        <x:f>10*LOG10(K37)</x:f>
        <x:v>-0.12969712589389099</x:v>
      </x:c>
      <x:c r="M37" s="40" t="n">
        <x:f>2*(Inputs!$C$9/(Inputs!$C$10^2))*A37</x:f>
        <x:v>-0.09444444444444444</x:v>
      </x:c>
      <x:c r="N37" s="40" t="n">
        <x:f>M37*Inputs!$C$11</x:f>
        <x:v>-0.37777777777777777</x:v>
      </x:c>
      <x:c r="O37" s="40" t="n">
        <x:f>1000*((A37*Inputs!$C$11)+(B37*N37))/D37</x:f>
        <x:v>-794.7006325416879</x:v>
      </x:c>
      <x:c r="P37" s="40" t="n">
        <x:f>-2*O37/Inputs!$C$13</x:f>
        <x:v>317.88025301667517</x:v>
      </x:c>
      <x:c r="Q37" s="40" t="n">
        <x:f>-2*O37/Inputs!$C$14</x:f>
        <x:v>47.7297677202215</x:v>
      </x:c>
      <x:c r="R37" s="40" t="n">
        <x:f>F37-Inputs!$C$16/2</x:f>
        <x:v>1677.4732969044633</x:v>
      </x:c>
      <x:c r="S37" s="40" t="n">
        <x:f>F37+Inputs!$C$16/2</x:f>
        <x:v>1707.4732969044633</x:v>
      </x:c>
      <x:c r="T37" s="40" t="n">
        <x:f>F37-Inputs!$C$17/2</x:f>
        <x:v>1542.4732969044633</x:v>
      </x:c>
      <x:c r="U37" s="40" t="n">
        <x:f>F37+Inputs!$C$17/2</x:f>
        <x:v>1842.4732969044633</x:v>
      </x:c>
      <x:c r="V37" s="40" t="n">
        <x:f>ABS(P37)</x:f>
        <x:v>317.88025301667517</x:v>
      </x:c>
      <x:c r="W37" s="40" t="n">
        <x:f>ABS(Q37)</x:f>
        <x:v>47.7297677202215</x:v>
      </x:c>
      <x:c r="X37" s="40" t="n">
        <x:f>IF(Inputs!$C$27="ON",1,0)*(Inputs!$C$28*EXP(-(((A37)-Inputs!$C$29)^2)/(2*Inputs!$C$31^2))*EXP(-(((0)-Inputs!$C$30)^2)/(2*Inputs!$C$32^2))+-Inputs!$C$33*EXP(-(((((A37)-Inputs!$C$34)^2)+(((0)-Inputs!$C$35)^2))/(2*Inputs!$C$36^2)))+Inputs!$C$37*(0.55*SIN(2*PI()*(A37)/Inputs!$C$39)+0.35*COS(2*PI()*(0)/Inputs!$C$40)+0.2*SIN(2*PI()*((A37)+(0))/(0.5*(Inputs!$C$39+Inputs!$C$40))))+Inputs!$C$38*SIN(2*PI()*(A37)/Inputs!$C$39)*SIN(2*PI()*(0)/Inputs!$C$40)+-Inputs!$C$41*EXP(-(((0)-Inputs!$C$43)^2)/(2*Inputs!$C$44^2))*EXP(-(((A37)-Inputs!$C$42)^2)/(2*Inputs!$C$45^2)))</x:f>
        <x:v>3.210213042737767</x:v>
      </x:c>
      <x:c r="Y37" s="40" t="n">
        <x:f>IF(Inputs!$C$27="ON",1,0)*(Inputs!$C$28*EXP(-(((A37)-Inputs!$C$29)^2)/(2*Inputs!$C$31^2))*EXP(-(((Inputs!$C$6)-Inputs!$C$30)^2)/(2*Inputs!$C$32^2))+-Inputs!$C$33*EXP(-(((((A37)-Inputs!$C$34)^2)+(((Inputs!$C$6)-Inputs!$C$35)^2))/(2*Inputs!$C$36^2)))+Inputs!$C$37*(0.55*SIN(2*PI()*(A37)/Inputs!$C$39)+0.35*COS(2*PI()*(Inputs!$C$6)/Inputs!$C$40)+0.2*SIN(2*PI()*((A37)+(Inputs!$C$6))/(0.5*(Inputs!$C$39+Inputs!$C$40))))+Inputs!$C$38*SIN(2*PI()*(A37)/Inputs!$C$39)*SIN(2*PI()*(Inputs!$C$6)/Inputs!$C$40)+-Inputs!$C$41*EXP(-(((Inputs!$C$6)-Inputs!$C$43)^2)/(2*Inputs!$C$44^2))*EXP(-(((A37)-Inputs!$C$42)^2)/(2*Inputs!$C$45^2)))</x:f>
        <x:v>40.445892459379714</x:v>
      </x:c>
      <x:c r="Z37" s="40" t="n">
        <x:f>B37-X37/1000</x:f>
        <x:v>402.0037342314017</x:v>
      </x:c>
      <x:c r="AA37" s="40" t="n">
        <x:f>SQRT(A37^2+Inputs!$C$6^2+(B37-Y37/1000)^2)</x:f>
        <x:v>404.97940189365556</x:v>
      </x:c>
      <x:c r="AB37" s="40" t="n">
        <x:f>(AA37-Z37)*1000</x:f>
        <x:v>2975.6676622538407</x:v>
      </x:c>
      <x:c r="AC37" s="40" t="n">
        <x:f>AB37/Inputs!$C$12</x:f>
        <x:v>1671.7234057605847</x:v>
      </x:c>
      <x:c r="AD37" s="40" t="n">
        <x:f>2*AB37/Inputs!$C$21*1000000</x:f>
        <x:v>19.851517827402056</x:v>
      </x:c>
      <x:c r="AE37" s="40" t="n">
        <x:f>DEGREES(ATAN(H37/(B37-Y37/1000)))</x:f>
        <x:v>6.993319663520562</x:v>
      </x:c>
      <x:c r="AF37" s="40" t="n">
        <x:f>DEGREES((2*PI()/Inputs!$C$13)*Inputs!$C$15*SIN(RADIANS(AE37)))</x:f>
        <x:v>43.831302402006195</x:v>
      </x:c>
      <x:c r="AG37" s="40" t="n">
        <x:f>(Z37/AA37)^4</x:f>
        <x:v>0.9709315433792314</x:v>
      </x:c>
      <x:c r="AH37" s="40" t="n">
        <x:f>10*LOG10(AG37)</x:f>
        <x:v>-0.128113894336122</x:v>
      </x:c>
      <x:c r="AI37" s="40" t="n">
        <x:f>AC37-F37</x:f>
        <x:v>-20.749891143878585</x:v>
      </x:c>
      <x:c r="AJ37" s="40" t="n">
        <x:f>AD37-G37</x:f>
        <x:v>-0.24640250446929812</x:v>
      </x:c>
      <x:c r="AK37" s="40" t="n">
        <x:f>Y37-X37</x:f>
        <x:v>37.23567941664194</x:v>
      </x:c>
      <x:c r="AL37" s="40" t="n">
        <x:f>1000*(AA38-AA36)/(A38-A36)*Inputs!$C$11</x:f>
        <x:v>-779.3881463410344</x:v>
      </x:c>
      <x:c r="AM37" s="40" t="n">
        <x:f>-2*AL37/Inputs!$C$13</x:f>
        <x:v>311.75525853641375</x:v>
      </x:c>
      <x:c r="AN37" s="40" t="n">
        <x:f>-2*AL37/Inputs!$C$14</x:f>
        <x:v>46.81009887934141</x:v>
      </x:c>
      <x:c r="AO37" s="40" t="n">
        <x:f>ABS(AM37)</x:f>
        <x:v>311.75525853641375</x:v>
      </x:c>
      <x:c r="AP37" s="40" t="n">
        <x:f>ABS(AN37)</x:f>
        <x:v>46.81009887934141</x:v>
      </x:c>
      <x:c r="AQ37" s="40" t="n">
        <x:f>IF(Inputs!$C$27="ON",Inputs!$C$46/Inputs!$C$12,0)</x:f>
        <x:v>42.13483146067416</x:v>
      </x:c>
      <x:c r="AR37" s="40" t="n">
        <x:f>AC37-AQ37</x:f>
        <x:v>1629.5885742999105</x:v>
      </x:c>
      <x:c r="AS37" s="40" t="n">
        <x:f>AC37+AQ37</x:f>
        <x:v>1713.8582372212588</x:v>
      </x:c>
    </x:row>
    <x:row r="38">
      <x:c r="A38" s="40" t="n">
        <x:f>Inputs!$C$7+36*(Inputs!$C$8-Inputs!$C$7)/240</x:f>
        <x:v>-42</x:v>
      </x:c>
      <x:c r="B38" s="40" t="n">
        <x:f>Inputs!$C$5+Inputs!$C$9*(A38/Inputs!$C$10)^2</x:f>
        <x:v>401.96</x:v>
      </x:c>
      <x:c r="C38" s="40" t="n">
        <x:f>B38</x:f>
        <x:v>401.96</x:v>
      </x:c>
      <x:c r="D38" s="40" t="n">
        <x:f>SQRT(A38^2+Inputs!$C$6^2+B38^2)</x:f>
        <x:v>404.920784351705</x:v>
      </x:c>
      <x:c r="E38" s="40" t="n">
        <x:f>(D38-C38)*1000</x:f>
        <x:v>2960.7843517050014</x:v>
      </x:c>
      <x:c r="F38" s="40" t="n">
        <x:f>E38/Inputs!$C$12</x:f>
        <x:v>1663.3619953398884</x:v>
      </x:c>
      <x:c r="G38" s="40" t="n">
        <x:f>2*E38/Inputs!$C$21*1000000</x:f>
        <x:v>19.75222706706652</x:v>
      </x:c>
      <x:c r="H38" s="40" t="n">
        <x:f>SQRT(A38^2+Inputs!$C$6^2)</x:f>
        <x:v>48.877397639399746</x:v>
      </x:c>
      <x:c r="I38" s="40" t="n">
        <x:f>DEGREES(ATAN(H38/B38))</x:f>
        <x:v>6.932996321916247</x:v>
      </x:c>
      <x:c r="J38" s="40" t="n">
        <x:f>DEGREES((2*PI()/Inputs!$C$13)*Inputs!$C$15*SIN(RADIANS(I38)))</x:f>
        <x:v>43.45507523985368</x:v>
      </x:c>
      <x:c r="K38" s="40" t="n">
        <x:f>(C38/D38)^4</x:f>
        <x:v>0.971071196606904</x:v>
      </x:c>
      <x:c r="L38" s="40" t="n">
        <x:f>10*LOG10(K38)</x:f>
        <x:v>-0.12748927496753</x:v>
      </x:c>
      <x:c r="M38" s="40" t="n">
        <x:f>2*(Inputs!$C$9/(Inputs!$C$10^2))*A38</x:f>
        <x:v>-0.09333333333333334</x:v>
      </x:c>
      <x:c r="N38" s="40" t="n">
        <x:f>M38*Inputs!$C$11</x:f>
        <x:v>-0.37333333333333335</x:v>
      </x:c>
      <x:c r="O38" s="40" t="n">
        <x:f>1000*((A38*Inputs!$C$11)+(B38*N38))/D38</x:f>
        <x:v>-785.4994827590834</x:v>
      </x:c>
      <x:c r="P38" s="40" t="n">
        <x:f>-2*O38/Inputs!$C$13</x:f>
        <x:v>314.1997931036334</x:v>
      </x:c>
      <x:c r="Q38" s="40" t="n">
        <x:f>-2*O38/Inputs!$C$14</x:f>
        <x:v>47.17714611165667</x:v>
      </x:c>
      <x:c r="R38" s="40" t="n">
        <x:f>F38-Inputs!$C$16/2</x:f>
        <x:v>1648.3619953398884</x:v>
      </x:c>
      <x:c r="S38" s="40" t="n">
        <x:f>F38+Inputs!$C$16/2</x:f>
        <x:v>1678.3619953398884</x:v>
      </x:c>
      <x:c r="T38" s="40" t="n">
        <x:f>F38-Inputs!$C$17/2</x:f>
        <x:v>1513.3619953398884</x:v>
      </x:c>
      <x:c r="U38" s="40" t="n">
        <x:f>F38+Inputs!$C$17/2</x:f>
        <x:v>1813.3619953398884</x:v>
      </x:c>
      <x:c r="V38" s="40" t="n">
        <x:f>ABS(P38)</x:f>
        <x:v>314.1997931036334</x:v>
      </x:c>
      <x:c r="W38" s="40" t="n">
        <x:f>ABS(Q38)</x:f>
        <x:v>47.17714611165667</x:v>
      </x:c>
      <x:c r="X38" s="40" t="n">
        <x:f>IF(Inputs!$C$27="ON",1,0)*(Inputs!$C$28*EXP(-(((A38)-Inputs!$C$29)^2)/(2*Inputs!$C$31^2))*EXP(-(((0)-Inputs!$C$30)^2)/(2*Inputs!$C$32^2))+-Inputs!$C$33*EXP(-(((((A38)-Inputs!$C$34)^2)+(((0)-Inputs!$C$35)^2))/(2*Inputs!$C$36^2)))+Inputs!$C$37*(0.55*SIN(2*PI()*(A38)/Inputs!$C$39)+0.35*COS(2*PI()*(0)/Inputs!$C$40)+0.2*SIN(2*PI()*((A38)+(0))/(0.5*(Inputs!$C$39+Inputs!$C$40))))+Inputs!$C$38*SIN(2*PI()*(A38)/Inputs!$C$39)*SIN(2*PI()*(0)/Inputs!$C$40)+-Inputs!$C$41*EXP(-(((0)-Inputs!$C$43)^2)/(2*Inputs!$C$44^2))*EXP(-(((A38)-Inputs!$C$42)^2)/(2*Inputs!$C$45^2)))</x:f>
        <x:v>0.48630684281670655</x:v>
      </x:c>
      <x:c r="Y38" s="40" t="n">
        <x:f>IF(Inputs!$C$27="ON",1,0)*(Inputs!$C$28*EXP(-(((A38)-Inputs!$C$29)^2)/(2*Inputs!$C$31^2))*EXP(-(((Inputs!$C$6)-Inputs!$C$30)^2)/(2*Inputs!$C$32^2))+-Inputs!$C$33*EXP(-(((((A38)-Inputs!$C$34)^2)+(((Inputs!$C$6)-Inputs!$C$35)^2))/(2*Inputs!$C$36^2)))+Inputs!$C$37*(0.55*SIN(2*PI()*(A38)/Inputs!$C$39)+0.35*COS(2*PI()*(Inputs!$C$6)/Inputs!$C$40)+0.2*SIN(2*PI()*((A38)+(Inputs!$C$6))/(0.5*(Inputs!$C$39+Inputs!$C$40))))+Inputs!$C$38*SIN(2*PI()*(A38)/Inputs!$C$39)*SIN(2*PI()*(Inputs!$C$6)/Inputs!$C$40)+-Inputs!$C$41*EXP(-(((Inputs!$C$6)-Inputs!$C$43)^2)/(2*Inputs!$C$44^2))*EXP(-(((A38)-Inputs!$C$42)^2)/(2*Inputs!$C$45^2)))</x:f>
        <x:v>39.4090326464364</x:v>
      </x:c>
      <x:c r="Z38" s="40" t="n">
        <x:f>B38-X38/1000</x:f>
        <x:v>401.95951369315713</x:v>
      </x:c>
      <x:c r="AA38" s="40" t="n">
        <x:f>SQRT(A38^2+Inputs!$C$6^2+(B38-Y38/1000)^2)</x:f>
        <x:v>404.8816635061987</x:v>
      </x:c>
      <x:c r="AB38" s="40" t="n">
        <x:f>(AA38-Z38)*1000</x:f>
        <x:v>2922.1498130415853</x:v>
      </x:c>
      <x:c r="AC38" s="40" t="n">
        <x:f>AB38/Inputs!$C$12</x:f>
        <x:v>1641.6571983379692</x:v>
      </x:c>
      <x:c r="AD38" s="40" t="n">
        <x:f>2*AB38/Inputs!$C$21*1000000</x:f>
        <x:v>19.494485168413313</x:v>
      </x:c>
      <x:c r="AE38" s="40" t="n">
        <x:f>DEGREES(ATAN(H38/(B38-Y38/1000)))</x:f>
        <x:v>6.933669497419676</x:v>
      </x:c>
      <x:c r="AF38" s="40" t="n">
        <x:f>DEGREES((2*PI()/Inputs!$C$13)*Inputs!$C$15*SIN(RADIANS(AE38)))</x:f>
        <x:v>43.45927399578202</x:v>
      </x:c>
      <x:c r="AG38" s="40" t="n">
        <x:f>(Z38/AA38)^4</x:f>
        <x:v>0.9714418607477078</x:v>
      </x:c>
      <x:c r="AH38" s="40" t="n">
        <x:f>10*LOG10(AG38)</x:f>
        <x:v>-0.125831861213375</x:v>
      </x:c>
      <x:c r="AI38" s="40" t="n">
        <x:f>AC38-F38</x:f>
        <x:v>-21.704797001919133</x:v>
      </x:c>
      <x:c r="AJ38" s="40" t="n">
        <x:f>AD38-G38</x:f>
        <x:v>-0.25774189865320807</x:v>
      </x:c>
      <x:c r="AK38" s="40" t="n">
        <x:f>Y38-X38</x:f>
        <x:v>38.92272580361969</x:v>
      </x:c>
      <x:c r="AL38" s="40" t="n">
        <x:f>1000*(AA39-AA37)/(A39-A37)*Inputs!$C$11</x:f>
        <x:v>-784.788351409361</x:v>
      </x:c>
      <x:c r="AM38" s="40" t="n">
        <x:f>-2*AL38/Inputs!$C$13</x:f>
        <x:v>313.9153405637444</x:v>
      </x:c>
      <x:c r="AN38" s="40" t="n">
        <x:f>-2*AL38/Inputs!$C$14</x:f>
        <x:v>47.134435520081745</x:v>
      </x:c>
      <x:c r="AO38" s="40" t="n">
        <x:f>ABS(AM38)</x:f>
        <x:v>313.9153405637444</x:v>
      </x:c>
      <x:c r="AP38" s="40" t="n">
        <x:f>ABS(AN38)</x:f>
        <x:v>47.134435520081745</x:v>
      </x:c>
      <x:c r="AQ38" s="40" t="n">
        <x:f>IF(Inputs!$C$27="ON",Inputs!$C$46/Inputs!$C$12,0)</x:f>
        <x:v>42.13483146067416</x:v>
      </x:c>
      <x:c r="AR38" s="40" t="n">
        <x:f>AC38-AQ38</x:f>
        <x:v>1599.522366877295</x:v>
      </x:c>
      <x:c r="AS38" s="40" t="n">
        <x:f>AC38+AQ38</x:f>
        <x:v>1683.7920297986434</x:v>
      </x:c>
    </x:row>
    <x:row r="39">
      <x:c r="A39" s="40" t="n">
        <x:f>Inputs!$C$7+37*(Inputs!$C$8-Inputs!$C$7)/240</x:f>
        <x:v>-41.5</x:v>
      </x:c>
      <x:c r="B39" s="40" t="n">
        <x:f>Inputs!$C$5+Inputs!$C$9*(A39/Inputs!$C$10)^2</x:f>
        <x:v>401.9136111111111</x:v>
      </x:c>
      <x:c r="C39" s="40" t="n">
        <x:f>B39</x:f>
        <x:v>401.9136111111111</x:v>
      </x:c>
      <x:c r="D39" s="40" t="n">
        <x:f>SQRT(A39^2+Inputs!$C$6^2+B39^2)</x:f>
        <x:v>404.8231722571887</x:v>
      </x:c>
      <x:c r="E39" s="40" t="n">
        <x:f>(D39-C39)*1000</x:f>
        <x:v>2909.5611460775785</x:v>
      </x:c>
      <x:c r="F39" s="40" t="n">
        <x:f>E39/Inputs!$C$12</x:f>
        <x:v>1634.5849135267295</x:v>
      </x:c>
      <x:c r="G39" s="40" t="n">
        <x:f>2*E39/Inputs!$C$21*1000000</x:f>
        <x:v>19.410502622301316</x:v>
      </x:c>
      <x:c r="H39" s="40" t="n">
        <x:f>SQRT(A39^2+Inputs!$C$6^2)</x:f>
        <x:v>48.44842618702903</x:v>
      </x:c>
      <x:c r="I39" s="40" t="n">
        <x:f>DEGREES(ATAN(H39/B39))</x:f>
        <x:v>6.873519212930159</x:v>
      </x:c>
      <x:c r="J39" s="40" t="n">
        <x:f>DEGREES((2*PI()/Inputs!$C$13)*Inputs!$C$15*SIN(RADIANS(I39)))</x:f>
        <x:v>43.0840787351217</x:v>
      </x:c>
      <x:c r="K39" s="40" t="n">
        <x:f>(C39/D39)^4</x:f>
        <x:v>0.9715594975681711</x:v>
      </x:c>
      <x:c r="L39" s="40" t="n">
        <x:f>10*LOG10(K39)</x:f>
        <x:v>-0.125305983844946</x:v>
      </x:c>
      <x:c r="M39" s="40" t="n">
        <x:f>2*(Inputs!$C$9/(Inputs!$C$10^2))*A39</x:f>
        <x:v>-0.09222222222222222</x:v>
      </x:c>
      <x:c r="N39" s="40" t="n">
        <x:f>M39*Inputs!$C$11</x:f>
        <x:v>-0.3688888888888889</x:v>
      </x:c>
      <x:c r="O39" s="40" t="n">
        <x:f>1000*((A39*Inputs!$C$11)+(B39*N39))/D39</x:f>
        <x:v>-776.2931743256163</x:v>
      </x:c>
      <x:c r="P39" s="40" t="n">
        <x:f>-2*O39/Inputs!$C$13</x:f>
        <x:v>310.51726973024654</x:v>
      </x:c>
      <x:c r="Q39" s="40" t="n">
        <x:f>-2*O39/Inputs!$C$14</x:f>
        <x:v>46.624214674211196</x:v>
      </x:c>
      <x:c r="R39" s="40" t="n">
        <x:f>F39-Inputs!$C$16/2</x:f>
        <x:v>1619.5849135267295</x:v>
      </x:c>
      <x:c r="S39" s="40" t="n">
        <x:f>F39+Inputs!$C$16/2</x:f>
        <x:v>1649.5849135267295</x:v>
      </x:c>
      <x:c r="T39" s="40" t="n">
        <x:f>F39-Inputs!$C$17/2</x:f>
        <x:v>1484.5849135267295</x:v>
      </x:c>
      <x:c r="U39" s="40" t="n">
        <x:f>F39+Inputs!$C$17/2</x:f>
        <x:v>1784.5849135267295</x:v>
      </x:c>
      <x:c r="V39" s="40" t="n">
        <x:f>ABS(P39)</x:f>
        <x:v>310.51726973024654</x:v>
      </x:c>
      <x:c r="W39" s="40" t="n">
        <x:f>ABS(Q39)</x:f>
        <x:v>46.624214674211196</x:v>
      </x:c>
      <x:c r="X39" s="40" t="n">
        <x:f>IF(Inputs!$C$27="ON",1,0)*(Inputs!$C$28*EXP(-(((A39)-Inputs!$C$29)^2)/(2*Inputs!$C$31^2))*EXP(-(((0)-Inputs!$C$30)^2)/(2*Inputs!$C$32^2))+-Inputs!$C$33*EXP(-(((((A39)-Inputs!$C$34)^2)+(((0)-Inputs!$C$35)^2))/(2*Inputs!$C$36^2)))+Inputs!$C$37*(0.55*SIN(2*PI()*(A39)/Inputs!$C$39)+0.35*COS(2*PI()*(0)/Inputs!$C$40)+0.2*SIN(2*PI()*((A39)+(0))/(0.5*(Inputs!$C$39+Inputs!$C$40))))+Inputs!$C$38*SIN(2*PI()*(A39)/Inputs!$C$39)*SIN(2*PI()*(0)/Inputs!$C$40)+-Inputs!$C$41*EXP(-(((0)-Inputs!$C$43)^2)/(2*Inputs!$C$44^2))*EXP(-(((A39)-Inputs!$C$42)^2)/(2*Inputs!$C$45^2)))</x:f>
        <x:v>-1.87561785651812</x:v>
      </x:c>
      <x:c r="Y39" s="40" t="n">
        <x:f>IF(Inputs!$C$27="ON",1,0)*(Inputs!$C$28*EXP(-(((A39)-Inputs!$C$29)^2)/(2*Inputs!$C$31^2))*EXP(-(((Inputs!$C$6)-Inputs!$C$30)^2)/(2*Inputs!$C$32^2))+-Inputs!$C$33*EXP(-(((((A39)-Inputs!$C$34)^2)+(((Inputs!$C$6)-Inputs!$C$35)^2))/(2*Inputs!$C$36^2)))+Inputs!$C$37*(0.55*SIN(2*PI()*(A39)/Inputs!$C$39)+0.35*COS(2*PI()*(Inputs!$C$6)/Inputs!$C$40)+0.2*SIN(2*PI()*((A39)+(Inputs!$C$6))/(0.5*(Inputs!$C$39+Inputs!$C$40))))+Inputs!$C$38*SIN(2*PI()*(A39)/Inputs!$C$39)*SIN(2*PI()*(Inputs!$C$6)/Inputs!$C$40)+-Inputs!$C$41*EXP(-(((Inputs!$C$6)-Inputs!$C$43)^2)/(2*Inputs!$C$44^2))*EXP(-(((A39)-Inputs!$C$42)^2)/(2*Inputs!$C$45^2)))</x:f>
        <x:v>40.256815436439396</x:v>
      </x:c>
      <x:c r="Z39" s="40" t="n">
        <x:f>B39-X39/1000</x:f>
        <x:v>401.9154867289676</x:v>
      </x:c>
      <x:c r="AA39" s="40" t="n">
        <x:f>SQRT(A39^2+Inputs!$C$6^2+(B39-Y39/1000)^2)</x:f>
        <x:v>404.7832048058032</x:v>
      </x:c>
      <x:c r="AB39" s="40" t="n">
        <x:f>(AA39-Z39)*1000</x:f>
        <x:v>2867.718076835615</x:v>
      </x:c>
      <x:c r="AC39" s="40" t="n">
        <x:f>AB39/Inputs!$C$12</x:f>
        <x:v>1611.0775712559637</x:v>
      </x:c>
      <x:c r="AD39" s="40" t="n">
        <x:f>2*AB39/Inputs!$C$21*1000000</x:f>
        <x:v>19.131355711661133</x:v>
      </x:c>
      <x:c r="AE39" s="40" t="n">
        <x:f>DEGREES(ATAN(H39/(B39-Y39/1000)))</x:f>
        <x:v>6.874201165035564</x:v>
      </x:c>
      <x:c r="AF39" s="40" t="n">
        <x:f>DEGREES((2*PI()/Inputs!$C$13)*Inputs!$C$15*SIN(RADIANS(AE39)))</x:f>
        <x:v>43.08833276740833</x:v>
      </x:c>
      <x:c r="AG39" s="40" t="n">
        <x:f>(Z39/AA39)^4</x:f>
        <x:v>0.9719614167274605</x:v>
      </x:c>
      <x:c r="AH39" s="40" t="n">
        <x:f>10*LOG10(AG39)</x:f>
        <x:v>-0.123509746158436</x:v>
      </x:c>
      <x:c r="AI39" s="40" t="n">
        <x:f>AC39-F39</x:f>
        <x:v>-23.507342270765776</x:v>
      </x:c>
      <x:c r="AJ39" s="40" t="n">
        <x:f>AD39-G39</x:f>
        <x:v>-0.2791469106401827</x:v>
      </x:c>
      <x:c r="AK39" s="40" t="n">
        <x:f>Y39-X39</x:f>
        <x:v>42.132433292957515</x:v>
      </x:c>
      <x:c r="AL39" s="40" t="n">
        <x:f>1000*(AA40-AA38)/(A40-A38)*Inputs!$C$11</x:f>
        <x:v>-790.6701923277524</x:v>
      </x:c>
      <x:c r="AM39" s="40" t="n">
        <x:f>-2*AL39/Inputs!$C$13</x:f>
        <x:v>316.26807693110095</x:v>
      </x:c>
      <x:c r="AN39" s="40" t="n">
        <x:f>-2*AL39/Inputs!$C$14</x:f>
        <x:v>47.48769923890405</x:v>
      </x:c>
      <x:c r="AO39" s="40" t="n">
        <x:f>ABS(AM39)</x:f>
        <x:v>316.26807693110095</x:v>
      </x:c>
      <x:c r="AP39" s="40" t="n">
        <x:f>ABS(AN39)</x:f>
        <x:v>47.48769923890405</x:v>
      </x:c>
      <x:c r="AQ39" s="40" t="n">
        <x:f>IF(Inputs!$C$27="ON",Inputs!$C$46/Inputs!$C$12,0)</x:f>
        <x:v>42.13483146067416</x:v>
      </x:c>
      <x:c r="AR39" s="40" t="n">
        <x:f>AC39-AQ39</x:f>
        <x:v>1568.9427397952895</x:v>
      </x:c>
      <x:c r="AS39" s="40" t="n">
        <x:f>AC39+AQ39</x:f>
        <x:v>1653.2124027166378</x:v>
      </x:c>
    </x:row>
    <x:row r="40">
      <x:c r="A40" s="40" t="n">
        <x:f>Inputs!$C$7+38*(Inputs!$C$8-Inputs!$C$7)/240</x:f>
        <x:v>-41</x:v>
      </x:c>
      <x:c r="B40" s="40" t="n">
        <x:f>Inputs!$C$5+Inputs!$C$9*(A40/Inputs!$C$10)^2</x:f>
        <x:v>401.8677777777778</x:v>
      </x:c>
      <x:c r="C40" s="40" t="n">
        <x:f>B40</x:f>
        <x:v>401.8677777777778</x:v>
      </x:c>
      <x:c r="D40" s="40" t="n">
        <x:f>SQRT(A40^2+Inputs!$C$6^2+B40^2)</x:f>
        <x:v>404.7267112707653</x:v>
      </x:c>
      <x:c r="E40" s="40" t="n">
        <x:f>(D40-C40)*1000</x:f>
        <x:v>2858.9334929874894</x:v>
      </x:c>
      <x:c r="F40" s="40" t="n">
        <x:f>E40/Inputs!$C$12</x:f>
        <x:v>1606.1424117907243</x:v>
      </x:c>
      <x:c r="G40" s="40" t="n">
        <x:f>2*E40/Inputs!$C$21*1000000</x:f>
        <x:v>19.072751276401284</x:v>
      </x:c>
      <x:c r="H40" s="40" t="n">
        <x:f>SQRT(A40^2+Inputs!$C$6^2)</x:f>
        <x:v>48.02082881417188</x:v>
      </x:c>
      <x:c r="I40" s="40" t="n">
        <x:f>DEGREES(ATAN(H40/B40))</x:f>
        <x:v>6.814197296997338</x:v>
      </x:c>
      <x:c r="J40" s="40" t="n">
        <x:f>DEGREES((2*PI()/Inputs!$C$13)*Inputs!$C$15*SIN(RADIANS(I40)))</x:f>
        <x:v>42.71400402217685</x:v>
      </x:c>
      <x:c r="K40" s="40" t="n">
        <x:f>(C40/D40)^4</x:f>
        <x:v>0.9720425348584198</x:v>
      </x:c>
      <x:c r="L40" s="40" t="n">
        <x:f>10*LOG10(K40)</x:f>
        <x:v>-0.123147307011646</x:v>
      </x:c>
      <x:c r="M40" s="40" t="n">
        <x:f>2*(Inputs!$C$9/(Inputs!$C$10^2))*A40</x:f>
        <x:v>-0.09111111111111111</x:v>
      </x:c>
      <x:c r="N40" s="40" t="n">
        <x:f>M40*Inputs!$C$11</x:f>
        <x:v>-0.36444444444444446</x:v>
      </x:c>
      <x:c r="O40" s="40" t="n">
        <x:f>1000*((A40*Inputs!$C$11)+(B40*N40))/D40</x:f>
        <x:v>-767.081762499848</x:v>
      </x:c>
      <x:c r="P40" s="40" t="n">
        <x:f>-2*O40/Inputs!$C$13</x:f>
        <x:v>306.8327049999392</x:v>
      </x:c>
      <x:c r="Q40" s="40" t="n">
        <x:f>-2*O40/Inputs!$C$14</x:f>
        <x:v>46.070976726717596</x:v>
      </x:c>
      <x:c r="R40" s="40" t="n">
        <x:f>F40-Inputs!$C$16/2</x:f>
        <x:v>1591.1424117907243</x:v>
      </x:c>
      <x:c r="S40" s="40" t="n">
        <x:f>F40+Inputs!$C$16/2</x:f>
        <x:v>1621.1424117907243</x:v>
      </x:c>
      <x:c r="T40" s="40" t="n">
        <x:f>F40-Inputs!$C$17/2</x:f>
        <x:v>1456.1424117907243</x:v>
      </x:c>
      <x:c r="U40" s="40" t="n">
        <x:f>F40+Inputs!$C$17/2</x:f>
        <x:v>1756.1424117907243</x:v>
      </x:c>
      <x:c r="V40" s="40" t="n">
        <x:f>ABS(P40)</x:f>
        <x:v>306.8327049999392</x:v>
      </x:c>
      <x:c r="W40" s="40" t="n">
        <x:f>ABS(Q40)</x:f>
        <x:v>46.070976726717596</x:v>
      </x:c>
      <x:c r="X40" s="40" t="n">
        <x:f>IF(Inputs!$C$27="ON",1,0)*(Inputs!$C$28*EXP(-(((A40)-Inputs!$C$29)^2)/(2*Inputs!$C$31^2))*EXP(-(((0)-Inputs!$C$30)^2)/(2*Inputs!$C$32^2))+-Inputs!$C$33*EXP(-(((((A40)-Inputs!$C$34)^2)+(((0)-Inputs!$C$35)^2))/(2*Inputs!$C$36^2)))+Inputs!$C$37*(0.55*SIN(2*PI()*(A40)/Inputs!$C$39)+0.35*COS(2*PI()*(0)/Inputs!$C$40)+0.2*SIN(2*PI()*((A40)+(0))/(0.5*(Inputs!$C$39+Inputs!$C$40))))+Inputs!$C$38*SIN(2*PI()*(A40)/Inputs!$C$39)*SIN(2*PI()*(0)/Inputs!$C$40)+-Inputs!$C$41*EXP(-(((0)-Inputs!$C$43)^2)/(2*Inputs!$C$44^2))*EXP(-(((A40)-Inputs!$C$42)^2)/(2*Inputs!$C$45^2)))</x:f>
        <x:v>-3.8258397746835655</x:v>
      </x:c>
      <x:c r="Y40" s="40" t="n">
        <x:f>IF(Inputs!$C$27="ON",1,0)*(Inputs!$C$28*EXP(-(((A40)-Inputs!$C$29)^2)/(2*Inputs!$C$31^2))*EXP(-(((Inputs!$C$6)-Inputs!$C$30)^2)/(2*Inputs!$C$32^2))+-Inputs!$C$33*EXP(-(((((A40)-Inputs!$C$34)^2)+(((Inputs!$C$6)-Inputs!$C$35)^2))/(2*Inputs!$C$36^2)))+Inputs!$C$37*(0.55*SIN(2*PI()*(A40)/Inputs!$C$39)+0.35*COS(2*PI()*(Inputs!$C$6)/Inputs!$C$40)+0.2*SIN(2*PI()*((A40)+(Inputs!$C$6))/(0.5*(Inputs!$C$39+Inputs!$C$40))))+Inputs!$C$38*SIN(2*PI()*(A40)/Inputs!$C$39)*SIN(2*PI()*(Inputs!$C$6)/Inputs!$C$40)+-Inputs!$C$41*EXP(-(((Inputs!$C$6)-Inputs!$C$43)^2)/(2*Inputs!$C$44^2))*EXP(-(((A40)-Inputs!$C$42)^2)/(2*Inputs!$C$45^2)))</x:f>
        <x:v>43.01922670362901</x:v>
      </x:c>
      <x:c r="Z40" s="40" t="n">
        <x:f>B40-X40/1000</x:f>
        <x:v>401.87160361755247</x:v>
      </x:c>
      <x:c r="AA40" s="40" t="n">
        <x:f>SQRT(A40^2+Inputs!$C$6^2+(B40-Y40/1000)^2)</x:f>
        <x:v>404.6839959581168</x:v>
      </x:c>
      <x:c r="AB40" s="40" t="n">
        <x:f>(AA40-Z40)*1000</x:f>
        <x:v>2812.3923405643154</x:v>
      </x:c>
      <x:c r="AC40" s="40" t="n">
        <x:f>AB40/Inputs!$C$12</x:f>
        <x:v>1579.9956969462446</x:v>
      </x:c>
      <x:c r="AD40" s="40" t="n">
        <x:f>2*AB40/Inputs!$C$21*1000000</x:f>
        <x:v>18.762262128450978</x:v>
      </x:c>
      <x:c r="AE40" s="40" t="n">
        <x:f>DEGREES(ATAN(H40/(B40-Y40/1000)))</x:f>
        <x:v>6.814919961937535</x:v>
      </x:c>
      <x:c r="AF40" s="40" t="n">
        <x:f>DEGREES((2*PI()/Inputs!$C$13)*Inputs!$C$15*SIN(RADIANS(AE40)))</x:f>
        <x:v>42.71851258207668</x:v>
      </x:c>
      <x:c r="AG40" s="40" t="n">
        <x:f>(Z40/AA40)^4</x:f>
        <x:v>0.9724900371150491</x:v>
      </x:c>
      <x:c r="AH40" s="40" t="n">
        <x:f>10*LOG10(AG40)</x:f>
        <x:v>-0.12114839203407901</x:v>
      </x:c>
      <x:c r="AI40" s="40" t="n">
        <x:f>AC40-F40</x:f>
        <x:v>-26.146714844479675</x:v>
      </x:c>
      <x:c r="AJ40" s="40" t="n">
        <x:f>AD40-G40</x:f>
        <x:v>-0.3104891479503067</x:v>
      </x:c>
      <x:c r="AK40" s="40" t="n">
        <x:f>Y40-X40</x:f>
        <x:v>46.845066478312575</x:v>
      </x:c>
      <x:c r="AL40" s="40" t="n">
        <x:f>1000*(AA41-AA39)/(A41-A39)*Inputs!$C$11</x:f>
        <x:v>-796.5485066256406</x:v>
      </x:c>
      <x:c r="AM40" s="40" t="n">
        <x:f>-2*AL40/Inputs!$C$13</x:f>
        <x:v>318.61940265025623</x:v>
      </x:c>
      <x:c r="AN40" s="40" t="n">
        <x:f>-2*AL40/Inputs!$C$14</x:f>
        <x:v>47.840751148687126</x:v>
      </x:c>
      <x:c r="AO40" s="40" t="n">
        <x:f>ABS(AM40)</x:f>
        <x:v>318.61940265025623</x:v>
      </x:c>
      <x:c r="AP40" s="40" t="n">
        <x:f>ABS(AN40)</x:f>
        <x:v>47.840751148687126</x:v>
      </x:c>
      <x:c r="AQ40" s="40" t="n">
        <x:f>IF(Inputs!$C$27="ON",Inputs!$C$46/Inputs!$C$12,0)</x:f>
        <x:v>42.13483146067416</x:v>
      </x:c>
      <x:c r="AR40" s="40" t="n">
        <x:f>AC40-AQ40</x:f>
        <x:v>1537.8608654855705</x:v>
      </x:c>
      <x:c r="AS40" s="40" t="n">
        <x:f>AC40+AQ40</x:f>
        <x:v>1622.1305284069188</x:v>
      </x:c>
    </x:row>
    <x:row r="41">
      <x:c r="A41" s="40" t="n">
        <x:f>Inputs!$C$7+39*(Inputs!$C$8-Inputs!$C$7)/240</x:f>
        <x:v>-40.5</x:v>
      </x:c>
      <x:c r="B41" s="40" t="n">
        <x:f>Inputs!$C$5+Inputs!$C$9*(A41/Inputs!$C$10)^2</x:f>
        <x:v>401.8225</x:v>
      </x:c>
      <x:c r="C41" s="40" t="n">
        <x:f>B41</x:f>
        <x:v>401.8225</x:v>
      </x:c>
      <x:c r="D41" s="40" t="n">
        <x:f>SQRT(A41^2+Inputs!$C$6^2+B41^2)</x:f>
        <x:v>404.6314020268941</x:v>
      </x:c>
      <x:c r="E41" s="40" t="n">
        <x:f>(D41-C41)*1000</x:f>
        <x:v>2808.9020268940885</x:v>
      </x:c>
      <x:c r="F41" s="40" t="n">
        <x:f>E41/Inputs!$C$12</x:f>
        <x:v>1578.0348465697127</x:v>
      </x:c>
      <x:c r="G41" s="40" t="n">
        <x:f>2*E41/Inputs!$C$21*1000000</x:f>
        <x:v>18.73897726202364</x:v>
      </x:c>
      <x:c r="H41" s="40" t="n">
        <x:f>SQRT(A41^2+Inputs!$C$6^2)</x:f>
        <x:v>47.59464255564905</x:v>
      </x:c>
      <x:c r="I41" s="40" t="n">
        <x:f>DEGREES(ATAN(H41/B41))</x:f>
        <x:v>6.755036334683316</x:v>
      </x:c>
      <x:c r="J41" s="40" t="n">
        <x:f>DEGREES((2*PI()/Inputs!$C$13)*Inputs!$C$15*SIN(RADIANS(I41)))</x:f>
        <x:v>42.34488780209607</x:v>
      </x:c>
      <x:c r="K41" s="40" t="n">
        <x:f>(C41/D41)^4</x:f>
        <x:v>0.9725202883089363</x:v>
      </x:c>
      <x:c r="L41" s="40" t="n">
        <x:f>10*LOG10(K41)</x:f>
        <x:v>-0.12101329839055901</x:v>
      </x:c>
      <x:c r="M41" s="40" t="n">
        <x:f>2*(Inputs!$C$9/(Inputs!$C$10^2))*A41</x:f>
        <x:v>-0.09</x:v>
      </x:c>
      <x:c r="N41" s="40" t="n">
        <x:f>M41*Inputs!$C$11</x:f>
        <x:v>-0.36</x:v>
      </x:c>
      <x:c r="O41" s="40" t="n">
        <x:f>1000*((A41*Inputs!$C$11)+(B41*N41))/D41</x:f>
        <x:v>-757.8653027518064</x:v>
      </x:c>
      <x:c r="P41" s="40" t="n">
        <x:f>-2*O41/Inputs!$C$13</x:f>
        <x:v>303.14612110072255</x:v>
      </x:c>
      <x:c r="Q41" s="40" t="n">
        <x:f>-2*O41/Inputs!$C$14</x:f>
        <x:v>45.5174356007091</x:v>
      </x:c>
      <x:c r="R41" s="40" t="n">
        <x:f>F41-Inputs!$C$16/2</x:f>
        <x:v>1563.0348465697127</x:v>
      </x:c>
      <x:c r="S41" s="40" t="n">
        <x:f>F41+Inputs!$C$16/2</x:f>
        <x:v>1593.0348465697127</x:v>
      </x:c>
      <x:c r="T41" s="40" t="n">
        <x:f>F41-Inputs!$C$17/2</x:f>
        <x:v>1428.0348465697127</x:v>
      </x:c>
      <x:c r="U41" s="40" t="n">
        <x:f>F41+Inputs!$C$17/2</x:f>
        <x:v>1728.0348465697127</x:v>
      </x:c>
      <x:c r="V41" s="40" t="n">
        <x:f>ABS(P41)</x:f>
        <x:v>303.14612110072255</x:v>
      </x:c>
      <x:c r="W41" s="40" t="n">
        <x:f>ABS(Q41)</x:f>
        <x:v>45.5174356007091</x:v>
      </x:c>
      <x:c r="X41" s="40" t="n">
        <x:f>IF(Inputs!$C$27="ON",1,0)*(Inputs!$C$28*EXP(-(((A41)-Inputs!$C$29)^2)/(2*Inputs!$C$31^2))*EXP(-(((0)-Inputs!$C$30)^2)/(2*Inputs!$C$32^2))+-Inputs!$C$33*EXP(-(((((A41)-Inputs!$C$34)^2)+(((0)-Inputs!$C$35)^2))/(2*Inputs!$C$36^2)))+Inputs!$C$37*(0.55*SIN(2*PI()*(A41)/Inputs!$C$39)+0.35*COS(2*PI()*(0)/Inputs!$C$40)+0.2*SIN(2*PI()*((A41)+(0))/(0.5*(Inputs!$C$39+Inputs!$C$40))))+Inputs!$C$38*SIN(2*PI()*(A41)/Inputs!$C$39)*SIN(2*PI()*(0)/Inputs!$C$40)+-Inputs!$C$41*EXP(-(((0)-Inputs!$C$43)^2)/(2*Inputs!$C$44^2))*EXP(-(((A41)-Inputs!$C$42)^2)/(2*Inputs!$C$45^2)))</x:f>
        <x:v>-5.321527211901541</x:v>
      </x:c>
      <x:c r="Y41" s="40" t="n">
        <x:f>IF(Inputs!$C$27="ON",1,0)*(Inputs!$C$28*EXP(-(((A41)-Inputs!$C$29)^2)/(2*Inputs!$C$31^2))*EXP(-(((Inputs!$C$6)-Inputs!$C$30)^2)/(2*Inputs!$C$32^2))+-Inputs!$C$33*EXP(-(((((A41)-Inputs!$C$34)^2)+(((Inputs!$C$6)-Inputs!$C$35)^2))/(2*Inputs!$C$36^2)))+Inputs!$C$37*(0.55*SIN(2*PI()*(A41)/Inputs!$C$39)+0.35*COS(2*PI()*(Inputs!$C$6)/Inputs!$C$40)+0.2*SIN(2*PI()*((A41)+(Inputs!$C$6))/(0.5*(Inputs!$C$39+Inputs!$C$40))))+Inputs!$C$38*SIN(2*PI()*(A41)/Inputs!$C$39)*SIN(2*PI()*(Inputs!$C$6)/Inputs!$C$40)+-Inputs!$C$41*EXP(-(((Inputs!$C$6)-Inputs!$C$43)^2)/(2*Inputs!$C$44^2))*EXP(-(((A41)-Inputs!$C$42)^2)/(2*Inputs!$C$45^2)))</x:f>
        <x:v>47.6652731290673</x:v>
      </x:c>
      <x:c r="Z41" s="40" t="n">
        <x:f>B41-X41/1000</x:f>
        <x:v>401.8278215272119</x:v>
      </x:c>
      <x:c r="AA41" s="40" t="n">
        <x:f>SQRT(A41^2+Inputs!$C$6^2+(B41-Y41/1000)^2)</x:f>
        <x:v>404.5840676791468</x:v>
      </x:c>
      <x:c r="AB41" s="40" t="n">
        <x:f>(AA41-Z41)*1000</x:f>
        <x:v>2756.2461519349313</x:v>
      </x:c>
      <x:c r="AC41" s="40" t="n">
        <x:f>AB41/Inputs!$C$12</x:f>
        <x:v>1548.452894345467</x:v>
      </x:c>
      <x:c r="AD41" s="40" t="n">
        <x:f>2*AB41/Inputs!$C$21*1000000</x:f>
        <x:v>18.387695076271275</x:v>
      </x:c>
      <x:c r="AE41" s="40" t="n">
        <x:f>DEGREES(ATAN(H41/(B41-Y41/1000)))</x:f>
        <x:v>6.755830323577096</x:v>
      </x:c>
      <x:c r="AF41" s="40" t="n">
        <x:f>DEGREES((2*PI()/Inputs!$C$13)*Inputs!$C$15*SIN(RADIANS(AE41)))</x:f>
        <x:v>42.34984194588141</x:v>
      </x:c>
      <x:c r="AG41" s="40" t="n">
        <x:f>(Z41/AA41)^4</x:f>
        <x:v>0.9730270319036952</x:v>
      </x:c>
      <x:c r="AH41" s="40" t="n">
        <x:f>10*LOG10(AG41)</x:f>
        <x:v>-0.118750943220536</x:v>
      </x:c>
      <x:c r="AI41" s="40" t="n">
        <x:f>AC41-F41</x:f>
        <x:v>-29.581952224245697</x:v>
      </x:c>
      <x:c r="AJ41" s="40" t="n">
        <x:f>AD41-G41</x:f>
        <x:v>-0.35128218575236403</x:v>
      </x:c>
      <x:c r="AK41" s="40" t="n">
        <x:f>Y41-X41</x:f>
        <x:v>52.98680034096884</x:v>
      </x:c>
      <x:c r="AL41" s="40" t="n">
        <x:f>1000*(AA42-AA40)/(A42-A40)*Inputs!$C$11</x:f>
        <x:v>-801.9477738746446</x:v>
      </x:c>
      <x:c r="AM41" s="40" t="n">
        <x:f>-2*AL41/Inputs!$C$13</x:f>
        <x:v>320.7791095498578</x:v>
      </x:c>
      <x:c r="AN41" s="40" t="n">
        <x:f>-2*AL41/Inputs!$C$14</x:f>
        <x:v>48.16503146394262</x:v>
      </x:c>
      <x:c r="AO41" s="40" t="n">
        <x:f>ABS(AM41)</x:f>
        <x:v>320.7791095498578</x:v>
      </x:c>
      <x:c r="AP41" s="40" t="n">
        <x:f>ABS(AN41)</x:f>
        <x:v>48.16503146394262</x:v>
      </x:c>
      <x:c r="AQ41" s="40" t="n">
        <x:f>IF(Inputs!$C$27="ON",Inputs!$C$46/Inputs!$C$12,0)</x:f>
        <x:v>42.13483146067416</x:v>
      </x:c>
      <x:c r="AR41" s="40" t="n">
        <x:f>AC41-AQ41</x:f>
        <x:v>1506.3180628847929</x:v>
      </x:c>
      <x:c r="AS41" s="40" t="n">
        <x:f>AC41+AQ41</x:f>
        <x:v>1590.5877258061412</x:v>
      </x:c>
    </x:row>
    <x:row r="42">
      <x:c r="A42" s="40" t="n">
        <x:f>Inputs!$C$7+40*(Inputs!$C$8-Inputs!$C$7)/240</x:f>
        <x:v>-40</x:v>
      </x:c>
      <x:c r="B42" s="40" t="n">
        <x:f>Inputs!$C$5+Inputs!$C$9*(A42/Inputs!$C$10)^2</x:f>
        <x:v>401.77777777777777</x:v>
      </x:c>
      <x:c r="C42" s="40" t="n">
        <x:f>B42</x:f>
        <x:v>401.77777777777777</x:v>
      </x:c>
      <x:c r="D42" s="40" t="n">
        <x:f>SQRT(A42^2+Inputs!$C$6^2+B42^2)</x:f>
        <x:v>404.5372451530877</x:v>
      </x:c>
      <x:c r="E42" s="40" t="n">
        <x:f>(D42-C42)*1000</x:f>
        <x:v>2759.467375309953</x:v>
      </x:c>
      <x:c r="F42" s="40" t="n">
        <x:f>E42/Inputs!$C$12</x:f>
        <x:v>1550.26257039885</x:v>
      </x:c>
      <x:c r="G42" s="40" t="n">
        <x:f>2*E42/Inputs!$C$21*1000000</x:f>
        <x:v>18.40918476548168</x:v>
      </x:c>
      <x:c r="H42" s="40" t="n">
        <x:f>SQRT(A42^2+Inputs!$C$6^2)</x:f>
        <x:v>47.16990566028302</x:v>
      </x:c>
      <x:c r="I42" s="40" t="n">
        <x:f>DEGREES(ATAN(H42/B42))</x:f>
        <x:v>6.696042261456512</x:v>
      </x:c>
      <x:c r="J42" s="40" t="n">
        <x:f>DEGREES((2*PI()/Inputs!$C$13)*Inputs!$C$15*SIN(RADIANS(I42)))</x:f>
        <x:v>41.976767877765525</x:v>
      </x:c>
      <x:c r="K42" s="40" t="n">
        <x:f>(C42/D42)^4</x:f>
        <x:v>0.9729927379399279</x:v>
      </x:c>
      <x:c r="L42" s="40" t="n">
        <x:f>10*LOG10(K42)</x:f>
        <x:v>-0.11890401133895</x:v>
      </x:c>
      <x:c r="M42" s="40" t="n">
        <x:f>2*(Inputs!$C$9/(Inputs!$C$10^2))*A42</x:f>
        <x:v>-0.08888888888888889</x:v>
      </x:c>
      <x:c r="N42" s="40" t="n">
        <x:f>M42*Inputs!$C$11</x:f>
        <x:v>-0.35555555555555557</x:v>
      </x:c>
      <x:c r="O42" s="40" t="n">
        <x:f>1000*((A42*Inputs!$C$11)+(B42*N42))/D42</x:f>
        <x:v>-748.6438507610001</x:v>
      </x:c>
      <x:c r="P42" s="40" t="n">
        <x:f>-2*O42/Inputs!$C$13</x:f>
        <x:v>299.4575403044</x:v>
      </x:c>
      <x:c r="Q42" s="40" t="n">
        <x:f>-2*O42/Inputs!$C$14</x:f>
        <x:v>44.96359464030031</x:v>
      </x:c>
      <x:c r="R42" s="40" t="n">
        <x:f>F42-Inputs!$C$16/2</x:f>
        <x:v>1535.26257039885</x:v>
      </x:c>
      <x:c r="S42" s="40" t="n">
        <x:f>F42+Inputs!$C$16/2</x:f>
        <x:v>1565.26257039885</x:v>
      </x:c>
      <x:c r="T42" s="40" t="n">
        <x:f>F42-Inputs!$C$17/2</x:f>
        <x:v>1400.26257039885</x:v>
      </x:c>
      <x:c r="U42" s="40" t="n">
        <x:f>F42+Inputs!$C$17/2</x:f>
        <x:v>1700.26257039885</x:v>
      </x:c>
      <x:c r="V42" s="40" t="n">
        <x:f>ABS(P42)</x:f>
        <x:v>299.4575403044</x:v>
      </x:c>
      <x:c r="W42" s="40" t="n">
        <x:f>ABS(Q42)</x:f>
        <x:v>44.96359464030031</x:v>
      </x:c>
      <x:c r="X42" s="40" t="n">
        <x:f>IF(Inputs!$C$27="ON",1,0)*(Inputs!$C$28*EXP(-(((A42)-Inputs!$C$29)^2)/(2*Inputs!$C$31^2))*EXP(-(((0)-Inputs!$C$30)^2)/(2*Inputs!$C$32^2))+-Inputs!$C$33*EXP(-(((((A42)-Inputs!$C$34)^2)+(((0)-Inputs!$C$35)^2))/(2*Inputs!$C$36^2)))+Inputs!$C$37*(0.55*SIN(2*PI()*(A42)/Inputs!$C$39)+0.35*COS(2*PI()*(0)/Inputs!$C$40)+0.2*SIN(2*PI()*((A42)+(0))/(0.5*(Inputs!$C$39+Inputs!$C$40))))+Inputs!$C$38*SIN(2*PI()*(A42)/Inputs!$C$39)*SIN(2*PI()*(0)/Inputs!$C$40)+-Inputs!$C$41*EXP(-(((0)-Inputs!$C$43)^2)/(2*Inputs!$C$44^2))*EXP(-(((A42)-Inputs!$C$42)^2)/(2*Inputs!$C$45^2)))</x:f>
        <x:v>-6.328234986465404</x:v>
      </x:c>
      <x:c r="Y42" s="40" t="n">
        <x:f>IF(Inputs!$C$27="ON",1,0)*(Inputs!$C$28*EXP(-(((A42)-Inputs!$C$29)^2)/(2*Inputs!$C$31^2))*EXP(-(((Inputs!$C$6)-Inputs!$C$30)^2)/(2*Inputs!$C$32^2))+-Inputs!$C$33*EXP(-(((((A42)-Inputs!$C$34)^2)+(((Inputs!$C$6)-Inputs!$C$35)^2))/(2*Inputs!$C$36^2)))+Inputs!$C$37*(0.55*SIN(2*PI()*(A42)/Inputs!$C$39)+0.35*COS(2*PI()*(Inputs!$C$6)/Inputs!$C$40)+0.2*SIN(2*PI()*((A42)+(Inputs!$C$6))/(0.5*(Inputs!$C$39+Inputs!$C$40))))+Inputs!$C$38*SIN(2*PI()*(A42)/Inputs!$C$39)*SIN(2*PI()*(Inputs!$C$6)/Inputs!$C$40)+-Inputs!$C$41*EXP(-(((Inputs!$C$6)-Inputs!$C$43)^2)/(2*Inputs!$C$44^2))*EXP(-(((A42)-Inputs!$C$42)^2)/(2*Inputs!$C$45^2)))</x:f>
        <x:v>54.10525547928794</x:v>
      </x:c>
      <x:c r="Z42" s="40" t="n">
        <x:f>B42-X42/1000</x:f>
        <x:v>401.78410601276425</x:v>
      </x:c>
      <x:c r="AA42" s="40" t="n">
        <x:f>SQRT(A42^2+Inputs!$C$6^2+(B42-Y42/1000)^2)</x:f>
        <x:v>404.4835090146481</x:v>
      </x:c>
      <x:c r="AB42" s="40" t="n">
        <x:f>(AA42-Z42)*1000</x:f>
        <x:v>2699.4030018838657</x:v>
      </x:c>
      <x:c r="AC42" s="40" t="n">
        <x:f>AB42/Inputs!$C$12</x:f>
        <x:v>1516.5185403841942</x:v>
      </x:c>
      <x:c r="AD42" s="40" t="n">
        <x:f>2*AB42/Inputs!$C$21*1000000</x:f>
        <x:v>18.008478397971345</x:v>
      </x:c>
      <x:c r="AE42" s="40" t="n">
        <x:f>DEGREES(ATAN(H42/(B42-Y42/1000)))</x:f>
        <x:v>6.6969359120736005</x:v>
      </x:c>
      <x:c r="AF42" s="40" t="n">
        <x:f>DEGREES((2*PI()/Inputs!$C$13)*Inputs!$C$15*SIN(RADIANS(AE42)))</x:f>
        <x:v>41.98234454371025</x:v>
      </x:c>
      <x:c r="AG42" s="40" t="n">
        <x:f>(Z42/AA42)^4</x:f>
        <x:v>0.9735712290287311</x:v>
      </x:c>
      <x:c r="AH42" s="40" t="n">
        <x:f>10*LOG10(AG42)</x:f>
        <x:v>-0.116322688563465</x:v>
      </x:c>
      <x:c r="AI42" s="40" t="n">
        <x:f>AC42-F42</x:f>
        <x:v>-33.744030014655664</x:v>
      </x:c>
      <x:c r="AJ42" s="40" t="n">
        <x:f>AD42-G42</x:f>
        <x:v>-0.4007063675103346</x:v>
      </x:c>
      <x:c r="AK42" s="40" t="n">
        <x:f>Y42-X42</x:f>
        <x:v>60.433490465753344</x:v>
      </x:c>
      <x:c r="AL42" s="40" t="n">
        <x:f>1000*(AA43-AA41)/(A43-A41)*Inputs!$C$11</x:f>
        <x:v>-806.4178566587543</x:v>
      </x:c>
      <x:c r="AM42" s="40" t="n">
        <x:f>-2*AL42/Inputs!$C$13</x:f>
        <x:v>322.5671426635017</x:v>
      </x:c>
      <x:c r="AN42" s="40" t="n">
        <x:f>-2*AL42/Inputs!$C$14</x:f>
        <x:v>48.43350490442969</x:v>
      </x:c>
      <x:c r="AO42" s="40" t="n">
        <x:f>ABS(AM42)</x:f>
        <x:v>322.5671426635017</x:v>
      </x:c>
      <x:c r="AP42" s="40" t="n">
        <x:f>ABS(AN42)</x:f>
        <x:v>48.43350490442969</x:v>
      </x:c>
      <x:c r="AQ42" s="40" t="n">
        <x:f>IF(Inputs!$C$27="ON",Inputs!$C$46/Inputs!$C$12,0)</x:f>
        <x:v>42.13483146067416</x:v>
      </x:c>
      <x:c r="AR42" s="40" t="n">
        <x:f>AC42-AQ42</x:f>
        <x:v>1474.38370892352</x:v>
      </x:c>
      <x:c r="AS42" s="40" t="n">
        <x:f>AC42+AQ42</x:f>
        <x:v>1558.6533718448684</x:v>
      </x:c>
    </x:row>
    <x:row r="43">
      <x:c r="A43" s="40" t="n">
        <x:f>Inputs!$C$7+41*(Inputs!$C$8-Inputs!$C$7)/240</x:f>
        <x:v>-39.5</x:v>
      </x:c>
      <x:c r="B43" s="40" t="n">
        <x:f>Inputs!$C$5+Inputs!$C$9*(A43/Inputs!$C$10)^2</x:f>
        <x:v>401.7336111111111</x:v>
      </x:c>
      <x:c r="C43" s="40" t="n">
        <x:f>B43</x:f>
        <x:v>401.7336111111111</x:v>
      </x:c>
      <x:c r="D43" s="40" t="n">
        <x:f>SQRT(A43^2+Inputs!$C$6^2+B43^2)</x:f>
        <x:v>404.4442412698856</x:v>
      </x:c>
      <x:c r="E43" s="40" t="n">
        <x:f>(D43-C43)*1000</x:f>
        <x:v>2710.6301587745065</x:v>
      </x:c>
      <x:c r="F43" s="40" t="n">
        <x:f>E43/Inputs!$C$12</x:f>
        <x:v>1522.82593189579</x:v>
      </x:c>
      <x:c r="G43" s="40" t="n">
        <x:f>2*E43/Inputs!$C$21*1000000</x:f>
        <x:v>18.08337792656883</x:v>
      </x:c>
      <x:c r="H43" s="40" t="n">
        <x:f>SQRT(A43^2+Inputs!$C$6^2)</x:f>
        <x:v>46.74665763453041</x:v>
      </x:c>
      <x:c r="I43" s="40" t="n">
        <x:f>DEGREES(ATAN(H43/B43))</x:f>
        <x:v>6.637221193908625</x:v>
      </x:c>
      <x:c r="J43" s="40" t="n">
        <x:f>DEGREES((2*PI()/Inputs!$C$13)*Inputs!$C$15*SIN(RADIANS(I43)))</x:f>
        <x:v>41.609683192895545</x:v>
      </x:c>
      <x:c r="K43" s="40" t="n">
        <x:f>(C43/D43)^4</x:f>
        <x:v>0.9734598639623986</x:v>
      </x:c>
      <x:c r="L43" s="40" t="n">
        <x:f>10*LOG10(K43)</x:f>
        <x:v>-0.116819498645356</x:v>
      </x:c>
      <x:c r="M43" s="40" t="n">
        <x:f>2*(Inputs!$C$9/(Inputs!$C$10^2))*A43</x:f>
        <x:v>-0.08777777777777777</x:v>
      </x:c>
      <x:c r="N43" s="40" t="n">
        <x:f>M43*Inputs!$C$11</x:f>
        <x:v>-0.3511111111111111</x:v>
      </x:c>
      <x:c r="O43" s="40" t="n">
        <x:f>1000*((A43*Inputs!$C$11)+(B43*N43))/D43</x:f>
        <x:v>-739.4174624144125</x:v>
      </x:c>
      <x:c r="P43" s="40" t="n">
        <x:f>-2*O43/Inputs!$C$13</x:f>
        <x:v>295.766984965765</x:v>
      </x:c>
      <x:c r="Q43" s="40" t="n">
        <x:f>-2*O43/Inputs!$C$14</x:f>
        <x:v>44.40945720206682</x:v>
      </x:c>
      <x:c r="R43" s="40" t="n">
        <x:f>F43-Inputs!$C$16/2</x:f>
        <x:v>1507.82593189579</x:v>
      </x:c>
      <x:c r="S43" s="40" t="n">
        <x:f>F43+Inputs!$C$16/2</x:f>
        <x:v>1537.82593189579</x:v>
      </x:c>
      <x:c r="T43" s="40" t="n">
        <x:f>F43-Inputs!$C$17/2</x:f>
        <x:v>1372.82593189579</x:v>
      </x:c>
      <x:c r="U43" s="40" t="n">
        <x:f>F43+Inputs!$C$17/2</x:f>
        <x:v>1672.82593189579</x:v>
      </x:c>
      <x:c r="V43" s="40" t="n">
        <x:f>ABS(P43)</x:f>
        <x:v>295.766984965765</x:v>
      </x:c>
      <x:c r="W43" s="40" t="n">
        <x:f>ABS(Q43)</x:f>
        <x:v>44.40945720206682</x:v>
      </x:c>
      <x:c r="X43" s="40" t="n">
        <x:f>IF(Inputs!$C$27="ON",1,0)*(Inputs!$C$28*EXP(-(((A43)-Inputs!$C$29)^2)/(2*Inputs!$C$31^2))*EXP(-(((0)-Inputs!$C$30)^2)/(2*Inputs!$C$32^2))+-Inputs!$C$33*EXP(-(((((A43)-Inputs!$C$34)^2)+(((0)-Inputs!$C$35)^2))/(2*Inputs!$C$36^2)))+Inputs!$C$37*(0.55*SIN(2*PI()*(A43)/Inputs!$C$39)+0.35*COS(2*PI()*(0)/Inputs!$C$40)+0.2*SIN(2*PI()*((A43)+(0))/(0.5*(Inputs!$C$39+Inputs!$C$40))))+Inputs!$C$38*SIN(2*PI()*(A43)/Inputs!$C$39)*SIN(2*PI()*(0)/Inputs!$C$40)+-Inputs!$C$41*EXP(-(((0)-Inputs!$C$43)^2)/(2*Inputs!$C$44^2))*EXP(-(((A43)-Inputs!$C$42)^2)/(2*Inputs!$C$45^2)))</x:f>
        <x:v>-6.8214822932495665</x:v>
      </x:c>
      <x:c r="Y43" s="40" t="n">
        <x:f>IF(Inputs!$C$27="ON",1,0)*(Inputs!$C$28*EXP(-(((A43)-Inputs!$C$29)^2)/(2*Inputs!$C$31^2))*EXP(-(((Inputs!$C$6)-Inputs!$C$30)^2)/(2*Inputs!$C$32^2))+-Inputs!$C$33*EXP(-(((((A43)-Inputs!$C$34)^2)+(((Inputs!$C$6)-Inputs!$C$35)^2))/(2*Inputs!$C$36^2)))+Inputs!$C$37*(0.55*SIN(2*PI()*(A43)/Inputs!$C$39)+0.35*COS(2*PI()*(Inputs!$C$6)/Inputs!$C$40)+0.2*SIN(2*PI()*((A43)+(Inputs!$C$6))/(0.5*(Inputs!$C$39+Inputs!$C$40))))+Inputs!$C$38*SIN(2*PI()*(A43)/Inputs!$C$39)*SIN(2*PI()*(Inputs!$C$6)/Inputs!$C$40)+-Inputs!$C$41*EXP(-(((Inputs!$C$6)-Inputs!$C$43)^2)/(2*Inputs!$C$44^2))*EXP(-(((A43)-Inputs!$C$42)^2)/(2*Inputs!$C$45^2)))</x:f>
        <x:v>62.19495629384811</x:v>
      </x:c>
      <x:c r="Z43" s="40" t="n">
        <x:f>B43-X43/1000</x:f>
        <x:v>401.74043259340436</x:v>
      </x:c>
      <x:c r="AA43" s="40" t="n">
        <x:f>SQRT(A43^2+Inputs!$C$6^2+(B43-Y43/1000)^2)</x:f>
        <x:v>404.3824632149821</x:v>
      </x:c>
      <x:c r="AB43" s="40" t="n">
        <x:f>(AA43-Z43)*1000</x:f>
        <x:v>2642.03062157776</x:v>
      </x:c>
      <x:c r="AC43" s="40" t="n">
        <x:f>AB43/Inputs!$C$12</x:f>
        <x:v>1484.2868660549213</x:v>
      </x:c>
      <x:c r="AD43" s="40" t="n">
        <x:f>2*AB43/Inputs!$C$21*1000000</x:f>
        <x:v>17.625731075447938</x:v>
      </x:c>
      <x:c r="AE43" s="40" t="n">
        <x:f>DEGREES(ATAN(H43/(B43-Y43/1000)))</x:f>
        <x:v>6.638239732279172</x:v>
      </x:c>
      <x:c r="AF43" s="40" t="n">
        <x:f>DEGREES((2*PI()/Inputs!$C$13)*Inputs!$C$15*SIN(RADIANS(AE43)))</x:f>
        <x:v>41.61603996037841</x:v>
      </x:c>
      <x:c r="AG43" s="40" t="n">
        <x:f>(Z43/AA43)^4</x:f>
        <x:v>0.9741210273391021</x:v>
      </x:c>
      <x:c r="AH43" s="40" t="n">
        <x:f>10*LOG10(AG43)</x:f>
        <x:v>-0.113870818891392</x:v>
      </x:c>
      <x:c r="AI43" s="40" t="n">
        <x:f>AC43-F43</x:f>
        <x:v>-38.539065840868716</x:v>
      </x:c>
      <x:c r="AJ43" s="40" t="n">
        <x:f>AD43-G43</x:f>
        <x:v>-0.45764685112089154</x:v>
      </x:c>
      <x:c r="AK43" s="40" t="n">
        <x:f>Y43-X43</x:f>
        <x:v>69.01643858709767</x:v>
      </x:c>
      <x:c r="AL43" s="40" t="n">
        <x:f>1000*(AA44-AA42)/(A44-A42)*Inputs!$C$11</x:f>
        <x:v>-809.5484769792165</x:v>
      </x:c>
      <x:c r="AM43" s="40" t="n">
        <x:f>-2*AL43/Inputs!$C$13</x:f>
        <x:v>323.8193907916866</x:v>
      </x:c>
      <x:c r="AN43" s="40" t="n">
        <x:f>-2*AL43/Inputs!$C$14</x:f>
        <x:v>48.6215301489019</x:v>
      </x:c>
      <x:c r="AO43" s="40" t="n">
        <x:f>ABS(AM43)</x:f>
        <x:v>323.8193907916866</x:v>
      </x:c>
      <x:c r="AP43" s="40" t="n">
        <x:f>ABS(AN43)</x:f>
        <x:v>48.6215301489019</x:v>
      </x:c>
      <x:c r="AQ43" s="40" t="n">
        <x:f>IF(Inputs!$C$27="ON",Inputs!$C$46/Inputs!$C$12,0)</x:f>
        <x:v>42.13483146067416</x:v>
      </x:c>
      <x:c r="AR43" s="40" t="n">
        <x:f>AC43-AQ43</x:f>
        <x:v>1442.1520345942472</x:v>
      </x:c>
      <x:c r="AS43" s="40" t="n">
        <x:f>AC43+AQ43</x:f>
        <x:v>1526.4216975155955</x:v>
      </x:c>
    </x:row>
    <x:row r="44">
      <x:c r="A44" s="40" t="n">
        <x:f>Inputs!$C$7+42*(Inputs!$C$8-Inputs!$C$7)/240</x:f>
        <x:v>-39</x:v>
      </x:c>
      <x:c r="B44" s="40" t="n">
        <x:f>Inputs!$C$5+Inputs!$C$9*(A44/Inputs!$C$10)^2</x:f>
        <x:v>401.69</x:v>
      </x:c>
      <x:c r="C44" s="40" t="n">
        <x:f>B44</x:f>
        <x:v>401.69</x:v>
      </x:c>
      <x:c r="D44" s="40" t="n">
        <x:f>SQRT(A44^2+Inputs!$C$6^2+B44^2)</x:f>
        <x:v>404.3523909908287</x:v>
      </x:c>
      <x:c r="E44" s="40" t="n">
        <x:f>(D44-C44)*1000</x:f>
        <x:v>2662.390990828726</x:v>
      </x:c>
      <x:c r="F44" s="40" t="n">
        <x:f>E44/Inputs!$C$12</x:f>
        <x:v>1495.7252757464753</x:v>
      </x:c>
      <x:c r="G44" s="40" t="n">
        <x:f>2*E44/Inputs!$C$21*1000000</x:f>
        <x:v>17.76156083838991</x:v>
      </x:c>
      <x:c r="H44" s="40" t="n">
        <x:f>SQRT(A44^2+Inputs!$C$6^2)</x:f>
        <x:v>46.32493928760188</x:v>
      </x:c>
      <x:c r="I44" s="40" t="n">
        <x:f>DEGREES(ATAN(H44/B44))</x:f>
        <x:v>6.57857943618696</x:v>
      </x:c>
      <x:c r="J44" s="40" t="n">
        <x:f>DEGREES((2*PI()/Inputs!$C$13)*Inputs!$C$15*SIN(RADIANS(I44)))</x:f>
        <x:v>41.2436738723648</x:v>
      </x:c>
      <x:c r="K44" s="40" t="n">
        <x:f>(C44/D44)^4</x:f>
        <x:v>0.9739216467800008</x:v>
      </x:c>
      <x:c r="L44" s="40" t="n">
        <x:f>10*LOG10(K44)</x:f>
        <x:v>-0.114759812526585</x:v>
      </x:c>
      <x:c r="M44" s="40" t="n">
        <x:f>2*(Inputs!$C$9/(Inputs!$C$10^2))*A44</x:f>
        <x:v>-0.08666666666666667</x:v>
      </x:c>
      <x:c r="N44" s="40" t="n">
        <x:f>M44*Inputs!$C$11</x:f>
        <x:v>-0.3466666666666667</x:v>
      </x:c>
      <x:c r="O44" s="40" t="n">
        <x:f>1000*((A44*Inputs!$C$11)+(B44*N44))/D44</x:f>
        <x:v>-730.186193804478</x:v>
      </x:c>
      <x:c r="P44" s="40" t="n">
        <x:f>-2*O44/Inputs!$C$13</x:f>
        <x:v>292.0744775217912</x:v>
      </x:c>
      <x:c r="Q44" s="40" t="n">
        <x:f>-2*O44/Inputs!$C$14</x:f>
        <x:v>43.855026654923606</x:v>
      </x:c>
      <x:c r="R44" s="40" t="n">
        <x:f>F44-Inputs!$C$16/2</x:f>
        <x:v>1480.7252757464753</x:v>
      </x:c>
      <x:c r="S44" s="40" t="n">
        <x:f>F44+Inputs!$C$16/2</x:f>
        <x:v>1510.7252757464753</x:v>
      </x:c>
      <x:c r="T44" s="40" t="n">
        <x:f>F44-Inputs!$C$17/2</x:f>
        <x:v>1345.7252757464753</x:v>
      </x:c>
      <x:c r="U44" s="40" t="n">
        <x:f>F44+Inputs!$C$17/2</x:f>
        <x:v>1645.7252757464753</x:v>
      </x:c>
      <x:c r="V44" s="40" t="n">
        <x:f>ABS(P44)</x:f>
        <x:v>292.0744775217912</x:v>
      </x:c>
      <x:c r="W44" s="40" t="n">
        <x:f>ABS(Q44)</x:f>
        <x:v>43.855026654923606</x:v>
      </x:c>
      <x:c r="X44" s="40" t="n">
        <x:f>IF(Inputs!$C$27="ON",1,0)*(Inputs!$C$28*EXP(-(((A44)-Inputs!$C$29)^2)/(2*Inputs!$C$31^2))*EXP(-(((0)-Inputs!$C$30)^2)/(2*Inputs!$C$32^2))+-Inputs!$C$33*EXP(-(((((A44)-Inputs!$C$34)^2)+(((0)-Inputs!$C$35)^2))/(2*Inputs!$C$36^2)))+Inputs!$C$37*(0.55*SIN(2*PI()*(A44)/Inputs!$C$39)+0.35*COS(2*PI()*(0)/Inputs!$C$40)+0.2*SIN(2*PI()*((A44)+(0))/(0.5*(Inputs!$C$39+Inputs!$C$40))))+Inputs!$C$38*SIN(2*PI()*(A44)/Inputs!$C$39)*SIN(2*PI()*(0)/Inputs!$C$40)+-Inputs!$C$41*EXP(-(((0)-Inputs!$C$43)^2)/(2*Inputs!$C$44^2))*EXP(-(((A44)-Inputs!$C$42)^2)/(2*Inputs!$C$45^2)))</x:f>
        <x:v>-6.788347057942317</x:v>
      </x:c>
      <x:c r="Y44" s="40" t="n">
        <x:f>IF(Inputs!$C$27="ON",1,0)*(Inputs!$C$28*EXP(-(((A44)-Inputs!$C$29)^2)/(2*Inputs!$C$31^2))*EXP(-(((Inputs!$C$6)-Inputs!$C$30)^2)/(2*Inputs!$C$32^2))+-Inputs!$C$33*EXP(-(((((A44)-Inputs!$C$34)^2)+(((Inputs!$C$6)-Inputs!$C$35)^2))/(2*Inputs!$C$36^2)))+Inputs!$C$37*(0.55*SIN(2*PI()*(A44)/Inputs!$C$39)+0.35*COS(2*PI()*(Inputs!$C$6)/Inputs!$C$40)+0.2*SIN(2*PI()*((A44)+(Inputs!$C$6))/(0.5*(Inputs!$C$39+Inputs!$C$40))))+Inputs!$C$38*SIN(2*PI()*(A44)/Inputs!$C$39)*SIN(2*PI()*(Inputs!$C$6)/Inputs!$C$40)+-Inputs!$C$41*EXP(-(((Inputs!$C$6)-Inputs!$C$43)^2)/(2*Inputs!$C$44^2))*EXP(-(((A44)-Inputs!$C$42)^2)/(2*Inputs!$C$45^2)))</x:f>
        <x:v>71.7415492592762</x:v>
      </x:c>
      <x:c r="Z44" s="40" t="n">
        <x:f>B44-X44/1000</x:f>
        <x:v>401.6967883470579</x:v>
      </x:c>
      <x:c r="AA44" s="40" t="n">
        <x:f>SQRT(A44^2+Inputs!$C$6^2+(B44-Y44/1000)^2)</x:f>
        <x:v>404.2811218954033</x:v>
      </x:c>
      <x:c r="AB44" s="40" t="n">
        <x:f>(AA44-Z44)*1000</x:f>
        <x:v>2584.3335483453984</x:v>
      </x:c>
      <x:c r="AC44" s="40" t="n">
        <x:f>AB44/Inputs!$C$12</x:f>
        <x:v>1451.872779969325</x:v>
      </x:c>
      <x:c r="AD44" s="40" t="n">
        <x:f>2*AB44/Inputs!$C$21*1000000</x:f>
        <x:v>17.240817634881253</x:v>
      </x:c>
      <x:c r="AE44" s="40" t="n">
        <x:f>DEGREES(ATAN(H44/(B44-Y44/1000)))</x:f>
        <x:v>6.579744272133995</x:v>
      </x:c>
      <x:c r="AF44" s="40" t="n">
        <x:f>DEGREES((2*PI()/Inputs!$C$13)*Inputs!$C$15*SIN(RADIANS(AE44)))</x:f>
        <x:v>41.25094455400119</x:v>
      </x:c>
      <x:c r="AG44" s="40" t="n">
        <x:f>(Z44/AA44)^4</x:f>
        <x:v>0.9746744664769663</x:v>
      </x:c>
      <x:c r="AH44" s="40" t="n">
        <x:f>10*LOG10(AG44)</x:f>
        <x:v>-0.111404109881975</x:v>
      </x:c>
      <x:c r="AI44" s="40" t="n">
        <x:f>AC44-F44</x:f>
        <x:v>-43.85249577715035</x:v>
      </x:c>
      <x:c r="AJ44" s="40" t="n">
        <x:f>AD44-G44</x:f>
        <x:v>-0.5207432035086583</x:v>
      </x:c>
      <x:c r="AK44" s="40" t="n">
        <x:f>Y44-X44</x:f>
        <x:v>78.52989631721852</x:v>
      </x:c>
      <x:c r="AL44" s="40" t="n">
        <x:f>1000*(AA45-AA43)/(A45-A43)*Inputs!$C$11</x:f>
        <x:v>-810.9819524454451</x:v>
      </x:c>
      <x:c r="AM44" s="40" t="n">
        <x:f>-2*AL44/Inputs!$C$13</x:f>
        <x:v>324.39278097817805</x:v>
      </x:c>
      <x:c r="AN44" s="40" t="n">
        <x:f>-2*AL44/Inputs!$C$14</x:f>
        <x:v>48.70762477149821</x:v>
      </x:c>
      <x:c r="AO44" s="40" t="n">
        <x:f>ABS(AM44)</x:f>
        <x:v>324.39278097817805</x:v>
      </x:c>
      <x:c r="AP44" s="40" t="n">
        <x:f>ABS(AN44)</x:f>
        <x:v>48.70762477149821</x:v>
      </x:c>
      <x:c r="AQ44" s="40" t="n">
        <x:f>IF(Inputs!$C$27="ON",Inputs!$C$46/Inputs!$C$12,0)</x:f>
        <x:v>42.13483146067416</x:v>
      </x:c>
      <x:c r="AR44" s="40" t="n">
        <x:f>AC44-AQ44</x:f>
        <x:v>1409.7379485086508</x:v>
      </x:c>
      <x:c r="AS44" s="40" t="n">
        <x:f>AC44+AQ44</x:f>
        <x:v>1494.007611429999</x:v>
      </x:c>
    </x:row>
    <x:row r="45">
      <x:c r="A45" s="40" t="n">
        <x:f>Inputs!$C$7+43*(Inputs!$C$8-Inputs!$C$7)/240</x:f>
        <x:v>-38.5</x:v>
      </x:c>
      <x:c r="B45" s="40" t="n">
        <x:f>Inputs!$C$5+Inputs!$C$9*(A45/Inputs!$C$10)^2</x:f>
        <x:v>401.64694444444444</x:v>
      </x:c>
      <x:c r="C45" s="40" t="n">
        <x:f>B45</x:f>
        <x:v>401.64694444444444</x:v>
      </x:c>
      <x:c r="D45" s="40" t="n">
        <x:f>SQRT(A45^2+Inputs!$C$6^2+B45^2)</x:f>
        <x:v>404.26169492243343</x:v>
      </x:c>
      <x:c r="E45" s="40" t="n">
        <x:f>(D45-C45)*1000</x:f>
        <x:v>2614.7504779889914</x:v>
      </x:c>
      <x:c r="F45" s="40" t="n">
        <x:f>E45/Inputs!$C$12</x:f>
        <x:v>1468.9609426904447</x:v>
      </x:c>
      <x:c r="G45" s="40" t="n">
        <x:f>2*E45/Inputs!$C$21*1000000</x:f>
        <x:v>17.44373754718667</x:v>
      </x:c>
      <x:c r="H45" s="40" t="n">
        <x:f>SQRT(A45^2+Inputs!$C$6^2)</x:f>
        <x:v>45.90479277809671</x:v>
      </x:c>
      <x:c r="I45" s="40" t="n">
        <x:f>DEGREES(ATAN(H45/B45))</x:f>
        <x:v>6.520123486642501</x:v>
      </x:c>
      <x:c r="J45" s="40" t="n">
        <x:f>DEGREES((2*PI()/Inputs!$C$13)*Inputs!$C$15*SIN(RADIANS(I45)))</x:f>
        <x:v>40.87878126391779</x:v>
      </x:c>
      <x:c r="K45" s="40" t="n">
        <x:f>(C45/D45)^4</x:f>
        <x:v>0.9743780669908849</x:v>
      </x:c>
      <x:c r="L45" s="40" t="n">
        <x:f>10*LOG10(K45)</x:f>
        <x:v>-0.11272500462468801</x:v>
      </x:c>
      <x:c r="M45" s="40" t="n">
        <x:f>2*(Inputs!$C$9/(Inputs!$C$10^2))*A45</x:f>
        <x:v>-0.08555555555555555</x:v>
      </x:c>
      <x:c r="N45" s="40" t="n">
        <x:f>M45*Inputs!$C$11</x:f>
        <x:v>-0.3422222222222222</x:v>
      </x:c>
      <x:c r="O45" s="40" t="n">
        <x:f>1000*((A45*Inputs!$C$11)+(B45*N45))/D45</x:f>
        <x:v>-720.9501012270401</x:v>
      </x:c>
      <x:c r="P45" s="40" t="n">
        <x:f>-2*O45/Inputs!$C$13</x:f>
        <x:v>288.38004049081604</x:v>
      </x:c>
      <x:c r="Q45" s="40" t="n">
        <x:f>-2*O45/Inputs!$C$14</x:f>
        <x:v>43.30030638000241</x:v>
      </x:c>
      <x:c r="R45" s="40" t="n">
        <x:f>F45-Inputs!$C$16/2</x:f>
        <x:v>1453.9609426904447</x:v>
      </x:c>
      <x:c r="S45" s="40" t="n">
        <x:f>F45+Inputs!$C$16/2</x:f>
        <x:v>1483.9609426904447</x:v>
      </x:c>
      <x:c r="T45" s="40" t="n">
        <x:f>F45-Inputs!$C$17/2</x:f>
        <x:v>1318.9609426904447</x:v>
      </x:c>
      <x:c r="U45" s="40" t="n">
        <x:f>F45+Inputs!$C$17/2</x:f>
        <x:v>1618.9609426904447</x:v>
      </x:c>
      <x:c r="V45" s="40" t="n">
        <x:f>ABS(P45)</x:f>
        <x:v>288.38004049081604</x:v>
      </x:c>
      <x:c r="W45" s="40" t="n">
        <x:f>ABS(Q45)</x:f>
        <x:v>43.30030638000241</x:v>
      </x:c>
      <x:c r="X45" s="40" t="n">
        <x:f>IF(Inputs!$C$27="ON",1,0)*(Inputs!$C$28*EXP(-(((A45)-Inputs!$C$29)^2)/(2*Inputs!$C$31^2))*EXP(-(((0)-Inputs!$C$30)^2)/(2*Inputs!$C$32^2))+-Inputs!$C$33*EXP(-(((((A45)-Inputs!$C$34)^2)+(((0)-Inputs!$C$35)^2))/(2*Inputs!$C$36^2)))+Inputs!$C$37*(0.55*SIN(2*PI()*(A45)/Inputs!$C$39)+0.35*COS(2*PI()*(0)/Inputs!$C$40)+0.2*SIN(2*PI()*((A45)+(0))/(0.5*(Inputs!$C$39+Inputs!$C$40))))+Inputs!$C$38*SIN(2*PI()*(A45)/Inputs!$C$39)*SIN(2*PI()*(0)/Inputs!$C$40)+-Inputs!$C$41*EXP(-(((0)-Inputs!$C$43)^2)/(2*Inputs!$C$44^2))*EXP(-(((A45)-Inputs!$C$42)^2)/(2*Inputs!$C$45^2)))</x:f>
        <x:v>-6.228997716606727</x:v>
      </x:c>
      <x:c r="Y45" s="40" t="n">
        <x:f>IF(Inputs!$C$27="ON",1,0)*(Inputs!$C$28*EXP(-(((A45)-Inputs!$C$29)^2)/(2*Inputs!$C$31^2))*EXP(-(((Inputs!$C$6)-Inputs!$C$30)^2)/(2*Inputs!$C$32^2))+-Inputs!$C$33*EXP(-(((((A45)-Inputs!$C$34)^2)+(((Inputs!$C$6)-Inputs!$C$35)^2))/(2*Inputs!$C$36^2)))+Inputs!$C$37*(0.55*SIN(2*PI()*(A45)/Inputs!$C$39)+0.35*COS(2*PI()*(Inputs!$C$6)/Inputs!$C$40)+0.2*SIN(2*PI()*((A45)+(Inputs!$C$6))/(0.5*(Inputs!$C$39+Inputs!$C$40))))+Inputs!$C$38*SIN(2*PI()*(A45)/Inputs!$C$39)*SIN(2*PI()*(Inputs!$C$6)/Inputs!$C$40)+-Inputs!$C$41*EXP(-(((Inputs!$C$6)-Inputs!$C$43)^2)/(2*Inputs!$C$44^2))*EXP(-(((A45)-Inputs!$C$42)^2)/(2*Inputs!$C$45^2)))</x:f>
        <x:v>82.51098230009727</x:v>
      </x:c>
      <x:c r="Z45" s="40" t="n">
        <x:f>B45-X45/1000</x:f>
        <x:v>401.65317344216106</x:v>
      </x:c>
      <x:c r="AA45" s="40" t="n">
        <x:f>SQRT(A45^2+Inputs!$C$6^2+(B45-Y45/1000)^2)</x:f>
        <x:v>404.17971772687076</x:v>
      </x:c>
      <x:c r="AB45" s="40" t="n">
        <x:f>(AA45-Z45)*1000</x:f>
        <x:v>2526.5442847097006</x:v>
      </x:c>
      <x:c r="AC45" s="40" t="n">
        <x:f>AB45/Inputs!$C$12</x:f>
        <x:v>1419.4069015223038</x:v>
      </x:c>
      <x:c r="AD45" s="40" t="n">
        <x:f>2*AB45/Inputs!$C$21*1000000</x:f>
        <x:v>16.85528916614507</x:v>
      </x:c>
      <x:c r="AE45" s="40" t="n">
        <x:f>DEGREES(ATAN(H45/(B45-Y45/1000)))</x:f>
        <x:v>6.521451661676354</x:v>
      </x:c>
      <x:c r="AF45" s="40" t="n">
        <x:f>DEGREES((2*PI()/Inputs!$C$13)*Inputs!$C$15*SIN(RADIANS(AE45)))</x:f>
        <x:v>40.88707244652556</x:v>
      </x:c>
      <x:c r="AG45" s="40" t="n">
        <x:f>(Z45/AA45)^4</x:f>
        <x:v>0.9752293106652714</x:v>
      </x:c>
      <x:c r="AH45" s="40" t="n">
        <x:f>10*LOG10(AG45)</x:f>
        <x:v>-0.108932544068059</x:v>
      </x:c>
      <x:c r="AI45" s="40" t="n">
        <x:f>AC45-F45</x:f>
        <x:v>-49.554041168140884</x:v>
      </x:c>
      <x:c r="AJ45" s="40" t="n">
        <x:f>AD45-G45</x:f>
        <x:v>-0.5884483810416015</x:v>
      </x:c>
      <x:c r="AK45" s="40" t="n">
        <x:f>Y45-X45</x:f>
        <x:v>88.739980016704</x:v>
      </x:c>
      <x:c r="AL45" s="40" t="n">
        <x:f>1000*(AA46-AA44)/(A46-A44)*Inputs!$C$11</x:f>
        <x:v>-810.4237927866507</x:v>
      </x:c>
      <x:c r="AM45" s="40" t="n">
        <x:f>-2*AL45/Inputs!$C$13</x:f>
        <x:v>324.16951711466027</x:v>
      </x:c>
      <x:c r="AN45" s="40" t="n">
        <x:f>-2*AL45/Inputs!$C$14</x:f>
        <x:v>48.67410166886791</x:v>
      </x:c>
      <x:c r="AO45" s="40" t="n">
        <x:f>ABS(AM45)</x:f>
        <x:v>324.16951711466027</x:v>
      </x:c>
      <x:c r="AP45" s="40" t="n">
        <x:f>ABS(AN45)</x:f>
        <x:v>48.67410166886791</x:v>
      </x:c>
      <x:c r="AQ45" s="40" t="n">
        <x:f>IF(Inputs!$C$27="ON",Inputs!$C$46/Inputs!$C$12,0)</x:f>
        <x:v>42.13483146067416</x:v>
      </x:c>
      <x:c r="AR45" s="40" t="n">
        <x:f>AC45-AQ45</x:f>
        <x:v>1377.2720700616296</x:v>
      </x:c>
      <x:c r="AS45" s="40" t="n">
        <x:f>AC45+AQ45</x:f>
        <x:v>1461.541732982978</x:v>
      </x:c>
    </x:row>
    <x:row r="46">
      <x:c r="A46" s="40" t="n">
        <x:f>Inputs!$C$7+44*(Inputs!$C$8-Inputs!$C$7)/240</x:f>
        <x:v>-38</x:v>
      </x:c>
      <x:c r="B46" s="40" t="n">
        <x:f>Inputs!$C$5+Inputs!$C$9*(A46/Inputs!$C$10)^2</x:f>
        <x:v>401.6044444444444</x:v>
      </x:c>
      <x:c r="C46" s="40" t="n">
        <x:f>B46</x:f>
        <x:v>401.6044444444444</x:v>
      </x:c>
      <x:c r="D46" s="40" t="n">
        <x:f>SQRT(A46^2+Inputs!$C$6^2+B46^2)</x:f>
        <x:v>404.1721536641668</x:v>
      </x:c>
      <x:c r="E46" s="40" t="n">
        <x:f>(D46-C46)*1000</x:f>
        <x:v>2567.70921972236</x:v>
      </x:c>
      <x:c r="F46" s="40" t="n">
        <x:f>E46/Inputs!$C$12</x:f>
        <x:v>1442.533269506944</x:v>
      </x:c>
      <x:c r="G46" s="40" t="n">
        <x:f>2*E46/Inputs!$C$21*1000000</x:f>
        <x:v>17.12991205217284</x:v>
      </x:c>
      <x:c r="H46" s="40" t="n">
        <x:f>SQRT(A46^2+Inputs!$C$6^2)</x:f>
        <x:v>45.48626166217664</x:v>
      </x:c>
      <x:c r="I46" s="40" t="n">
        <x:f>DEGREES(ATAN(H46/B46))</x:f>
        <x:v>6.4618600446971834</x:v>
      </x:c>
      <x:c r="J46" s="40" t="n">
        <x:f>DEGREES((2*PI()/Inputs!$C$13)*Inputs!$C$15*SIN(RADIANS(I46)))</x:f>
        <x:v>40.51504798123695</x:v>
      </x:c>
      <x:c r="K46" s="40" t="n">
        <x:f>(C46/D46)^4</x:f>
        <x:v>0.9748291053895243</x:v>
      </x:c>
      <x:c r="L46" s="40" t="n">
        <x:f>10*LOG10(K46)</x:f>
        <x:v>-0.11071512600401301</x:v>
      </x:c>
      <x:c r="M46" s="40" t="n">
        <x:f>2*(Inputs!$C$9/(Inputs!$C$10^2))*A46</x:f>
        <x:v>-0.08444444444444445</x:v>
      </x:c>
      <x:c r="N46" s="40" t="n">
        <x:f>M46*Inputs!$C$11</x:f>
        <x:v>-0.3377777777777778</x:v>
      </x:c>
      <x:c r="O46" s="40" t="n">
        <x:f>1000*((A46*Inputs!$C$11)+(B46*N46))/D46</x:f>
        <x:v>-711.7092411792898</x:v>
      </x:c>
      <x:c r="P46" s="40" t="n">
        <x:f>-2*O46/Inputs!$C$13</x:f>
        <x:v>284.68369647171596</x:v>
      </x:c>
      <x:c r="Q46" s="40" t="n">
        <x:f>-2*O46/Inputs!$C$14</x:f>
        <x:v>42.74529977052792</x:v>
      </x:c>
      <x:c r="R46" s="40" t="n">
        <x:f>F46-Inputs!$C$16/2</x:f>
        <x:v>1427.533269506944</x:v>
      </x:c>
      <x:c r="S46" s="40" t="n">
        <x:f>F46+Inputs!$C$16/2</x:f>
        <x:v>1457.533269506944</x:v>
      </x:c>
      <x:c r="T46" s="40" t="n">
        <x:f>F46-Inputs!$C$17/2</x:f>
        <x:v>1292.533269506944</x:v>
      </x:c>
      <x:c r="U46" s="40" t="n">
        <x:f>F46+Inputs!$C$17/2</x:f>
        <x:v>1592.533269506944</x:v>
      </x:c>
      <x:c r="V46" s="40" t="n">
        <x:f>ABS(P46)</x:f>
        <x:v>284.68369647171596</x:v>
      </x:c>
      <x:c r="W46" s="40" t="n">
        <x:f>ABS(Q46)</x:f>
        <x:v>42.74529977052792</x:v>
      </x:c>
      <x:c r="X46" s="40" t="n">
        <x:f>IF(Inputs!$C$27="ON",1,0)*(Inputs!$C$28*EXP(-(((A46)-Inputs!$C$29)^2)/(2*Inputs!$C$31^2))*EXP(-(((0)-Inputs!$C$30)^2)/(2*Inputs!$C$32^2))+-Inputs!$C$33*EXP(-(((((A46)-Inputs!$C$34)^2)+(((0)-Inputs!$C$35)^2))/(2*Inputs!$C$36^2)))+Inputs!$C$37*(0.55*SIN(2*PI()*(A46)/Inputs!$C$39)+0.35*COS(2*PI()*(0)/Inputs!$C$40)+0.2*SIN(2*PI()*((A46)+(0))/(0.5*(Inputs!$C$39+Inputs!$C$40))))+Inputs!$C$38*SIN(2*PI()*(A46)/Inputs!$C$39)*SIN(2*PI()*(0)/Inputs!$C$40)+-Inputs!$C$41*EXP(-(((0)-Inputs!$C$43)^2)/(2*Inputs!$C$44^2))*EXP(-(((A46)-Inputs!$C$42)^2)/(2*Inputs!$C$45^2)))</x:f>
        <x:v>-5.158072342999348</x:v>
      </x:c>
      <x:c r="Y46" s="40" t="n">
        <x:f>IF(Inputs!$C$27="ON",1,0)*(Inputs!$C$28*EXP(-(((A46)-Inputs!$C$29)^2)/(2*Inputs!$C$31^2))*EXP(-(((Inputs!$C$6)-Inputs!$C$30)^2)/(2*Inputs!$C$32^2))+-Inputs!$C$33*EXP(-(((((A46)-Inputs!$C$34)^2)+(((Inputs!$C$6)-Inputs!$C$35)^2))/(2*Inputs!$C$36^2)))+Inputs!$C$37*(0.55*SIN(2*PI()*(A46)/Inputs!$C$39)+0.35*COS(2*PI()*(Inputs!$C$6)/Inputs!$C$40)+0.2*SIN(2*PI()*((A46)+(Inputs!$C$6))/(0.5*(Inputs!$C$39+Inputs!$C$40))))+Inputs!$C$38*SIN(2*PI()*(A46)/Inputs!$C$39)*SIN(2*PI()*(Inputs!$C$6)/Inputs!$C$40)+-Inputs!$C$41*EXP(-(((Inputs!$C$6)-Inputs!$C$43)^2)/(2*Inputs!$C$44^2))*EXP(-(((A46)-Inputs!$C$42)^2)/(2*Inputs!$C$45^2)))</x:f>
        <x:v>94.2365417100589</x:v>
      </x:c>
      <x:c r="Z46" s="40" t="n">
        <x:f>B46-X46/1000</x:f>
        <x:v>401.60960251678745</x:v>
      </x:c>
      <x:c r="AA46" s="40" t="n">
        <x:f>SQRT(A46^2+Inputs!$C$6^2+(B46-Y46/1000)^2)</x:f>
        <x:v>404.07851594720665</x:v>
      </x:c>
      <x:c r="AB46" s="40" t="n">
        <x:f>(AA46-Z46)*1000</x:f>
        <x:v>2468.9134304192066</x:v>
      </x:c>
      <x:c r="AC46" s="40" t="n">
        <x:f>AB46/Inputs!$C$12</x:f>
        <x:v>1387.0300170894418</x:v>
      </x:c>
      <x:c r="AD46" s="40" t="n">
        <x:f>2*AB46/Inputs!$C$21*1000000</x:f>
        <x:v>16.47081749080697</x:v>
      </x:c>
      <x:c r="AE46" s="40" t="n">
        <x:f>DEGREES(ATAN(H46/(B46-Y46/1000)))</x:f>
        <x:v>6.463363844656675</x:v>
      </x:c>
      <x:c r="AF46" s="40" t="n">
        <x:f>DEGREES((2*PI()/Inputs!$C$13)*Inputs!$C$15*SIN(RADIANS(AE46)))</x:f>
        <x:v>40.524436593711435</x:v>
      </x:c>
      <x:c r="AG46" s="40" t="n">
        <x:f>(Z46/AA46)^4</x:f>
        <x:v>0.9757831428447311</x:v>
      </x:c>
      <x:c r="AH46" s="40" t="n">
        <x:f>10*LOG10(AG46)</x:f>
        <x:v>-0.106466888193154</x:v>
      </x:c>
      <x:c r="AI46" s="40" t="n">
        <x:f>AC46-F46</x:f>
        <x:v>-55.50325241750215</x:v>
      </x:c>
      <x:c r="AJ46" s="40" t="n">
        <x:f>AD46-G46</x:f>
        <x:v>-0.6590945613658725</x:v>
      </x:c>
      <x:c r="AK46" s="40" t="n">
        <x:f>Y46-X46</x:f>
        <x:v>99.39461405305825</x:v>
      </x:c>
      <x:c r="AL46" s="40" t="n">
        <x:f>1000*(AA47-AA45)/(A47-A45)*Inputs!$C$11</x:f>
        <x:v>-807.6508460781042</x:v>
      </x:c>
      <x:c r="AM46" s="40" t="n">
        <x:f>-2*AL46/Inputs!$C$13</x:f>
        <x:v>323.0603384312417</x:v>
      </x:c>
      <x:c r="AN46" s="40" t="n">
        <x:f>-2*AL46/Inputs!$C$14</x:f>
        <x:v>48.50755832300926</x:v>
      </x:c>
      <x:c r="AO46" s="40" t="n">
        <x:f>ABS(AM46)</x:f>
        <x:v>323.0603384312417</x:v>
      </x:c>
      <x:c r="AP46" s="40" t="n">
        <x:f>ABS(AN46)</x:f>
        <x:v>48.50755832300926</x:v>
      </x:c>
      <x:c r="AQ46" s="40" t="n">
        <x:f>IF(Inputs!$C$27="ON",Inputs!$C$46/Inputs!$C$12,0)</x:f>
        <x:v>42.13483146067416</x:v>
      </x:c>
      <x:c r="AR46" s="40" t="n">
        <x:f>AC46-AQ46</x:f>
        <x:v>1344.8951856287676</x:v>
      </x:c>
      <x:c r="AS46" s="40" t="n">
        <x:f>AC46+AQ46</x:f>
        <x:v>1429.164848550116</x:v>
      </x:c>
    </x:row>
    <x:row r="47">
      <x:c r="A47" s="40" t="n">
        <x:f>Inputs!$C$7+45*(Inputs!$C$8-Inputs!$C$7)/240</x:f>
        <x:v>-37.5</x:v>
      </x:c>
      <x:c r="B47" s="40" t="n">
        <x:f>Inputs!$C$5+Inputs!$C$9*(A47/Inputs!$C$10)^2</x:f>
        <x:v>401.5625</x:v>
      </x:c>
      <x:c r="C47" s="40" t="n">
        <x:f>B47</x:f>
        <x:v>401.5625</x:v>
      </x:c>
      <x:c r="D47" s="40" t="n">
        <x:f>SQRT(A47^2+Inputs!$C$6^2+B47^2)</x:f>
        <x:v>404.08376780842116</x:v>
      </x:c>
      <x:c r="E47" s="40" t="n">
        <x:f>(D47-C47)*1000</x:f>
        <x:v>2521.2678084211575</x:v>
      </x:c>
      <x:c r="F47" s="40" t="n">
        <x:f>E47/Inputs!$C$12</x:f>
        <x:v>1416.4425890006503</x:v>
      </x:c>
      <x:c r="G47" s="40" t="n">
        <x:f>2*E47/Inputs!$C$21*1000000</x:f>
        <x:v>16.820088305364624</x:v>
      </x:c>
      <x:c r="H47" s="40" t="n">
        <x:f>SQRT(A47^2+Inputs!$C$6^2)</x:f>
        <x:v>45.069390943299865</x:v>
      </x:c>
      <x:c r="I47" s="40" t="n">
        <x:f>DEGREES(ATAN(H47/B47))</x:f>
        <x:v>6.403796017933305</x:v>
      </x:c>
      <x:c r="J47" s="40" t="n">
        <x:f>DEGREES((2*PI()/Inputs!$C$13)*Inputs!$C$15*SIN(RADIANS(I47)))</x:f>
        <x:v>40.15251794840797</x:v>
      </x:c>
      <x:c r="K47" s="40" t="n">
        <x:f>(C47/D47)^4</x:f>
        <x:v>0.9752747429685318</x:v>
      </x:c>
      <x:c r="L47" s="40" t="n">
        <x:f>10*LOG10(K47)</x:f>
        <x:v>-0.10873022714825599</x:v>
      </x:c>
      <x:c r="M47" s="40" t="n">
        <x:f>2*(Inputs!$C$9/(Inputs!$C$10^2))*A47</x:f>
        <x:v>-0.08333333333333333</x:v>
      </x:c>
      <x:c r="N47" s="40" t="n">
        <x:f>M47*Inputs!$C$11</x:f>
        <x:v>-0.3333333333333333</x:v>
      </x:c>
      <x:c r="O47" s="40" t="n">
        <x:f>1000*((A47*Inputs!$C$11)+(B47*N47))/D47</x:f>
        <x:v>-702.4636703576864</x:v>
      </x:c>
      <x:c r="P47" s="40" t="n">
        <x:f>-2*O47/Inputs!$C$13</x:f>
        <x:v>280.98546814307457</x:v>
      </x:c>
      <x:c r="Q47" s="40" t="n">
        <x:f>-2*O47/Inputs!$C$14</x:f>
        <x:v>42.19001023169288</x:v>
      </x:c>
      <x:c r="R47" s="40" t="n">
        <x:f>F47-Inputs!$C$16/2</x:f>
        <x:v>1401.4425890006503</x:v>
      </x:c>
      <x:c r="S47" s="40" t="n">
        <x:f>F47+Inputs!$C$16/2</x:f>
        <x:v>1431.4425890006503</x:v>
      </x:c>
      <x:c r="T47" s="40" t="n">
        <x:f>F47-Inputs!$C$17/2</x:f>
        <x:v>1266.4425890006503</x:v>
      </x:c>
      <x:c r="U47" s="40" t="n">
        <x:f>F47+Inputs!$C$17/2</x:f>
        <x:v>1566.4425890006503</x:v>
      </x:c>
      <x:c r="V47" s="40" t="n">
        <x:f>ABS(P47)</x:f>
        <x:v>280.98546814307457</x:v>
      </x:c>
      <x:c r="W47" s="40" t="n">
        <x:f>ABS(Q47)</x:f>
        <x:v>42.19001023169288</x:v>
      </x:c>
      <x:c r="X47" s="40" t="n">
        <x:f>IF(Inputs!$C$27="ON",1,0)*(Inputs!$C$28*EXP(-(((A47)-Inputs!$C$29)^2)/(2*Inputs!$C$31^2))*EXP(-(((0)-Inputs!$C$30)^2)/(2*Inputs!$C$32^2))+-Inputs!$C$33*EXP(-(((((A47)-Inputs!$C$34)^2)+(((0)-Inputs!$C$35)^2))/(2*Inputs!$C$36^2)))+Inputs!$C$37*(0.55*SIN(2*PI()*(A47)/Inputs!$C$39)+0.35*COS(2*PI()*(0)/Inputs!$C$40)+0.2*SIN(2*PI()*((A47)+(0))/(0.5*(Inputs!$C$39+Inputs!$C$40))))+Inputs!$C$38*SIN(2*PI()*(A47)/Inputs!$C$39)*SIN(2*PI()*(0)/Inputs!$C$40)+-Inputs!$C$41*EXP(-(((0)-Inputs!$C$43)^2)/(2*Inputs!$C$44^2))*EXP(-(((A47)-Inputs!$C$42)^2)/(2*Inputs!$C$45^2)))</x:f>
        <x:v>-3.6058085703461344</x:v>
      </x:c>
      <x:c r="Y47" s="40" t="n">
        <x:f>IF(Inputs!$C$27="ON",1,0)*(Inputs!$C$28*EXP(-(((A47)-Inputs!$C$29)^2)/(2*Inputs!$C$31^2))*EXP(-(((Inputs!$C$6)-Inputs!$C$30)^2)/(2*Inputs!$C$32^2))+-Inputs!$C$33*EXP(-(((((A47)-Inputs!$C$34)^2)+(((Inputs!$C$6)-Inputs!$C$35)^2))/(2*Inputs!$C$36^2)))+Inputs!$C$37*(0.55*SIN(2*PI()*(A47)/Inputs!$C$39)+0.35*COS(2*PI()*(Inputs!$C$6)/Inputs!$C$40)+0.2*SIN(2*PI()*((A47)+(Inputs!$C$6))/(0.5*(Inputs!$C$39+Inputs!$C$40))))+Inputs!$C$38*SIN(2*PI()*(A47)/Inputs!$C$39)*SIN(2*PI()*(Inputs!$C$6)/Inputs!$C$40)+-Inputs!$C$41*EXP(-(((Inputs!$C$6)-Inputs!$C$43)^2)/(2*Inputs!$C$44^2))*EXP(-(((A47)-Inputs!$C$42)^2)/(2*Inputs!$C$45^2)))</x:f>
        <x:v>106.62827183468133</x:v>
      </x:c>
      <x:c r="Z47" s="40" t="n">
        <x:f>B47-X47/1000</x:f>
        <x:v>401.56610580857034</x:v>
      </x:c>
      <x:c r="AA47" s="40" t="n">
        <x:f>SQRT(A47^2+Inputs!$C$6^2+(B47-Y47/1000)^2)</x:f>
        <x:v>403.97780501535124</x:v>
      </x:c>
      <x:c r="AB47" s="40" t="n">
        <x:f>(AA47-Z47)*1000</x:f>
        <x:v>2411.699206780895</x:v>
      </x:c>
      <x:c r="AC47" s="40" t="n">
        <x:f>AB47/Inputs!$C$12</x:f>
        <x:v>1354.8871948207275</x:v>
      </x:c>
      <x:c r="AD47" s="40" t="n">
        <x:f>2*AB47/Inputs!$C$21*1000000</x:f>
        <x:v>16.089125275999404</x:v>
      </x:c>
      <x:c r="AE47" s="40" t="n">
        <x:f>DEGREES(ATAN(H47/(B47-Y47/1000)))</x:f>
        <x:v>6.405482756526828</x:v>
      </x:c>
      <x:c r="AF47" s="40" t="n">
        <x:f>DEGREES((2*PI()/Inputs!$C$13)*Inputs!$C$15*SIN(RADIANS(AE47)))</x:f>
        <x:v>40.16304989570256</x:v>
      </x:c>
      <x:c r="AG47" s="40" t="n">
        <x:f>(Z47/AA47)^4</x:f>
        <x:v>0.9763334651900294</x:v>
      </x:c>
      <x:c r="AH47" s="40" t="n">
        <x:f>10*LOG10(AG47)</x:f>
        <x:v>-0.104018243853171</x:v>
      </x:c>
      <x:c r="AI47" s="40" t="n">
        <x:f>AC47-F47</x:f>
        <x:v>-61.555394179922814</x:v>
      </x:c>
      <x:c r="AJ47" s="40" t="n">
        <x:f>AD47-G47</x:f>
        <x:v>-0.7309630293652205</x:v>
      </x:c>
      <x:c r="AK47" s="40" t="n">
        <x:f>Y47-X47</x:f>
        <x:v>110.23408040502747</x:v>
      </x:c>
      <x:c r="AL47" s="40" t="n">
        <x:f>1000*(AA48-AA46)/(A48-A46)*Inputs!$C$11</x:f>
        <x:v>-802.5167819087073</x:v>
      </x:c>
      <x:c r="AM47" s="40" t="n">
        <x:f>-2*AL47/Inputs!$C$13</x:f>
        <x:v>321.00671276348294</x:v>
      </x:c>
      <x:c r="AN47" s="40" t="n">
        <x:f>-2*AL47/Inputs!$C$14</x:f>
        <x:v>48.19920612064309</x:v>
      </x:c>
      <x:c r="AO47" s="40" t="n">
        <x:f>ABS(AM47)</x:f>
        <x:v>321.00671276348294</x:v>
      </x:c>
      <x:c r="AP47" s="40" t="n">
        <x:f>ABS(AN47)</x:f>
        <x:v>48.19920612064309</x:v>
      </x:c>
      <x:c r="AQ47" s="40" t="n">
        <x:f>IF(Inputs!$C$27="ON",Inputs!$C$46/Inputs!$C$12,0)</x:f>
        <x:v>42.13483146067416</x:v>
      </x:c>
      <x:c r="AR47" s="40" t="n">
        <x:f>AC47-AQ47</x:f>
        <x:v>1312.7523633600533</x:v>
      </x:c>
      <x:c r="AS47" s="40" t="n">
        <x:f>AC47+AQ47</x:f>
        <x:v>1397.0220262814016</x:v>
      </x:c>
    </x:row>
    <x:row r="48">
      <x:c r="A48" s="40" t="n">
        <x:f>Inputs!$C$7+46*(Inputs!$C$8-Inputs!$C$7)/240</x:f>
        <x:v>-37</x:v>
      </x:c>
      <x:c r="B48" s="40" t="n">
        <x:f>Inputs!$C$5+Inputs!$C$9*(A48/Inputs!$C$10)^2</x:f>
        <x:v>401.5211111111111</x:v>
      </x:c>
      <x:c r="C48" s="40" t="n">
        <x:f>B48</x:f>
        <x:v>401.5211111111111</x:v>
      </x:c>
      <x:c r="D48" s="40" t="n">
        <x:f>SQRT(A48^2+Inputs!$C$6^2+B48^2)</x:f>
        <x:v>403.9965379404893</x:v>
      </x:c>
      <x:c r="E48" s="40" t="n">
        <x:f>(D48-C48)*1000</x:f>
        <x:v>2475.4268293781934</x:v>
      </x:c>
      <x:c r="F48" s="40" t="n">
        <x:f>E48/Inputs!$C$12</x:f>
        <x:v>1390.689229987749</x:v>
      </x:c>
      <x:c r="G48" s="40" t="n">
        <x:f>2*E48/Inputs!$C$21*1000000</x:f>
        <x:v>16.514270211415347</x:v>
      </x:c>
      <x:c r="H48" s="40" t="n">
        <x:f>SQRT(A48^2+Inputs!$C$6^2)</x:f>
        <x:v>44.654227123532216</x:v>
      </x:c>
      <x:c r="I48" s="40" t="n">
        <x:f>DEGREES(ATAN(H48/B48))</x:f>
        <x:v>6.345938529407371</x:v>
      </x:c>
      <x:c r="J48" s="40" t="n">
        <x:f>DEGREES((2*PI()/Inputs!$C$13)*Inputs!$C$15*SIN(RADIANS(I48)))</x:f>
        <x:v>39.791236445792514</x:v>
      </x:c>
      <x:c r="K48" s="40" t="n">
        <x:f>(C48/D48)^4</x:f>
        <x:v>0.9757149609204623</x:v>
      </x:c>
      <x:c r="L48" s="40" t="n">
        <x:f>10*LOG10(K48)</x:f>
        <x:v>-0.106770357957541</x:v>
      </x:c>
      <x:c r="M48" s="40" t="n">
        <x:f>2*(Inputs!$C$9/(Inputs!$C$10^2))*A48</x:f>
        <x:v>-0.08222222222222222</x:v>
      </x:c>
      <x:c r="N48" s="40" t="n">
        <x:f>M48*Inputs!$C$11</x:f>
        <x:v>-0.3288888888888889</x:v>
      </x:c>
      <x:c r="O48" s="40" t="n">
        <x:f>1000*((A48*Inputs!$C$11)+(B48*N48))/D48</x:f>
        <x:v>-693.2134456558613</x:v>
      </x:c>
      <x:c r="P48" s="40" t="n">
        <x:f>-2*O48/Inputs!$C$13</x:f>
        <x:v>277.2853782623445</x:v>
      </x:c>
      <x:c r="Q48" s="40" t="n">
        <x:f>-2*O48/Inputs!$C$14</x:f>
        <x:v>41.634441180532214</x:v>
      </x:c>
      <x:c r="R48" s="40" t="n">
        <x:f>F48-Inputs!$C$16/2</x:f>
        <x:v>1375.689229987749</x:v>
      </x:c>
      <x:c r="S48" s="40" t="n">
        <x:f>F48+Inputs!$C$16/2</x:f>
        <x:v>1405.689229987749</x:v>
      </x:c>
      <x:c r="T48" s="40" t="n">
        <x:f>F48-Inputs!$C$17/2</x:f>
        <x:v>1240.689229987749</x:v>
      </x:c>
      <x:c r="U48" s="40" t="n">
        <x:f>F48+Inputs!$C$17/2</x:f>
        <x:v>1540.689229987749</x:v>
      </x:c>
      <x:c r="V48" s="40" t="n">
        <x:f>ABS(P48)</x:f>
        <x:v>277.2853782623445</x:v>
      </x:c>
      <x:c r="W48" s="40" t="n">
        <x:f>ABS(Q48)</x:f>
        <x:v>41.634441180532214</x:v>
      </x:c>
      <x:c r="X48" s="40" t="n">
        <x:f>IF(Inputs!$C$27="ON",1,0)*(Inputs!$C$28*EXP(-(((A48)-Inputs!$C$29)^2)/(2*Inputs!$C$31^2))*EXP(-(((0)-Inputs!$C$30)^2)/(2*Inputs!$C$32^2))+-Inputs!$C$33*EXP(-(((((A48)-Inputs!$C$34)^2)+(((0)-Inputs!$C$35)^2))/(2*Inputs!$C$36^2)))+Inputs!$C$37*(0.55*SIN(2*PI()*(A48)/Inputs!$C$39)+0.35*COS(2*PI()*(0)/Inputs!$C$40)+0.2*SIN(2*PI()*((A48)+(0))/(0.5*(Inputs!$C$39+Inputs!$C$40))))+Inputs!$C$38*SIN(2*PI()*(A48)/Inputs!$C$39)*SIN(2*PI()*(0)/Inputs!$C$40)+-Inputs!$C$41*EXP(-(((0)-Inputs!$C$43)^2)/(2*Inputs!$C$44^2))*EXP(-(((A48)-Inputs!$C$42)^2)/(2*Inputs!$C$45^2)))</x:f>
        <x:v>-1.6188264893844657</x:v>
      </x:c>
      <x:c r="Y48" s="40" t="n">
        <x:f>IF(Inputs!$C$27="ON",1,0)*(Inputs!$C$28*EXP(-(((A48)-Inputs!$C$29)^2)/(2*Inputs!$C$31^2))*EXP(-(((Inputs!$C$6)-Inputs!$C$30)^2)/(2*Inputs!$C$32^2))+-Inputs!$C$33*EXP(-(((((A48)-Inputs!$C$34)^2)+(((Inputs!$C$6)-Inputs!$C$35)^2))/(2*Inputs!$C$36^2)))+Inputs!$C$37*(0.55*SIN(2*PI()*(A48)/Inputs!$C$39)+0.35*COS(2*PI()*(Inputs!$C$6)/Inputs!$C$40)+0.2*SIN(2*PI()*((A48)+(Inputs!$C$6))/(0.5*(Inputs!$C$39+Inputs!$C$40))))+Inputs!$C$38*SIN(2*PI()*(A48)/Inputs!$C$39)*SIN(2*PI()*(Inputs!$C$6)/Inputs!$C$40)+-Inputs!$C$41*EXP(-(((Inputs!$C$6)-Inputs!$C$43)^2)/(2*Inputs!$C$44^2))*EXP(-(((A48)-Inputs!$C$42)^2)/(2*Inputs!$C$45^2)))</x:f>
        <x:v>119.38290476319311</x:v>
      </x:c>
      <x:c r="Z48" s="40" t="n">
        <x:f>B48-X48/1000</x:f>
        <x:v>401.5227299376005</x:v>
      </x:c>
      <x:c r="AA48" s="40" t="n">
        <x:f>SQRT(A48^2+Inputs!$C$6^2+(B48-Y48/1000)^2)</x:f>
        <x:v>403.8778867517295</x:v>
      </x:c>
      <x:c r="AB48" s="40" t="n">
        <x:f>(AA48-Z48)*1000</x:f>
        <x:v>2355.156814128975</x:v>
      </x:c>
      <x:c r="AC48" s="40" t="n">
        <x:f>AB48/Inputs!$C$12</x:f>
        <x:v>1323.1218056904354</x:v>
      </x:c>
      <x:c r="AD48" s="40" t="n">
        <x:f>2*AB48/Inputs!$C$21*1000000</x:f>
        <x:v>15.711915035093877</x:v>
      </x:c>
      <x:c r="AE48" s="40" t="n">
        <x:f>DEGREES(ATAN(H48/(B48-Y48/1000)))</x:f>
        <x:v>6.34781050263182</x:v>
      </x:c>
      <x:c r="AF48" s="40" t="n">
        <x:f>DEGREES((2*PI()/Inputs!$C$13)*Inputs!$C$15*SIN(RADIANS(AE48)))</x:f>
        <x:v>39.80292630963847</x:v>
      </x:c>
      <x:c r="AG48" s="40" t="n">
        <x:f>(Z48/AA48)^4</x:f>
        <x:v>0.9768778017878936</x:v>
      </x:c>
      <x:c r="AH48" s="40" t="n">
        <x:f>10*LOG10(AG48)</x:f>
        <x:v>-0.101597590328718</x:v>
      </x:c>
      <x:c r="AI48" s="40" t="n">
        <x:f>AC48-F48</x:f>
        <x:v>-67.56742429731366</x:v>
      </x:c>
      <x:c r="AJ48" s="40" t="n">
        <x:f>AD48-G48</x:f>
        <x:v>-0.8023551763214698</x:v>
      </x:c>
      <x:c r="AK48" s="40" t="n">
        <x:f>Y48-X48</x:f>
        <x:v>121.00173125257757</x:v>
      </x:c>
      <x:c r="AL48" s="40" t="n">
        <x:f>1000*(AA49-AA47)/(A49-A47)*Inputs!$C$11</x:f>
        <x:v>-794.9548014673837</x:v>
      </x:c>
      <x:c r="AM48" s="40" t="n">
        <x:f>-2*AL48/Inputs!$C$13</x:f>
        <x:v>317.9819205869535</x:v>
      </x:c>
      <x:c r="AN48" s="40" t="n">
        <x:f>-2*AL48/Inputs!$C$14</x:f>
        <x:v>47.74503312116419</x:v>
      </x:c>
      <x:c r="AO48" s="40" t="n">
        <x:f>ABS(AM48)</x:f>
        <x:v>317.9819205869535</x:v>
      </x:c>
      <x:c r="AP48" s="40" t="n">
        <x:f>ABS(AN48)</x:f>
        <x:v>47.74503312116419</x:v>
      </x:c>
      <x:c r="AQ48" s="40" t="n">
        <x:f>IF(Inputs!$C$27="ON",Inputs!$C$46/Inputs!$C$12,0)</x:f>
        <x:v>42.13483146067416</x:v>
      </x:c>
      <x:c r="AR48" s="40" t="n">
        <x:f>AC48-AQ48</x:f>
        <x:v>1280.9869742297612</x:v>
      </x:c>
      <x:c r="AS48" s="40" t="n">
        <x:f>AC48+AQ48</x:f>
        <x:v>1365.2566371511095</x:v>
      </x:c>
    </x:row>
    <x:row r="49">
      <x:c r="A49" s="40" t="n">
        <x:f>Inputs!$C$7+47*(Inputs!$C$8-Inputs!$C$7)/240</x:f>
        <x:v>-36.5</x:v>
      </x:c>
      <x:c r="B49" s="40" t="n">
        <x:f>Inputs!$C$5+Inputs!$C$9*(A49/Inputs!$C$10)^2</x:f>
        <x:v>401.48027777777776</x:v>
      </x:c>
      <x:c r="C49" s="40" t="n">
        <x:f>B49</x:f>
        <x:v>401.48027777777776</x:v>
      </x:c>
      <x:c r="D49" s="40" t="n">
        <x:f>SQRT(A49^2+Inputs!$C$6^2+B49^2)</x:f>
        <x:v>403.91046463854036</x:v>
      </x:c>
      <x:c r="E49" s="40" t="n">
        <x:f>(D49-C49)*1000</x:f>
        <x:v>2430.1868607626034</x:v>
      </x:c>
      <x:c r="F49" s="40" t="n">
        <x:f>E49/Inputs!$C$12</x:f>
        <x:v>1365.2735172823614</x:v>
      </x:c>
      <x:c r="G49" s="40" t="n">
        <x:f>2*E49/Inputs!$C$21*1000000</x:f>
        <x:v>16.212461627454307</x:v>
      </x:c>
      <x:c r="H49" s="40" t="n">
        <x:f>SQRT(A49^2+Inputs!$C$6^2)</x:f>
        <x:v>44.24081825644729</x:v>
      </x:c>
      <x:c r="I49" s="40" t="n">
        <x:f>DEGREES(ATAN(H49/B49))</x:f>
        <x:v>6.288294925190011</x:v>
      </x:c>
      <x:c r="J49" s="40" t="n">
        <x:f>DEGREES((2*PI()/Inputs!$C$13)*Inputs!$C$15*SIN(RADIANS(I49)))</x:f>
        <x:v>39.43125015731848</x:v>
      </x:c>
      <x:c r="K49" s="40" t="n">
        <x:f>(C49/D49)^4</x:f>
        <x:v>0.9761497406395917</x:v>
      </x:c>
      <x:c r="L49" s="40" t="n">
        <x:f>10*LOG10(K49)</x:f>
        <x:v>-0.10483556774556099</x:v>
      </x:c>
      <x:c r="M49" s="40" t="n">
        <x:f>2*(Inputs!$C$9/(Inputs!$C$10^2))*A49</x:f>
        <x:v>-0.0811111111111111</x:v>
      </x:c>
      <x:c r="N49" s="40" t="n">
        <x:f>M49*Inputs!$C$11</x:f>
        <x:v>-0.3244444444444444</x:v>
      </x:c>
      <x:c r="O49" s="40" t="n">
        <x:f>1000*((A49*Inputs!$C$11)+(B49*N49))/D49</x:f>
        <x:v>-683.9586241625003</x:v>
      </x:c>
      <x:c r="P49" s="40" t="n">
        <x:f>-2*O49/Inputs!$C$13</x:f>
        <x:v>273.5834496650001</x:v>
      </x:c>
      <x:c r="Q49" s="40" t="n">
        <x:f>-2*O49/Inputs!$C$14</x:f>
        <x:v>41.07859604579582</x:v>
      </x:c>
      <x:c r="R49" s="40" t="n">
        <x:f>F49-Inputs!$C$16/2</x:f>
        <x:v>1350.2735172823614</x:v>
      </x:c>
      <x:c r="S49" s="40" t="n">
        <x:f>F49+Inputs!$C$16/2</x:f>
        <x:v>1380.2735172823614</x:v>
      </x:c>
      <x:c r="T49" s="40" t="n">
        <x:f>F49-Inputs!$C$17/2</x:f>
        <x:v>1215.2735172823614</x:v>
      </x:c>
      <x:c r="U49" s="40" t="n">
        <x:f>F49+Inputs!$C$17/2</x:f>
        <x:v>1515.2735172823614</x:v>
      </x:c>
      <x:c r="V49" s="40" t="n">
        <x:f>ABS(P49)</x:f>
        <x:v>273.5834496650001</x:v>
      </x:c>
      <x:c r="W49" s="40" t="n">
        <x:f>ABS(Q49)</x:f>
        <x:v>41.07859604579582</x:v>
      </x:c>
      <x:c r="X49" s="40" t="n">
        <x:f>IF(Inputs!$C$27="ON",1,0)*(Inputs!$C$28*EXP(-(((A49)-Inputs!$C$29)^2)/(2*Inputs!$C$31^2))*EXP(-(((0)-Inputs!$C$30)^2)/(2*Inputs!$C$32^2))+-Inputs!$C$33*EXP(-(((((A49)-Inputs!$C$34)^2)+(((0)-Inputs!$C$35)^2))/(2*Inputs!$C$36^2)))+Inputs!$C$37*(0.55*SIN(2*PI()*(A49)/Inputs!$C$39)+0.35*COS(2*PI()*(0)/Inputs!$C$40)+0.2*SIN(2*PI()*((A49)+(0))/(0.5*(Inputs!$C$39+Inputs!$C$40))))+Inputs!$C$38*SIN(2*PI()*(A49)/Inputs!$C$39)*SIN(2*PI()*(0)/Inputs!$C$40)+-Inputs!$C$41*EXP(-(((0)-Inputs!$C$43)^2)/(2*Inputs!$C$44^2))*EXP(-(((A49)-Inputs!$C$42)^2)/(2*Inputs!$C$45^2)))</x:f>
        <x:v>0.7395289260654683</x:v>
      </x:c>
      <x:c r="Y49" s="40" t="n">
        <x:f>IF(Inputs!$C$27="ON",1,0)*(Inputs!$C$28*EXP(-(((A49)-Inputs!$C$29)^2)/(2*Inputs!$C$31^2))*EXP(-(((Inputs!$C$6)-Inputs!$C$30)^2)/(2*Inputs!$C$32^2))+-Inputs!$C$33*EXP(-(((((A49)-Inputs!$C$34)^2)+(((Inputs!$C$6)-Inputs!$C$35)^2))/(2*Inputs!$C$36^2)))+Inputs!$C$37*(0.55*SIN(2*PI()*(A49)/Inputs!$C$39)+0.35*COS(2*PI()*(Inputs!$C$6)/Inputs!$C$40)+0.2*SIN(2*PI()*((A49)+(Inputs!$C$6))/(0.5*(Inputs!$C$39+Inputs!$C$40))))+Inputs!$C$38*SIN(2*PI()*(A49)/Inputs!$C$39)*SIN(2*PI()*(Inputs!$C$6)/Inputs!$C$40)+-Inputs!$C$41*EXP(-(((Inputs!$C$6)-Inputs!$C$43)^2)/(2*Inputs!$C$44^2))*EXP(-(((A49)-Inputs!$C$42)^2)/(2*Inputs!$C$45^2)))</x:f>
        <x:v>132.19394754373033</x:v>
      </x:c>
      <x:c r="Z49" s="40" t="n">
        <x:f>B49-X49/1000</x:f>
        <x:v>401.47953824885167</x:v>
      </x:c>
      <x:c r="AA49" s="40" t="n">
        <x:f>SQRT(A49^2+Inputs!$C$6^2+(B49-Y49/1000)^2)</x:f>
        <x:v>403.7790663149844</x:v>
      </x:c>
      <x:c r="AB49" s="40" t="n">
        <x:f>(AA49-Z49)*1000</x:f>
        <x:v>2299.528066132723</x:v>
      </x:c>
      <x:c r="AC49" s="40" t="n">
        <x:f>AB49/Inputs!$C$12</x:f>
        <x:v>1291.8697000745633</x:v>
      </x:c>
      <x:c r="AD49" s="40" t="n">
        <x:f>2*AB49/Inputs!$C$21*1000000</x:f>
        <x:v>15.34079997524636</x:v>
      </x:c>
      <x:c r="AE49" s="40" t="n">
        <x:f>DEGREES(ATAN(H49/(B49-Y49/1000)))</x:f>
        <x:v>6.290349530708897</x:v>
      </x:c>
      <x:c r="AF49" s="40" t="n">
        <x:f>DEGREES((2*PI()/Inputs!$C$13)*Inputs!$C$15*SIN(RADIANS(AE49)))</x:f>
        <x:v>39.444081927458704</x:v>
      </x:c>
      <x:c r="AG49" s="40" t="n">
        <x:f>(Z49/AA49)^4</x:f>
        <x:v>0.9774137991884273</x:v>
      </x:c>
      <x:c r="AH49" s="40" t="n">
        <x:f>10*LOG10(AG49)</x:f>
        <x:v>-0.099215338682272</x:v>
      </x:c>
      <x:c r="AI49" s="40" t="n">
        <x:f>AC49-F49</x:f>
        <x:v>-73.40381720779806</x:v>
      </x:c>
      <x:c r="AJ49" s="40" t="n">
        <x:f>AD49-G49</x:f>
        <x:v>-0.8716616522079459</x:v>
      </x:c>
      <x:c r="AK49" s="40" t="n">
        <x:f>Y49-X49</x:f>
        <x:v>131.45441861766486</x:v>
      </x:c>
      <x:c r="AL49" s="40" t="n">
        <x:f>1000*(AA50-AA48)/(A50-A48)*Inputs!$C$11</x:f>
        <x:v>-784.9775681740994</x:v>
      </x:c>
      <x:c r="AM49" s="40" t="n">
        <x:f>-2*AL49/Inputs!$C$13</x:f>
        <x:v>313.99102726963974</x:v>
      </x:c>
      <x:c r="AN49" s="40" t="n">
        <x:f>-2*AL49/Inputs!$C$14</x:f>
        <x:v>47.1457998903363</x:v>
      </x:c>
      <x:c r="AO49" s="40" t="n">
        <x:f>ABS(AM49)</x:f>
        <x:v>313.99102726963974</x:v>
      </x:c>
      <x:c r="AP49" s="40" t="n">
        <x:f>ABS(AN49)</x:f>
        <x:v>47.1457998903363</x:v>
      </x:c>
      <x:c r="AQ49" s="40" t="n">
        <x:f>IF(Inputs!$C$27="ON",Inputs!$C$46/Inputs!$C$12,0)</x:f>
        <x:v>42.13483146067416</x:v>
      </x:c>
      <x:c r="AR49" s="40" t="n">
        <x:f>AC49-AQ49</x:f>
        <x:v>1249.7348686138891</x:v>
      </x:c>
      <x:c r="AS49" s="40" t="n">
        <x:f>AC49+AQ49</x:f>
        <x:v>1334.0045315352374</x:v>
      </x:c>
    </x:row>
    <x:row r="50">
      <x:c r="A50" s="40" t="n">
        <x:f>Inputs!$C$7+48*(Inputs!$C$8-Inputs!$C$7)/240</x:f>
        <x:v>-36</x:v>
      </x:c>
      <x:c r="B50" s="40" t="n">
        <x:f>Inputs!$C$5+Inputs!$C$9*(A50/Inputs!$C$10)^2</x:f>
        <x:v>401.44</x:v>
      </x:c>
      <x:c r="C50" s="40" t="n">
        <x:f>B50</x:f>
        <x:v>401.44</x:v>
      </x:c>
      <x:c r="D50" s="40" t="n">
        <x:f>SQRT(A50^2+Inputs!$C$6^2+B50^2)</x:f>
        <x:v>403.82554847359523</x:v>
      </x:c>
      <x:c r="E50" s="40" t="n">
        <x:f>(D50-C50)*1000</x:f>
        <x:v>2385.548473595236</x:v>
      </x:c>
      <x:c r="F50" s="40" t="n">
        <x:f>E50/Inputs!$C$12</x:f>
        <x:v>1340.195771682717</x:v>
      </x:c>
      <x:c r="G50" s="40" t="n">
        <x:f>2*E50/Inputs!$C$21*1000000</x:f>
        <x:v>15.914666362922551</x:v>
      </x:c>
      <x:c r="H50" s="40" t="n">
        <x:f>SQRT(A50^2+Inputs!$C$6^2)</x:f>
        <x:v>43.829214001622255</x:v>
      </x:c>
      <x:c r="I50" s="40" t="n">
        <x:f>DEGREES(ATAN(H50/B50))</x:f>
        <x:v>6.23087278213282</x:v>
      </x:c>
      <x:c r="J50" s="40" t="n">
        <x:f>DEGREES((2*PI()/Inputs!$C$13)*Inputs!$C$15*SIN(RADIANS(I50)))</x:f>
        <x:v>39.0726072191931</x:v>
      </x:c>
      <x:c r="K50" s="40" t="n">
        <x:f>(C50/D50)^4</x:f>
        <x:v>0.9765790637236926</x:v>
      </x:c>
      <x:c r="L50" s="40" t="n">
        <x:f>10*LOG10(K50)</x:f>
        <x:v>-0.102925905236704</x:v>
      </x:c>
      <x:c r="M50" s="40" t="n">
        <x:f>2*(Inputs!$C$9/(Inputs!$C$10^2))*A50</x:f>
        <x:v>-0.08</x:v>
      </x:c>
      <x:c r="N50" s="40" t="n">
        <x:f>M50*Inputs!$C$11</x:f>
        <x:v>-0.32</x:v>
      </x:c>
      <x:c r="O50" s="40" t="n">
        <x:f>1000*((A50*Inputs!$C$11)+(B50*N50))/D50</x:f>
        <x:v>-674.6992631592136</x:v>
      </x:c>
      <x:c r="P50" s="40" t="n">
        <x:f>-2*O50/Inputs!$C$13</x:f>
        <x:v>269.8797052636854</x:v>
      </x:c>
      <x:c r="Q50" s="40" t="n">
        <x:f>-2*O50/Inputs!$C$14</x:f>
        <x:v>40.52247826782064</x:v>
      </x:c>
      <x:c r="R50" s="40" t="n">
        <x:f>F50-Inputs!$C$16/2</x:f>
        <x:v>1325.195771682717</x:v>
      </x:c>
      <x:c r="S50" s="40" t="n">
        <x:f>F50+Inputs!$C$16/2</x:f>
        <x:v>1355.195771682717</x:v>
      </x:c>
      <x:c r="T50" s="40" t="n">
        <x:f>F50-Inputs!$C$17/2</x:f>
        <x:v>1190.195771682717</x:v>
      </x:c>
      <x:c r="U50" s="40" t="n">
        <x:f>F50+Inputs!$C$17/2</x:f>
        <x:v>1490.195771682717</x:v>
      </x:c>
      <x:c r="V50" s="40" t="n">
        <x:f>ABS(P50)</x:f>
        <x:v>269.8797052636854</x:v>
      </x:c>
      <x:c r="W50" s="40" t="n">
        <x:f>ABS(Q50)</x:f>
        <x:v>40.52247826782064</x:v>
      </x:c>
      <x:c r="X50" s="40" t="n">
        <x:f>IF(Inputs!$C$27="ON",1,0)*(Inputs!$C$28*EXP(-(((A50)-Inputs!$C$29)^2)/(2*Inputs!$C$31^2))*EXP(-(((0)-Inputs!$C$30)^2)/(2*Inputs!$C$32^2))+-Inputs!$C$33*EXP(-(((((A50)-Inputs!$C$34)^2)+(((0)-Inputs!$C$35)^2))/(2*Inputs!$C$36^2)))+Inputs!$C$37*(0.55*SIN(2*PI()*(A50)/Inputs!$C$39)+0.35*COS(2*PI()*(0)/Inputs!$C$40)+0.2*SIN(2*PI()*((A50)+(0))/(0.5*(Inputs!$C$39+Inputs!$C$40))))+Inputs!$C$38*SIN(2*PI()*(A50)/Inputs!$C$39)*SIN(2*PI()*(0)/Inputs!$C$40)+-Inputs!$C$41*EXP(-(((0)-Inputs!$C$43)^2)/(2*Inputs!$C$44^2))*EXP(-(((A50)-Inputs!$C$42)^2)/(2*Inputs!$C$45^2)))</x:f>
        <x:v>3.389369172934504</x:v>
      </x:c>
      <x:c r="Y50" s="40" t="n">
        <x:f>IF(Inputs!$C$27="ON",1,0)*(Inputs!$C$28*EXP(-(((A50)-Inputs!$C$29)^2)/(2*Inputs!$C$31^2))*EXP(-(((Inputs!$C$6)-Inputs!$C$30)^2)/(2*Inputs!$C$32^2))+-Inputs!$C$33*EXP(-(((((A50)-Inputs!$C$34)^2)+(((Inputs!$C$6)-Inputs!$C$35)^2))/(2*Inputs!$C$36^2)))+Inputs!$C$37*(0.55*SIN(2*PI()*(A50)/Inputs!$C$39)+0.35*COS(2*PI()*(Inputs!$C$6)/Inputs!$C$40)+0.2*SIN(2*PI()*((A50)+(Inputs!$C$6))/(0.5*(Inputs!$C$39+Inputs!$C$40))))+Inputs!$C$38*SIN(2*PI()*(A50)/Inputs!$C$39)*SIN(2*PI()*(Inputs!$C$6)/Inputs!$C$40)+-Inputs!$C$41*EXP(-(((Inputs!$C$6)-Inputs!$C$43)^2)/(2*Inputs!$C$44^2))*EXP(-(((A50)-Inputs!$C$42)^2)/(2*Inputs!$C$45^2)))</x:f>
        <x:v>144.7615804376427</x:v>
      </x:c>
      <x:c r="Z50" s="40" t="n">
        <x:f>B50-X50/1000</x:f>
        <x:v>401.4366106308271</x:v>
      </x:c>
      <x:c r="AA50" s="40" t="n">
        <x:f>SQRT(A50^2+Inputs!$C$6^2+(B50-Y50/1000)^2)</x:f>
        <x:v>403.68164235968595</x:v>
      </x:c>
      <x:c r="AB50" s="40" t="n">
        <x:f>(AA50-Z50)*1000</x:f>
        <x:v>2245.031728858862</x:v>
      </x:c>
      <x:c r="AC50" s="40" t="n">
        <x:f>AB50/Inputs!$C$12</x:f>
        <x:v>1261.2537802577876</x:v>
      </x:c>
      <x:c r="AD50" s="40" t="n">
        <x:f>2*AB50/Inputs!$C$21*1000000</x:f>
        <x:v>14.977239546558987</x:v>
      </x:c>
      <x:c r="AE50" s="40" t="n">
        <x:f>DEGREES(ATAN(H50/(B50-Y50/1000)))</x:f>
        <x:v>6.233102792279641</x:v>
      </x:c>
      <x:c r="AF50" s="40" t="n">
        <x:f>DEGREES((2*PI()/Inputs!$C$13)*Inputs!$C$15*SIN(RADIANS(AE50)))</x:f>
        <x:v>39.08653598502043</x:v>
      </x:c>
      <x:c r="AG50" s="40" t="n">
        <x:f>(Z50/AA50)^4</x:f>
        <x:v>0.9779393206499803</x:v>
      </x:c>
      <x:c r="AH50" s="40" t="n">
        <x:f>10*LOG10(AG50)</x:f>
        <x:v>-0.0968809155639732</x:v>
      </x:c>
      <x:c r="AI50" s="40" t="n">
        <x:f>AC50-F50</x:f>
        <x:v>-78.94199142492926</x:v>
      </x:c>
      <x:c r="AJ50" s="40" t="n">
        <x:f>AD50-G50</x:f>
        <x:v>-0.9374268163635637</x:v>
      </x:c>
      <x:c r="AK50" s="40" t="n">
        <x:f>Y50-X50</x:f>
        <x:v>141.3722112647082</x:v>
      </x:c>
      <x:c r="AL50" s="40" t="n">
        <x:f>1000*(AA51-AA49)/(A51-A49)*Inputs!$C$11</x:f>
        <x:v>-772.6744529770713</x:v>
      </x:c>
      <x:c r="AM50" s="40" t="n">
        <x:f>-2*AL50/Inputs!$C$13</x:f>
        <x:v>309.0697811908285</x:v>
      </x:c>
      <x:c r="AN50" s="40" t="n">
        <x:f>-2*AL50/Inputs!$C$14</x:f>
        <x:v>46.406874052676955</x:v>
      </x:c>
      <x:c r="AO50" s="40" t="n">
        <x:f>ABS(AM50)</x:f>
        <x:v>309.0697811908285</x:v>
      </x:c>
      <x:c r="AP50" s="40" t="n">
        <x:f>ABS(AN50)</x:f>
        <x:v>46.406874052676955</x:v>
      </x:c>
      <x:c r="AQ50" s="40" t="n">
        <x:f>IF(Inputs!$C$27="ON",Inputs!$C$46/Inputs!$C$12,0)</x:f>
        <x:v>42.13483146067416</x:v>
      </x:c>
      <x:c r="AR50" s="40" t="n">
        <x:f>AC50-AQ50</x:f>
        <x:v>1219.1189487971135</x:v>
      </x:c>
      <x:c r="AS50" s="40" t="n">
        <x:f>AC50+AQ50</x:f>
        <x:v>1303.3886117184618</x:v>
      </x:c>
    </x:row>
    <x:row r="51">
      <x:c r="A51" s="40" t="n">
        <x:f>Inputs!$C$7+49*(Inputs!$C$8-Inputs!$C$7)/240</x:f>
        <x:v>-35.5</x:v>
      </x:c>
      <x:c r="B51" s="40" t="n">
        <x:f>Inputs!$C$5+Inputs!$C$9*(A51/Inputs!$C$10)^2</x:f>
        <x:v>401.4002777777778</x:v>
      </x:c>
      <x:c r="C51" s="40" t="n">
        <x:f>B51</x:f>
        <x:v>401.4002777777778</x:v>
      </x:c>
      <x:c r="D51" s="40" t="n">
        <x:f>SQRT(A51^2+Inputs!$C$6^2+B51^2)</x:f>
        <x:v>403.74179000950244</x:v>
      </x:c>
      <x:c r="E51" s="40" t="n">
        <x:f>(D51-C51)*1000</x:f>
        <x:v>2341.512231724664</x:v>
      </x:c>
      <x:c r="F51" s="40" t="n">
        <x:f>E51/Inputs!$C$12</x:f>
        <x:v>1315.4563099576765</x:v>
      </x:c>
      <x:c r="G51" s="40" t="n">
        <x:f>2*E51/Inputs!$C$21*1000000</x:f>
        <x:v>15.620888179412866</x:v>
      </x:c>
      <x:c r="H51" s="40" t="n">
        <x:f>SQRT(A51^2+Inputs!$C$6^2)</x:f>
        <x:v>43.41946568072896</x:v>
      </x:c>
      <x:c r="I51" s="40" t="n">
        <x:f>DEGREES(ATAN(H51/B51))</x:f>
        <x:v>6.173679915861962</x:v>
      </x:c>
      <x:c r="J51" s="40" t="n">
        <x:f>DEGREES((2*PI()/Inputs!$C$13)*Inputs!$C$15*SIN(RADIANS(I51)))</x:f>
        <x:v>38.71535727003771</x:v>
      </x:c>
      <x:c r="K51" s="40" t="n">
        <x:f>(C51/D51)^4</x:f>
        <x:v>0.977002911975787</x:v>
      </x:c>
      <x:c r="L51" s="40" t="n">
        <x:f>10*LOG10(K51)</x:f>
        <x:v>-0.101041418563231</x:v>
      </x:c>
      <x:c r="M51" s="40" t="n">
        <x:f>2*(Inputs!$C$9/(Inputs!$C$10^2))*A51</x:f>
        <x:v>-0.07888888888888888</x:v>
      </x:c>
      <x:c r="N51" s="40" t="n">
        <x:f>M51*Inputs!$C$11</x:f>
        <x:v>-0.31555555555555553</x:v>
      </x:c>
      <x:c r="O51" s="40" t="n">
        <x:f>1000*((A51*Inputs!$C$11)+(B51*N51))/D51</x:f>
        <x:v>-665.4354201183822</x:v>
      </x:c>
      <x:c r="P51" s="40" t="n">
        <x:f>-2*O51/Inputs!$C$13</x:f>
        <x:v>266.1741680473529</x:v>
      </x:c>
      <x:c r="Q51" s="40" t="n">
        <x:f>-2*O51/Inputs!$C$14</x:f>
        <x:v>39.96609129840134</x:v>
      </x:c>
      <x:c r="R51" s="40" t="n">
        <x:f>F51-Inputs!$C$16/2</x:f>
        <x:v>1300.4563099576765</x:v>
      </x:c>
      <x:c r="S51" s="40" t="n">
        <x:f>F51+Inputs!$C$16/2</x:f>
        <x:v>1330.4563099576765</x:v>
      </x:c>
      <x:c r="T51" s="40" t="n">
        <x:f>F51-Inputs!$C$17/2</x:f>
        <x:v>1165.4563099576765</x:v>
      </x:c>
      <x:c r="U51" s="40" t="n">
        <x:f>F51+Inputs!$C$17/2</x:f>
        <x:v>1465.4563099576765</x:v>
      </x:c>
      <x:c r="V51" s="40" t="n">
        <x:f>ABS(P51)</x:f>
        <x:v>266.1741680473529</x:v>
      </x:c>
      <x:c r="W51" s="40" t="n">
        <x:f>ABS(Q51)</x:f>
        <x:v>39.96609129840134</x:v>
      </x:c>
      <x:c r="X51" s="40" t="n">
        <x:f>IF(Inputs!$C$27="ON",1,0)*(Inputs!$C$28*EXP(-(((A51)-Inputs!$C$29)^2)/(2*Inputs!$C$31^2))*EXP(-(((0)-Inputs!$C$30)^2)/(2*Inputs!$C$32^2))+-Inputs!$C$33*EXP(-(((((A51)-Inputs!$C$34)^2)+(((0)-Inputs!$C$35)^2))/(2*Inputs!$C$36^2)))+Inputs!$C$37*(0.55*SIN(2*PI()*(A51)/Inputs!$C$39)+0.35*COS(2*PI()*(0)/Inputs!$C$40)+0.2*SIN(2*PI()*((A51)+(0))/(0.5*(Inputs!$C$39+Inputs!$C$40))))+Inputs!$C$38*SIN(2*PI()*(A51)/Inputs!$C$39)*SIN(2*PI()*(0)/Inputs!$C$40)+-Inputs!$C$41*EXP(-(((0)-Inputs!$C$43)^2)/(2*Inputs!$C$44^2))*EXP(-(((A51)-Inputs!$C$42)^2)/(2*Inputs!$C$45^2)))</x:f>
        <x:v>6.235034908342186</x:v>
      </x:c>
      <x:c r="Y51" s="40" t="n">
        <x:f>IF(Inputs!$C$27="ON",1,0)*(Inputs!$C$28*EXP(-(((A51)-Inputs!$C$29)^2)/(2*Inputs!$C$31^2))*EXP(-(((Inputs!$C$6)-Inputs!$C$30)^2)/(2*Inputs!$C$32^2))+-Inputs!$C$33*EXP(-(((((A51)-Inputs!$C$34)^2)+(((Inputs!$C$6)-Inputs!$C$35)^2))/(2*Inputs!$C$36^2)))+Inputs!$C$37*(0.55*SIN(2*PI()*(A51)/Inputs!$C$39)+0.35*COS(2*PI()*(Inputs!$C$6)/Inputs!$C$40)+0.2*SIN(2*PI()*((A51)+(Inputs!$C$6))/(0.5*(Inputs!$C$39+Inputs!$C$40))))+Inputs!$C$38*SIN(2*PI()*(A51)/Inputs!$C$39)*SIN(2*PI()*(Inputs!$C$6)/Inputs!$C$40)+-Inputs!$C$41*EXP(-(((Inputs!$C$6)-Inputs!$C$43)^2)/(2*Inputs!$C$44^2))*EXP(-(((A51)-Inputs!$C$42)^2)/(2*Inputs!$C$45^2)))</x:f>
        <x:v>156.80203802266877</x:v>
      </x:c>
      <x:c r="Z51" s="40" t="n">
        <x:f>B51-X51/1000</x:f>
        <x:v>401.39404274286943</x:v>
      </x:c>
      <x:c r="AA51" s="40" t="n">
        <x:f>SQRT(A51^2+Inputs!$C$6^2+(B51-Y51/1000)^2)</x:f>
        <x:v>403.5858977017401</x:v>
      </x:c>
      <x:c r="AB51" s="40" t="n">
        <x:f>(AA51-Z51)*1000</x:f>
        <x:v>2191.8549588706924</x:v>
      </x:c>
      <x:c r="AC51" s="40" t="n">
        <x:f>AB51/Inputs!$C$12</x:f>
        <x:v>1231.3791903767935</x:v>
      </x:c>
      <x:c r="AD51" s="40" t="n">
        <x:f>2*AB51/Inputs!$C$21*1000000</x:f>
        <x:v>14.622482323225706</x:v>
      </x:c>
      <x:c r="AE51" s="40" t="n">
        <x:f>DEGREES(ATAN(H51/(B51-Y51/1000)))</x:f>
        <x:v>6.1760738881769</x:v>
      </x:c>
      <x:c r="AF51" s="40" t="n">
        <x:f>DEGREES((2*PI()/Inputs!$C$13)*Inputs!$C$15*SIN(RADIANS(AE51)))</x:f>
        <x:v>38.73031177272236</x:v>
      </x:c>
      <x:c r="AG51" s="40" t="n">
        <x:f>(Z51/AA51)^4</x:f>
        <x:v>0.9784525301835613</x:v>
      </x:c>
      <x:c r="AH51" s="40" t="n">
        <x:f>10*LOG10(AG51)</x:f>
        <x:v>-0.0946023937687418</x:v>
      </x:c>
      <x:c r="AI51" s="40" t="n">
        <x:f>AC51-F51</x:f>
        <x:v>-84.07711958088294</x:v>
      </x:c>
      <x:c r="AJ51" s="40" t="n">
        <x:f>AD51-G51</x:f>
        <x:v>-0.9984058561871603</x:v>
      </x:c>
      <x:c r="AK51" s="40" t="n">
        <x:f>Y51-X51</x:f>
        <x:v>150.56700311432658</x:v>
      </x:c>
      <x:c r="AL51" s="40" t="n">
        <x:f>1000*(AA52-AA50)/(A52-A50)*Inputs!$C$11</x:f>
        <x:v>-758.2062820310966</x:v>
      </x:c>
      <x:c r="AM51" s="40" t="n">
        <x:f>-2*AL51/Inputs!$C$13</x:f>
        <x:v>303.28251281243865</x:v>
      </x:c>
      <x:c r="AN51" s="40" t="n">
        <x:f>-2*AL51/Inputs!$C$14</x:f>
        <x:v>45.537914836702505</x:v>
      </x:c>
      <x:c r="AO51" s="40" t="n">
        <x:f>ABS(AM51)</x:f>
        <x:v>303.28251281243865</x:v>
      </x:c>
      <x:c r="AP51" s="40" t="n">
        <x:f>ABS(AN51)</x:f>
        <x:v>45.537914836702505</x:v>
      </x:c>
      <x:c r="AQ51" s="40" t="n">
        <x:f>IF(Inputs!$C$27="ON",Inputs!$C$46/Inputs!$C$12,0)</x:f>
        <x:v>42.13483146067416</x:v>
      </x:c>
      <x:c r="AR51" s="40" t="n">
        <x:f>AC51-AQ51</x:f>
        <x:v>1189.2443589161194</x:v>
      </x:c>
      <x:c r="AS51" s="40" t="n">
        <x:f>AC51+AQ51</x:f>
        <x:v>1273.5140218374677</x:v>
      </x:c>
    </x:row>
    <x:row r="52">
      <x:c r="A52" s="40" t="n">
        <x:f>Inputs!$C$7+50*(Inputs!$C$8-Inputs!$C$7)/240</x:f>
        <x:v>-35</x:v>
      </x:c>
      <x:c r="B52" s="40" t="n">
        <x:f>Inputs!$C$5+Inputs!$C$9*(A52/Inputs!$C$10)^2</x:f>
        <x:v>401.3611111111111</x:v>
      </x:c>
      <x:c r="C52" s="40" t="n">
        <x:f>B52</x:f>
        <x:v>401.3611111111111</x:v>
      </x:c>
      <x:c r="D52" s="40" t="n">
        <x:f>SQRT(A52^2+Inputs!$C$6^2+B52^2)</x:f>
        <x:v>403.65918980291485</x:v>
      </x:c>
      <x:c r="E52" s="40" t="n">
        <x:f>(D52-C52)*1000</x:f>
        <x:v>2298.0786918037666</x:v>
      </x:c>
      <x:c r="F52" s="40" t="n">
        <x:f>E52/Inputs!$C$12</x:f>
        <x:v>1291.0554448335768</x:v>
      </x:c>
      <x:c r="G52" s="40" t="n">
        <x:f>2*E52/Inputs!$C$21*1000000</x:f>
        <x:v>15.331130790513527</x:v>
      </x:c>
      <x:c r="H52" s="40" t="n">
        <x:f>SQRT(A52^2+Inputs!$C$6^2)</x:f>
        <x:v>43.01162633521314</x:v>
      </x:c>
      <x:c r="I52" s="40" t="n">
        <x:f>DEGREES(ATAN(H52/B52))</x:f>
        <x:v>6.116724388997361</x:v>
      </x:c>
      <x:c r="J52" s="40" t="n">
        <x:f>DEGREES((2*PI()/Inputs!$C$13)*Inputs!$C$15*SIN(RADIANS(I52)))</x:f>
        <x:v>38.35955150243656</x:v>
      </x:c>
      <x:c r="K52" s="40" t="n">
        <x:f>(C52/D52)^4</x:f>
        <x:v>0.9774212674058816</x:v>
      </x:c>
      <x:c r="L52" s="40" t="n">
        <x:f>10*LOG10(K52)</x:f>
        <x:v>-0.099182155262499</x:v>
      </x:c>
      <x:c r="M52" s="40" t="n">
        <x:f>2*(Inputs!$C$9/(Inputs!$C$10^2))*A52</x:f>
        <x:v>-0.07777777777777778</x:v>
      </x:c>
      <x:c r="N52" s="40" t="n">
        <x:f>M52*Inputs!$C$11</x:f>
        <x:v>-0.3111111111111111</x:v>
      </x:c>
      <x:c r="O52" s="40" t="n">
        <x:f>1000*((A52*Inputs!$C$11)+(B52*N52))/D52</x:f>
        <x:v>-656.167152700992</x:v>
      </x:c>
      <x:c r="P52" s="40" t="n">
        <x:f>-2*O52/Inputs!$C$13</x:f>
        <x:v>262.4668610803968</x:v>
      </x:c>
      <x:c r="Q52" s="40" t="n">
        <x:f>-2*O52/Inputs!$C$14</x:f>
        <x:v>39.40943860066018</x:v>
      </x:c>
      <x:c r="R52" s="40" t="n">
        <x:f>F52-Inputs!$C$16/2</x:f>
        <x:v>1276.0554448335768</x:v>
      </x:c>
      <x:c r="S52" s="40" t="n">
        <x:f>F52+Inputs!$C$16/2</x:f>
        <x:v>1306.0554448335768</x:v>
      </x:c>
      <x:c r="T52" s="40" t="n">
        <x:f>F52-Inputs!$C$17/2</x:f>
        <x:v>1141.0554448335768</x:v>
      </x:c>
      <x:c r="U52" s="40" t="n">
        <x:f>F52+Inputs!$C$17/2</x:f>
        <x:v>1441.0554448335768</x:v>
      </x:c>
      <x:c r="V52" s="40" t="n">
        <x:f>ABS(P52)</x:f>
        <x:v>262.4668610803968</x:v>
      </x:c>
      <x:c r="W52" s="40" t="n">
        <x:f>ABS(Q52)</x:f>
        <x:v>39.40943860066018</x:v>
      </x:c>
      <x:c r="X52" s="40" t="n">
        <x:f>IF(Inputs!$C$27="ON",1,0)*(Inputs!$C$28*EXP(-(((A52)-Inputs!$C$29)^2)/(2*Inputs!$C$31^2))*EXP(-(((0)-Inputs!$C$30)^2)/(2*Inputs!$C$32^2))+-Inputs!$C$33*EXP(-(((((A52)-Inputs!$C$34)^2)+(((0)-Inputs!$C$35)^2))/(2*Inputs!$C$36^2)))+Inputs!$C$37*(0.55*SIN(2*PI()*(A52)/Inputs!$C$39)+0.35*COS(2*PI()*(0)/Inputs!$C$40)+0.2*SIN(2*PI()*((A52)+(0))/(0.5*(Inputs!$C$39+Inputs!$C$40))))+Inputs!$C$38*SIN(2*PI()*(A52)/Inputs!$C$39)*SIN(2*PI()*(0)/Inputs!$C$40)+-Inputs!$C$41*EXP(-(((0)-Inputs!$C$43)^2)/(2*Inputs!$C$44^2))*EXP(-(((A52)-Inputs!$C$42)^2)/(2*Inputs!$C$45^2)))</x:f>
        <x:v>9.166506637401378</x:v>
      </x:c>
      <x:c r="Y52" s="40" t="n">
        <x:f>IF(Inputs!$C$27="ON",1,0)*(Inputs!$C$28*EXP(-(((A52)-Inputs!$C$29)^2)/(2*Inputs!$C$31^2))*EXP(-(((Inputs!$C$6)-Inputs!$C$30)^2)/(2*Inputs!$C$32^2))+-Inputs!$C$33*EXP(-(((((A52)-Inputs!$C$34)^2)+(((Inputs!$C$6)-Inputs!$C$35)^2))/(2*Inputs!$C$36^2)))+Inputs!$C$37*(0.55*SIN(2*PI()*(A52)/Inputs!$C$39)+0.35*COS(2*PI()*(Inputs!$C$6)/Inputs!$C$40)+0.2*SIN(2*PI()*((A52)+(Inputs!$C$6))/(0.5*(Inputs!$C$39+Inputs!$C$40))))+Inputs!$C$38*SIN(2*PI()*(A52)/Inputs!$C$39)*SIN(2*PI()*(Inputs!$C$6)/Inputs!$C$40)+-Inputs!$C$41*EXP(-(((Inputs!$C$6)-Inputs!$C$43)^2)/(2*Inputs!$C$44^2))*EXP(-(((A52)-Inputs!$C$42)^2)/(2*Inputs!$C$45^2)))</x:f>
        <x:v>168.0561744354785</x:v>
      </x:c>
      <x:c r="Z52" s="40" t="n">
        <x:f>B52-X52/1000</x:f>
        <x:v>401.35194460447366</x:v>
      </x:c>
      <x:c r="AA52" s="40" t="n">
        <x:f>SQRT(A52^2+Inputs!$C$6^2+(B52-Y52/1000)^2)</x:f>
        <x:v>403.4920907891782</x:v>
      </x:c>
      <x:c r="AB52" s="40" t="n">
        <x:f>(AA52-Z52)*1000</x:f>
        <x:v>2140.14618470452</x:v>
      </x:c>
      <x:c r="AC52" s="40" t="n">
        <x:f>AB52/Inputs!$C$12</x:f>
        <x:v>1202.3293172497301</x:v>
      </x:c>
      <x:c r="AD52" s="40" t="n">
        <x:f>2*AB52/Inputs!$C$21*1000000</x:f>
        <x:v>14.277518513854806</x:v>
      </x:c>
      <x:c r="AE52" s="40" t="n">
        <x:f>DEGREES(ATAN(H52/(B52-Y52/1000)))</x:f>
        <x:v>6.119267194248584</x:v>
      </x:c>
      <x:c r="AF52" s="40" t="n">
        <x:f>DEGREES((2*PI()/Inputs!$C$13)*Inputs!$C$15*SIN(RADIANS(AE52)))</x:f>
        <x:v>38.37543742280468</x:v>
      </x:c>
      <x:c r="AG52" s="40" t="n">
        <x:f>(Z52/AA52)^4</x:f>
        <x:v>0.978951962954339</x:v>
      </x:c>
      <x:c r="AH52" s="40" t="n">
        <x:f>10*LOG10(AG52)</x:f>
        <x:v>-0.0923861844783507</x:v>
      </x:c>
      <x:c r="AI52" s="40" t="n">
        <x:f>AC52-F52</x:f>
        <x:v>-88.72612758384662</x:v>
      </x:c>
      <x:c r="AJ52" s="40" t="n">
        <x:f>AD52-G52</x:f>
        <x:v>-1.0536122766587201</x:v>
      </x:c>
      <x:c r="AK52" s="40" t="n">
        <x:f>Y52-X52</x:f>
        <x:v>158.88966779807714</x:v>
      </x:c>
      <x:c r="AL52" s="40" t="n">
        <x:f>1000*(AA53-AA51)/(A53-A51)*Inputs!$C$11</x:f>
        <x:v>-741.7978578239399</x:v>
      </x:c>
      <x:c r="AM52" s="40" t="n">
        <x:f>-2*AL52/Inputs!$C$13</x:f>
        <x:v>296.71914312957597</x:v>
      </x:c>
      <x:c r="AN52" s="40" t="n">
        <x:f>-2*AL52/Inputs!$C$14</x:f>
        <x:v>44.55242389332973</x:v>
      </x:c>
      <x:c r="AO52" s="40" t="n">
        <x:f>ABS(AM52)</x:f>
        <x:v>296.71914312957597</x:v>
      </x:c>
      <x:c r="AP52" s="40" t="n">
        <x:f>ABS(AN52)</x:f>
        <x:v>44.55242389332973</x:v>
      </x:c>
      <x:c r="AQ52" s="40" t="n">
        <x:f>IF(Inputs!$C$27="ON",Inputs!$C$46/Inputs!$C$12,0)</x:f>
        <x:v>42.13483146067416</x:v>
      </x:c>
      <x:c r="AR52" s="40" t="n">
        <x:f>AC52-AQ52</x:f>
        <x:v>1160.194485789056</x:v>
      </x:c>
      <x:c r="AS52" s="40" t="n">
        <x:f>AC52+AQ52</x:f>
        <x:v>1244.4641487104043</x:v>
      </x:c>
    </x:row>
    <x:row r="53">
      <x:c r="A53" s="40" t="n">
        <x:f>Inputs!$C$7+51*(Inputs!$C$8-Inputs!$C$7)/240</x:f>
        <x:v>-34.5</x:v>
      </x:c>
      <x:c r="B53" s="40" t="n">
        <x:f>Inputs!$C$5+Inputs!$C$9*(A53/Inputs!$C$10)^2</x:f>
        <x:v>401.3225</x:v>
      </x:c>
      <x:c r="C53" s="40" t="n">
        <x:f>B53</x:f>
        <x:v>401.3225</x:v>
      </x:c>
      <x:c r="D53" s="40" t="n">
        <x:f>SQRT(A53^2+Inputs!$C$6^2+B53^2)</x:f>
        <x:v>403.5777484032662</x:v>
      </x:c>
      <x:c r="E53" s="40" t="n">
        <x:f>(D53-C53)*1000</x:f>
        <x:v>2255.2484032661937</x:v>
      </x:c>
      <x:c r="F53" s="40" t="n">
        <x:f>E53/Inputs!$C$12</x:f>
        <x:v>1266.9934849810077</x:v>
      </x:c>
      <x:c r="G53" s="40" t="n">
        <x:f>2*E53/Inputs!$C$21*1000000</x:f>
        <x:v>15.0453978616513</x:v>
      </x:c>
      <x:c r="H53" s="40" t="n">
        <x:f>SQRT(A53^2+Inputs!$C$6^2)</x:f>
        <x:v>42.60575078554537</x:v>
      </x:c>
      <x:c r="I53" s="40" t="n">
        <x:f>DEGREES(ATAN(H53/B53))</x:f>
        <x:v>6.060014519595078</x:v>
      </x:c>
      <x:c r="J53" s="40" t="n">
        <x:f>DEGREES((2*PI()/Inputs!$C$13)*Inputs!$C$15*SIN(RADIANS(I53)))</x:f>
        <x:v>38.005242715884584</x:v>
      </x:c>
      <x:c r="K53" s="40" t="n">
        <x:f>(C53/D53)^4</x:f>
        <x:v>0.9778341122326911</x:v>
      </x:c>
      <x:c r="L53" s="40" t="n">
        <x:f>10*LOG10(K53)</x:f>
        <x:v>-0.0973481622741937</x:v>
      </x:c>
      <x:c r="M53" s="40" t="n">
        <x:f>2*(Inputs!$C$9/(Inputs!$C$10^2))*A53</x:f>
        <x:v>-0.07666666666666666</x:v>
      </x:c>
      <x:c r="N53" s="40" t="n">
        <x:f>M53*Inputs!$C$11</x:f>
        <x:v>-0.30666666666666664</x:v>
      </x:c>
      <x:c r="O53" s="40" t="n">
        <x:f>1000*((A53*Inputs!$C$11)+(B53*N53))/D53</x:f>
        <x:v>-646.8945187544449</x:v>
      </x:c>
      <x:c r="P53" s="40" t="n">
        <x:f>-2*O53/Inputs!$C$13</x:f>
        <x:v>258.75780750177796</x:v>
      </x:c>
      <x:c r="Q53" s="40" t="n">
        <x:f>-2*O53/Inputs!$C$14</x:f>
        <x:v>38.852523648915614</x:v>
      </x:c>
      <x:c r="R53" s="40" t="n">
        <x:f>F53-Inputs!$C$16/2</x:f>
        <x:v>1251.9934849810077</x:v>
      </x:c>
      <x:c r="S53" s="40" t="n">
        <x:f>F53+Inputs!$C$16/2</x:f>
        <x:v>1281.9934849810077</x:v>
      </x:c>
      <x:c r="T53" s="40" t="n">
        <x:f>F53-Inputs!$C$17/2</x:f>
        <x:v>1116.9934849810077</x:v>
      </x:c>
      <x:c r="U53" s="40" t="n">
        <x:f>F53+Inputs!$C$17/2</x:f>
        <x:v>1416.9934849810077</x:v>
      </x:c>
      <x:c r="V53" s="40" t="n">
        <x:f>ABS(P53)</x:f>
        <x:v>258.75780750177796</x:v>
      </x:c>
      <x:c r="W53" s="40" t="n">
        <x:f>ABS(Q53)</x:f>
        <x:v>38.852523648915614</x:v>
      </x:c>
      <x:c r="X53" s="40" t="n">
        <x:f>IF(Inputs!$C$27="ON",1,0)*(Inputs!$C$28*EXP(-(((A53)-Inputs!$C$29)^2)/(2*Inputs!$C$31^2))*EXP(-(((0)-Inputs!$C$30)^2)/(2*Inputs!$C$32^2))+-Inputs!$C$33*EXP(-(((((A53)-Inputs!$C$34)^2)+(((0)-Inputs!$C$35)^2))/(2*Inputs!$C$36^2)))+Inputs!$C$37*(0.55*SIN(2*PI()*(A53)/Inputs!$C$39)+0.35*COS(2*PI()*(0)/Inputs!$C$40)+0.2*SIN(2*PI()*((A53)+(0))/(0.5*(Inputs!$C$39+Inputs!$C$40))))+Inputs!$C$38*SIN(2*PI()*(A53)/Inputs!$C$39)*SIN(2*PI()*(0)/Inputs!$C$40)+-Inputs!$C$41*EXP(-(((0)-Inputs!$C$43)^2)/(2*Inputs!$C$44^2))*EXP(-(((A53)-Inputs!$C$42)^2)/(2*Inputs!$C$45^2)))</x:f>
        <x:v>12.061474781480538</x:v>
      </x:c>
      <x:c r="Y53" s="40" t="n">
        <x:f>IF(Inputs!$C$27="ON",1,0)*(Inputs!$C$28*EXP(-(((A53)-Inputs!$C$29)^2)/(2*Inputs!$C$31^2))*EXP(-(((Inputs!$C$6)-Inputs!$C$30)^2)/(2*Inputs!$C$32^2))+-Inputs!$C$33*EXP(-(((((A53)-Inputs!$C$34)^2)+(((Inputs!$C$6)-Inputs!$C$35)^2))/(2*Inputs!$C$36^2)))+Inputs!$C$37*(0.55*SIN(2*PI()*(A53)/Inputs!$C$39)+0.35*COS(2*PI()*(Inputs!$C$6)/Inputs!$C$40)+0.2*SIN(2*PI()*((A53)+(Inputs!$C$6))/(0.5*(Inputs!$C$39+Inputs!$C$40))))+Inputs!$C$38*SIN(2*PI()*(A53)/Inputs!$C$39)*SIN(2*PI()*(Inputs!$C$6)/Inputs!$C$40)+-Inputs!$C$41*EXP(-(((Inputs!$C$6)-Inputs!$C$43)^2)/(2*Inputs!$C$44^2))*EXP(-(((A53)-Inputs!$C$42)^2)/(2*Inputs!$C$45^2)))</x:f>
        <x:v>178.29695321315808</x:v>
      </x:c>
      <x:c r="Z53" s="40" t="n">
        <x:f>B53-X53/1000</x:f>
        <x:v>401.3104385252185</x:v>
      </x:c>
      <x:c r="AA53" s="40" t="n">
        <x:f>SQRT(A53^2+Inputs!$C$6^2+(B53-Y53/1000)^2)</x:f>
        <x:v>403.40044823728414</x:v>
      </x:c>
      <x:c r="AB53" s="40" t="n">
        <x:f>(AA53-Z53)*1000</x:f>
        <x:v>2090.009712065637</x:v>
      </x:c>
      <x:c r="AC53" s="40" t="n">
        <x:f>AB53/Inputs!$C$12</x:f>
        <x:v>1174.1627595874365</x:v>
      </x:c>
      <x:c r="AD53" s="40" t="n">
        <x:f>2*AB53/Inputs!$C$21*1000000</x:f>
        <x:v>13.94304397121049</x:v>
      </x:c>
      <x:c r="AE53" s="40" t="n">
        <x:f>DEGREES(ATAN(H53/(B53-Y53/1000)))</x:f>
        <x:v>6.06268796418747</x:v>
      </x:c>
      <x:c r="AF53" s="40" t="n">
        <x:f>DEGREES((2*PI()/Inputs!$C$13)*Inputs!$C$15*SIN(RADIANS(AE53)))</x:f>
        <x:v>38.02194655414544</x:v>
      </x:c>
      <x:c r="AG53" s="40" t="n">
        <x:f>(Z53/AA53)^4</x:f>
        <x:v>0.9794365791963001</x:v>
      </x:c>
      <x:c r="AH53" s="40" t="n">
        <x:f>10*LOG10(AG53)</x:f>
        <x:v>-0.090236803398034</x:v>
      </x:c>
      <x:c r="AI53" s="40" t="n">
        <x:f>AC53-F53</x:f>
        <x:v>-92.83072539357113</x:v>
      </x:c>
      <x:c r="AJ53" s="40" t="n">
        <x:f>AD53-G53</x:f>
        <x:v>-1.1023538904408117</x:v>
      </x:c>
      <x:c r="AK53" s="40" t="n">
        <x:f>Y53-X53</x:f>
        <x:v>166.23547843167754</x:v>
      </x:c>
      <x:c r="AL53" s="40" t="n">
        <x:f>1000*(AA54-AA52)/(A54-A52)*Inputs!$C$11</x:f>
        <x:v>-723.7285950252499</x:v>
      </x:c>
      <x:c r="AM53" s="40" t="n">
        <x:f>-2*AL53/Inputs!$C$13</x:f>
        <x:v>289.49143801009996</x:v>
      </x:c>
      <x:c r="AN53" s="40" t="n">
        <x:f>-2*AL53/Inputs!$C$14</x:f>
        <x:v>43.4671828843994</x:v>
      </x:c>
      <x:c r="AO53" s="40" t="n">
        <x:f>ABS(AM53)</x:f>
        <x:v>289.49143801009996</x:v>
      </x:c>
      <x:c r="AP53" s="40" t="n">
        <x:f>ABS(AN53)</x:f>
        <x:v>43.4671828843994</x:v>
      </x:c>
      <x:c r="AQ53" s="40" t="n">
        <x:f>IF(Inputs!$C$27="ON",Inputs!$C$46/Inputs!$C$12,0)</x:f>
        <x:v>42.13483146067416</x:v>
      </x:c>
      <x:c r="AR53" s="40" t="n">
        <x:f>AC53-AQ53</x:f>
        <x:v>1132.0279281267624</x:v>
      </x:c>
      <x:c r="AS53" s="40" t="n">
        <x:f>AC53+AQ53</x:f>
        <x:v>1216.2975910481107</x:v>
      </x:c>
    </x:row>
    <x:row r="54">
      <x:c r="A54" s="40" t="n">
        <x:f>Inputs!$C$7+52*(Inputs!$C$8-Inputs!$C$7)/240</x:f>
        <x:v>-34</x:v>
      </x:c>
      <x:c r="B54" s="40" t="n">
        <x:f>Inputs!$C$5+Inputs!$C$9*(A54/Inputs!$C$10)^2</x:f>
        <x:v>401.28444444444443</x:v>
      </x:c>
      <x:c r="C54" s="40" t="n">
        <x:f>B54</x:f>
        <x:v>401.28444444444443</x:v>
      </x:c>
      <x:c r="D54" s="40" t="n">
        <x:f>SQRT(A54^2+Inputs!$C$6^2+B54^2)</x:f>
        <x:v>403.49746635274727</x:v>
      </x:c>
      <x:c r="E54" s="40" t="n">
        <x:f>(D54-C54)*1000</x:f>
        <x:v>2213.021908302835</x:v>
      </x:c>
      <x:c r="F54" s="40" t="n">
        <x:f>E54/Inputs!$C$12</x:f>
        <x:v>1243.2707350015928</x:v>
      </x:c>
      <x:c r="G54" s="40" t="n">
        <x:f>2*E54/Inputs!$C$21*1000000</x:f>
        <x:v>14.76369300993446</x:v>
      </x:c>
      <x:c r="H54" s="40" t="n">
        <x:f>SQRT(A54^2+Inputs!$C$6^2)</x:f>
        <x:v>42.20189569201838</x:v>
      </x:c>
      <x:c r="I54" s="40" t="n">
        <x:f>DEGREES(ATAN(H54/B54))</x:f>
        <x:v>6.003558889809033</x:v>
      </x:c>
      <x:c r="J54" s="40" t="n">
        <x:f>DEGREES((2*PI()/Inputs!$C$13)*Inputs!$C$15*SIN(RADIANS(I54)))</x:f>
        <x:v>37.65248537110963</x:v>
      </x:c>
      <x:c r="K54" s="40" t="n">
        <x:f>(C54/D54)^4</x:f>
        <x:v>0.9782414288853452</x:v>
      </x:c>
      <x:c r="L54" s="40" t="n">
        <x:f>10*LOG10(K54)</x:f>
        <x:v>-0.0955394859375877</x:v>
      </x:c>
      <x:c r="M54" s="40" t="n">
        <x:f>2*(Inputs!$C$9/(Inputs!$C$10^2))*A54</x:f>
        <x:v>-0.07555555555555556</x:v>
      </x:c>
      <x:c r="N54" s="40" t="n">
        <x:f>M54*Inputs!$C$11</x:f>
        <x:v>-0.3022222222222222</x:v>
      </x:c>
      <x:c r="O54" s="40" t="n">
        <x:f>1000*((A54*Inputs!$C$11)+(B54*N54))/D54</x:f>
        <x:v>-637.6175763103604</x:v>
      </x:c>
      <x:c r="P54" s="40" t="n">
        <x:f>-2*O54/Inputs!$C$13</x:f>
        <x:v>255.04703052414416</x:v>
      </x:c>
      <x:c r="Q54" s="40" t="n">
        <x:f>-2*O54/Inputs!$C$14</x:f>
        <x:v>38.29534992855017</x:v>
      </x:c>
      <x:c r="R54" s="40" t="n">
        <x:f>F54-Inputs!$C$16/2</x:f>
        <x:v>1228.2707350015928</x:v>
      </x:c>
      <x:c r="S54" s="40" t="n">
        <x:f>F54+Inputs!$C$16/2</x:f>
        <x:v>1258.2707350015928</x:v>
      </x:c>
      <x:c r="T54" s="40" t="n">
        <x:f>F54-Inputs!$C$17/2</x:f>
        <x:v>1093.2707350015928</x:v>
      </x:c>
      <x:c r="U54" s="40" t="n">
        <x:f>F54+Inputs!$C$17/2</x:f>
        <x:v>1393.2707350015928</x:v>
      </x:c>
      <x:c r="V54" s="40" t="n">
        <x:f>ABS(P54)</x:f>
        <x:v>255.04703052414416</x:v>
      </x:c>
      <x:c r="W54" s="40" t="n">
        <x:f>ABS(Q54)</x:f>
        <x:v>38.29534992855017</x:v>
      </x:c>
      <x:c r="X54" s="40" t="n">
        <x:f>IF(Inputs!$C$27="ON",1,0)*(Inputs!$C$28*EXP(-(((A54)-Inputs!$C$29)^2)/(2*Inputs!$C$31^2))*EXP(-(((0)-Inputs!$C$30)^2)/(2*Inputs!$C$32^2))+-Inputs!$C$33*EXP(-(((((A54)-Inputs!$C$34)^2)+(((0)-Inputs!$C$35)^2))/(2*Inputs!$C$36^2)))+Inputs!$C$37*(0.55*SIN(2*PI()*(A54)/Inputs!$C$39)+0.35*COS(2*PI()*(0)/Inputs!$C$40)+0.2*SIN(2*PI()*((A54)+(0))/(0.5*(Inputs!$C$39+Inputs!$C$40))))+Inputs!$C$38*SIN(2*PI()*(A54)/Inputs!$C$39)*SIN(2*PI()*(0)/Inputs!$C$40)+-Inputs!$C$41*EXP(-(((0)-Inputs!$C$43)^2)/(2*Inputs!$C$44^2))*EXP(-(((A54)-Inputs!$C$42)^2)/(2*Inputs!$C$45^2)))</x:f>
        <x:v>14.788061857717963</x:v>
      </x:c>
      <x:c r="Y54" s="40" t="n">
        <x:f>IF(Inputs!$C$27="ON",1,0)*(Inputs!$C$28*EXP(-(((A54)-Inputs!$C$29)^2)/(2*Inputs!$C$31^2))*EXP(-(((Inputs!$C$6)-Inputs!$C$30)^2)/(2*Inputs!$C$32^2))+-Inputs!$C$33*EXP(-(((((A54)-Inputs!$C$34)^2)+(((Inputs!$C$6)-Inputs!$C$35)^2))/(2*Inputs!$C$36^2)))+Inputs!$C$37*(0.55*SIN(2*PI()*(A54)/Inputs!$C$39)+0.35*COS(2*PI()*(Inputs!$C$6)/Inputs!$C$40)+0.2*SIN(2*PI()*((A54)+(Inputs!$C$6))/(0.5*(Inputs!$C$39+Inputs!$C$40))))+Inputs!$C$38*SIN(2*PI()*(A54)/Inputs!$C$39)*SIN(2*PI()*(Inputs!$C$6)/Inputs!$C$40)+-Inputs!$C$41*EXP(-(((Inputs!$C$6)-Inputs!$C$43)^2)/(2*Inputs!$C$44^2))*EXP(-(((A54)-Inputs!$C$42)^2)/(2*Inputs!$C$45^2)))</x:f>
        <x:v>187.33564923068332</x:v>
      </x:c>
      <x:c r="Z54" s="40" t="n">
        <x:f>B54-X54/1000</x:f>
        <x:v>401.26965638258673</x:v>
      </x:c>
      <x:c r="AA54" s="40" t="n">
        <x:f>SQRT(A54^2+Inputs!$C$6^2+(B54-Y54/1000)^2)</x:f>
        <x:v>403.31115864042187</x:v>
      </x:c>
      <x:c r="AB54" s="40" t="n">
        <x:f>(AA54-Z54)*1000</x:f>
        <x:v>2041.502257835134</x:v>
      </x:c>
      <x:c r="AC54" s="40" t="n">
        <x:f>AB54/Inputs!$C$12</x:f>
        <x:v>1146.911380806255</x:v>
      </x:c>
      <x:c r="AD54" s="40" t="n">
        <x:f>2*AB54/Inputs!$C$21*1000000</x:f>
        <x:v>13.61943706959522</x:v>
      </x:c>
      <x:c r="AE54" s="40" t="n">
        <x:f>DEGREES(ATAN(H54/(B54-Y54/1000)))</x:f>
        <x:v>6.00634240741105</x:v>
      </x:c>
      <x:c r="AF54" s="40" t="n">
        <x:f>DEGREES((2*PI()/Inputs!$C$13)*Inputs!$C$15*SIN(RADIANS(AE54)))</x:f>
        <x:v>37.66987876145495</x:v>
      </x:c>
      <x:c r="AG54" s="40" t="n">
        <x:f>(Z54/AA54)^4</x:f>
        <x:v>0.9799057995160846</x:v>
      </x:c>
      <x:c r="AH54" s="40" t="n">
        <x:f>10*LOG10(AG54)</x:f>
        <x:v>-0.0881567197762141</x:v>
      </x:c>
      <x:c r="AI54" s="40" t="n">
        <x:f>AC54-F54</x:f>
        <x:v>-96.3593541953378</x:v>
      </x:c>
      <x:c r="AJ54" s="40" t="n">
        <x:f>AD54-G54</x:f>
        <x:v>-1.1442559403392405</x:v>
      </x:c>
      <x:c r="AK54" s="40" t="n">
        <x:f>Y54-X54</x:f>
        <x:v>172.54758737296535</x:v>
      </x:c>
      <x:c r="AL54" s="40" t="n">
        <x:f>1000*(AA55-AA53)/(A55-A53)*Inputs!$C$11</x:f>
        <x:v>-704.3216671579557</x:v>
      </x:c>
      <x:c r="AM54" s="40" t="n">
        <x:f>-2*AL54/Inputs!$C$13</x:f>
        <x:v>281.7286668631823</x:v>
      </x:c>
      <x:c r="AN54" s="40" t="n">
        <x:f>-2*AL54/Inputs!$C$14</x:f>
        <x:v>42.301601631108454</x:v>
      </x:c>
      <x:c r="AO54" s="40" t="n">
        <x:f>ABS(AM54)</x:f>
        <x:v>281.7286668631823</x:v>
      </x:c>
      <x:c r="AP54" s="40" t="n">
        <x:f>ABS(AN54)</x:f>
        <x:v>42.301601631108454</x:v>
      </x:c>
      <x:c r="AQ54" s="40" t="n">
        <x:f>IF(Inputs!$C$27="ON",Inputs!$C$46/Inputs!$C$12,0)</x:f>
        <x:v>42.13483146067416</x:v>
      </x:c>
      <x:c r="AR54" s="40" t="n">
        <x:f>AC54-AQ54</x:f>
        <x:v>1104.7765493455809</x:v>
      </x:c>
      <x:c r="AS54" s="40" t="n">
        <x:f>AC54+AQ54</x:f>
        <x:v>1189.0462122669292</x:v>
      </x:c>
    </x:row>
    <x:row r="55">
      <x:c r="A55" s="40" t="n">
        <x:f>Inputs!$C$7+53*(Inputs!$C$8-Inputs!$C$7)/240</x:f>
        <x:v>-33.5</x:v>
      </x:c>
      <x:c r="B55" s="40" t="n">
        <x:f>Inputs!$C$5+Inputs!$C$9*(A55/Inputs!$C$10)^2</x:f>
        <x:v>401.24694444444447</x:v>
      </x:c>
      <x:c r="C55" s="40" t="n">
        <x:f>B55</x:f>
        <x:v>401.24694444444447</x:v>
      </x:c>
      <x:c r="D55" s="40" t="n">
        <x:f>SQRT(A55^2+Inputs!$C$6^2+B55^2)</x:f>
        <x:v>403.418344186284</x:v>
      </x:c>
      <x:c r="E55" s="40" t="n">
        <x:f>(D55-C55)*1000</x:f>
        <x:v>2171.3997418395365</x:v>
      </x:c>
      <x:c r="F55" s="40" t="n">
        <x:f>E55/Inputs!$C$12</x:f>
        <x:v>1219.8874954154699</x:v>
      </x:c>
      <x:c r="G55" s="40" t="n">
        <x:f>2*E55/Inputs!$C$21*1000000</x:f>
        <x:v>14.486019804004119</x:v>
      </x:c>
      <x:c r="H55" s="40" t="n">
        <x:f>SQRT(A55^2+Inputs!$C$6^2)</x:f>
        <x:v>41.80011961705373</x:v>
      </x:c>
      <x:c r="I55" s="40" t="n">
        <x:f>DEGREES(ATAN(H55/B55))</x:f>
        <x:v>5.947366354766674</x:v>
      </x:c>
      <x:c r="J55" s="40" t="n">
        <x:f>DEGREES((2*PI()/Inputs!$C$13)*Inputs!$C$15*SIN(RADIANS(I55)))</x:f>
        <x:v>37.30133564573529</x:v>
      </x:c>
      <x:c r="K55" s="40" t="n">
        <x:f>(C55/D55)^4</x:f>
        <x:v>0.9786432000050733</x:v>
      </x:c>
      <x:c r="L55" s="40" t="n">
        <x:f>10*LOG10(K55)</x:f>
        <x:v>-0.0937561719888581</x:v>
      </x:c>
      <x:c r="M55" s="40" t="n">
        <x:f>2*(Inputs!$C$9/(Inputs!$C$10^2))*A55</x:f>
        <x:v>-0.07444444444444444</x:v>
      </x:c>
      <x:c r="N55" s="40" t="n">
        <x:f>M55*Inputs!$C$11</x:f>
        <x:v>-0.29777777777777775</x:v>
      </x:c>
      <x:c r="O55" s="40" t="n">
        <x:f>1000*((A55*Inputs!$C$11)+(B55*N55))/D55</x:f>
        <x:v>-628.3363835823517</x:v>
      </x:c>
      <x:c r="P55" s="40" t="n">
        <x:f>-2*O55/Inputs!$C$13</x:f>
        <x:v>251.33455343294068</x:v>
      </x:c>
      <x:c r="Q55" s="40" t="n">
        <x:f>-2*O55/Inputs!$C$14</x:f>
        <x:v>37.73792093587698</x:v>
      </x:c>
      <x:c r="R55" s="40" t="n">
        <x:f>F55-Inputs!$C$16/2</x:f>
        <x:v>1204.8874954154699</x:v>
      </x:c>
      <x:c r="S55" s="40" t="n">
        <x:f>F55+Inputs!$C$16/2</x:f>
        <x:v>1234.8874954154699</x:v>
      </x:c>
      <x:c r="T55" s="40" t="n">
        <x:f>F55-Inputs!$C$17/2</x:f>
        <x:v>1069.8874954154699</x:v>
      </x:c>
      <x:c r="U55" s="40" t="n">
        <x:f>F55+Inputs!$C$17/2</x:f>
        <x:v>1369.8874954154699</x:v>
      </x:c>
      <x:c r="V55" s="40" t="n">
        <x:f>ABS(P55)</x:f>
        <x:v>251.33455343294068</x:v>
      </x:c>
      <x:c r="W55" s="40" t="n">
        <x:f>ABS(Q55)</x:f>
        <x:v>37.73792093587698</x:v>
      </x:c>
      <x:c r="X55" s="40" t="n">
        <x:f>IF(Inputs!$C$27="ON",1,0)*(Inputs!$C$28*EXP(-(((A55)-Inputs!$C$29)^2)/(2*Inputs!$C$31^2))*EXP(-(((0)-Inputs!$C$30)^2)/(2*Inputs!$C$32^2))+-Inputs!$C$33*EXP(-(((((A55)-Inputs!$C$34)^2)+(((0)-Inputs!$C$35)^2))/(2*Inputs!$C$36^2)))+Inputs!$C$37*(0.55*SIN(2*PI()*(A55)/Inputs!$C$39)+0.35*COS(2*PI()*(0)/Inputs!$C$40)+0.2*SIN(2*PI()*((A55)+(0))/(0.5*(Inputs!$C$39+Inputs!$C$40))))+Inputs!$C$38*SIN(2*PI()*(A55)/Inputs!$C$39)*SIN(2*PI()*(0)/Inputs!$C$40)+-Inputs!$C$41*EXP(-(((0)-Inputs!$C$43)^2)/(2*Inputs!$C$44^2))*EXP(-(((A55)-Inputs!$C$42)^2)/(2*Inputs!$C$45^2)))</x:f>
        <x:v>17.208158714852885</x:v>
      </x:c>
      <x:c r="Y55" s="40" t="n">
        <x:f>IF(Inputs!$C$27="ON",1,0)*(Inputs!$C$28*EXP(-(((A55)-Inputs!$C$29)^2)/(2*Inputs!$C$31^2))*EXP(-(((Inputs!$C$6)-Inputs!$C$30)^2)/(2*Inputs!$C$32^2))+-Inputs!$C$33*EXP(-(((((A55)-Inputs!$C$34)^2)+(((Inputs!$C$6)-Inputs!$C$35)^2))/(2*Inputs!$C$36^2)))+Inputs!$C$37*(0.55*SIN(2*PI()*(A55)/Inputs!$C$39)+0.35*COS(2*PI()*(Inputs!$C$6)/Inputs!$C$40)+0.2*SIN(2*PI()*((A55)+(Inputs!$C$6))/(0.5*(Inputs!$C$39+Inputs!$C$40))))+Inputs!$C$38*SIN(2*PI()*(A55)/Inputs!$C$39)*SIN(2*PI()*(Inputs!$C$6)/Inputs!$C$40)+-Inputs!$C$41*EXP(-(((Inputs!$C$6)-Inputs!$C$43)^2)/(2*Inputs!$C$44^2))*EXP(-(((A55)-Inputs!$C$42)^2)/(2*Inputs!$C$45^2)))</x:f>
        <x:v>195.02660307876914</x:v>
      </x:c>
      <x:c r="Z55" s="40" t="n">
        <x:f>B55-X55/1000</x:f>
        <x:v>401.2297362857296</x:v>
      </x:c>
      <x:c r="AA55" s="40" t="n">
        <x:f>SQRT(A55^2+Inputs!$C$6^2+(B55-Y55/1000)^2)</x:f>
        <x:v>403.22436782049465</x:v>
      </x:c>
      <x:c r="AB55" s="40" t="n">
        <x:f>(AA55-Z55)*1000</x:f>
        <x:v>1994.6315347650625</x:v>
      </x:c>
      <x:c r="AC55" s="40" t="n">
        <x:f>AB55/Inputs!$C$12</x:f>
        <x:v>1120.5795139129564</x:v>
      </x:c>
      <x:c r="AD55" s="40" t="n">
        <x:f>2*AB55/Inputs!$C$21*1000000</x:f>
        <x:v>13.306749262952188</x:v>
      </x:c>
      <x:c r="AE55" s="40" t="n">
        <x:f>DEGREES(ATAN(H55/(B55-Y55/1000)))</x:f>
        <x:v>5.950237740917408</x:v>
      </x:c>
      <x:c r="AF55" s="40" t="n">
        <x:f>DEGREES((2*PI()/Inputs!$C$13)*Inputs!$C$15*SIN(RADIANS(AE55)))</x:f>
        <x:v>37.31927994202561</x:v>
      </x:c>
      <x:c r="AG55" s="40" t="n">
        <x:f>(Z55/AA55)^4</x:f>
        <x:v>0.9803595202716032</x:v>
      </x:c>
      <x:c r="AH55" s="40" t="n">
        <x:f>10*LOG10(AG55)</x:f>
        <x:v>-0.0861462937183079</x:v>
      </x:c>
      <x:c r="AI55" s="40" t="n">
        <x:f>AC55-F55</x:f>
        <x:v>-99.30798150251348</x:v>
      </x:c>
      <x:c r="AJ55" s="40" t="n">
        <x:f>AD55-G55</x:f>
        <x:v>-1.179270541051931</x:v>
      </x:c>
      <x:c r="AK55" s="40" t="n">
        <x:f>Y55-X55</x:f>
        <x:v>177.81844436391626</x:v>
      </x:c>
      <x:c r="AL55" s="40" t="n">
        <x:f>1000*(AA56-AA54)/(A56-A54)*Inputs!$C$11</x:f>
        <x:v>-683.9320981066521</x:v>
      </x:c>
      <x:c r="AM55" s="40" t="n">
        <x:f>-2*AL55/Inputs!$C$13</x:f>
        <x:v>273.57283924266085</x:v>
      </x:c>
      <x:c r="AN55" s="40" t="n">
        <x:f>-2*AL55/Inputs!$C$14</x:f>
        <x:v>41.077002889288416</x:v>
      </x:c>
      <x:c r="AO55" s="40" t="n">
        <x:f>ABS(AM55)</x:f>
        <x:v>273.57283924266085</x:v>
      </x:c>
      <x:c r="AP55" s="40" t="n">
        <x:f>ABS(AN55)</x:f>
        <x:v>41.077002889288416</x:v>
      </x:c>
      <x:c r="AQ55" s="40" t="n">
        <x:f>IF(Inputs!$C$27="ON",Inputs!$C$46/Inputs!$C$12,0)</x:f>
        <x:v>42.13483146067416</x:v>
      </x:c>
      <x:c r="AR55" s="40" t="n">
        <x:f>AC55-AQ55</x:f>
        <x:v>1078.4446824522822</x:v>
      </x:c>
      <x:c r="AS55" s="40" t="n">
        <x:f>AC55+AQ55</x:f>
        <x:v>1162.7143453736305</x:v>
      </x:c>
    </x:row>
    <x:row r="56">
      <x:c r="A56" s="40" t="n">
        <x:f>Inputs!$C$7+54*(Inputs!$C$8-Inputs!$C$7)/240</x:f>
        <x:v>-33</x:v>
      </x:c>
      <x:c r="B56" s="40" t="n">
        <x:f>Inputs!$C$5+Inputs!$C$9*(A56/Inputs!$C$10)^2</x:f>
        <x:v>401.21</x:v>
      </x:c>
      <x:c r="C56" s="40" t="n">
        <x:f>B56</x:f>
        <x:v>401.21</x:v>
      </x:c>
      <x:c r="D56" s="40" t="n">
        <x:f>SQRT(A56^2+Inputs!$C$6^2+B56^2)</x:f>
        <x:v>403.340382431514</x:v>
      </x:c>
      <x:c r="E56" s="40" t="n">
        <x:f>(D56-C56)*1000</x:f>
        <x:v>2130.382431514022</x:v>
      </x:c>
      <x:c r="F56" s="40" t="n">
        <x:f>E56/Inputs!$C$12</x:f>
        <x:v>1196.8440626483268</x:v>
      </x:c>
      <x:c r="G56" s="40" t="n">
        <x:f>2*E56/Inputs!$C$21*1000000</x:f>
        <x:v>14.212381763880277</x:v>
      </x:c>
      <x:c r="H56" s="40" t="n">
        <x:f>SQRT(A56^2+Inputs!$C$6^2)</x:f>
        <x:v>41.400483088968905</x:v>
      </x:c>
      <x:c r="I56" s="40" t="n">
        <x:f>DEGREES(ATAN(H56/B56))</x:f>
        <x:v>5.891446051651431</x:v>
      </x:c>
      <x:c r="J56" s="40" t="n">
        <x:f>DEGREES((2*PI()/Inputs!$C$13)*Inputs!$C$15*SIN(RADIANS(I56)))</x:f>
        <x:v>36.95185149123889</x:v>
      </x:c>
      <x:c r="K56" s="40" t="n">
        <x:f>(C56/D56)^4</x:f>
        <x:v>0.9790394084468791</x:v>
      </x:c>
      <x:c r="L56" s="40" t="n">
        <x:f>10*LOG10(K56)</x:f>
        <x:v>-0.09199826555840601</x:v>
      </x:c>
      <x:c r="M56" s="40" t="n">
        <x:f>2*(Inputs!$C$9/(Inputs!$C$10^2))*A56</x:f>
        <x:v>-0.07333333333333333</x:v>
      </x:c>
      <x:c r="N56" s="40" t="n">
        <x:f>M56*Inputs!$C$11</x:f>
        <x:v>-0.29333333333333333</x:v>
      </x:c>
      <x:c r="O56" s="40" t="n">
        <x:f>1000*((A56*Inputs!$C$11)+(B56*N56))/D56</x:f>
        <x:v>-619.050998963792</x:v>
      </x:c>
      <x:c r="P56" s="40" t="n">
        <x:f>-2*O56/Inputs!$C$13</x:f>
        <x:v>247.62039958551682</x:v>
      </x:c>
      <x:c r="Q56" s="40" t="n">
        <x:f>-2*O56/Inputs!$C$14</x:f>
        <x:v>37.18024017800553</x:v>
      </x:c>
      <x:c r="R56" s="40" t="n">
        <x:f>F56-Inputs!$C$16/2</x:f>
        <x:v>1181.8440626483268</x:v>
      </x:c>
      <x:c r="S56" s="40" t="n">
        <x:f>F56+Inputs!$C$16/2</x:f>
        <x:v>1211.8440626483268</x:v>
      </x:c>
      <x:c r="T56" s="40" t="n">
        <x:f>F56-Inputs!$C$17/2</x:f>
        <x:v>1046.8440626483268</x:v>
      </x:c>
      <x:c r="U56" s="40" t="n">
        <x:f>F56+Inputs!$C$17/2</x:f>
        <x:v>1346.8440626483268</x:v>
      </x:c>
      <x:c r="V56" s="40" t="n">
        <x:f>ABS(P56)</x:f>
        <x:v>247.62039958551682</x:v>
      </x:c>
      <x:c r="W56" s="40" t="n">
        <x:f>ABS(Q56)</x:f>
        <x:v>37.18024017800553</x:v>
      </x:c>
      <x:c r="X56" s="40" t="n">
        <x:f>IF(Inputs!$C$27="ON",1,0)*(Inputs!$C$28*EXP(-(((A56)-Inputs!$C$29)^2)/(2*Inputs!$C$31^2))*EXP(-(((0)-Inputs!$C$30)^2)/(2*Inputs!$C$32^2))+-Inputs!$C$33*EXP(-(((((A56)-Inputs!$C$34)^2)+(((0)-Inputs!$C$35)^2))/(2*Inputs!$C$36^2)))+Inputs!$C$37*(0.55*SIN(2*PI()*(A56)/Inputs!$C$39)+0.35*COS(2*PI()*(0)/Inputs!$C$40)+0.2*SIN(2*PI()*((A56)+(0))/(0.5*(Inputs!$C$39+Inputs!$C$40))))+Inputs!$C$38*SIN(2*PI()*(A56)/Inputs!$C$39)*SIN(2*PI()*(0)/Inputs!$C$40)+-Inputs!$C$41*EXP(-(((0)-Inputs!$C$43)^2)/(2*Inputs!$C$44^2))*EXP(-(((A56)-Inputs!$C$42)^2)/(2*Inputs!$C$45^2)))</x:f>
        <x:v>19.181305252741918</x:v>
      </x:c>
      <x:c r="Y56" s="40" t="n">
        <x:f>IF(Inputs!$C$27="ON",1,0)*(Inputs!$C$28*EXP(-(((A56)-Inputs!$C$29)^2)/(2*Inputs!$C$31^2))*EXP(-(((Inputs!$C$6)-Inputs!$C$30)^2)/(2*Inputs!$C$32^2))+-Inputs!$C$33*EXP(-(((((A56)-Inputs!$C$34)^2)+(((Inputs!$C$6)-Inputs!$C$35)^2))/(2*Inputs!$C$36^2)))+Inputs!$C$37*(0.55*SIN(2*PI()*(A56)/Inputs!$C$39)+0.35*COS(2*PI()*(Inputs!$C$6)/Inputs!$C$40)+0.2*SIN(2*PI()*((A56)+(Inputs!$C$6))/(0.5*(Inputs!$C$39+Inputs!$C$40))))+Inputs!$C$38*SIN(2*PI()*(A56)/Inputs!$C$39)*SIN(2*PI()*(Inputs!$C$6)/Inputs!$C$40)+-Inputs!$C$41*EXP(-(((Inputs!$C$6)-Inputs!$C$43)^2)/(2*Inputs!$C$44^2))*EXP(-(((A56)-Inputs!$C$42)^2)/(2*Inputs!$C$45^2)))</x:f>
        <x:v>201.27042467663705</x:v>
      </x:c>
      <x:c r="Z56" s="40" t="n">
        <x:f>B56-X56/1000</x:f>
        <x:v>401.19081869474724</x:v>
      </x:c>
      <x:c r="AA56" s="40" t="n">
        <x:f>SQRT(A56^2+Inputs!$C$6^2+(B56-Y56/1000)^2)</x:f>
        <x:v>403.1401756158952</x:v>
      </x:c>
      <x:c r="AB56" s="40" t="n">
        <x:f>(AA56-Z56)*1000</x:f>
        <x:v>1949.3569211479667</x:v>
      </x:c>
      <x:c r="AC56" s="40" t="n">
        <x:f>AB56/Inputs!$C$12</x:f>
        <x:v>1095.1443377235767</x:v>
      </x:c>
      <x:c r="AD56" s="40" t="n">
        <x:f>2*AB56/Inputs!$C$21*1000000</x:f>
        <x:v>13.00470955241954</x:v>
      </x:c>
      <x:c r="AE56" s="40" t="n">
        <x:f>DEGREES(ATAN(H56/(B56-Y56/1000)))</x:f>
        <x:v>5.894382215032272</x:v>
      </x:c>
      <x:c r="AF56" s="40" t="n">
        <x:f>DEGREES((2*PI()/Inputs!$C$13)*Inputs!$C$15*SIN(RADIANS(AE56)))</x:f>
        <x:v>36.970202459377894</x:v>
      </x:c>
      <x:c r="AG56" s="40" t="n">
        <x:f>(Z56/AA56)^4</x:f>
        <x:v>0.9807981085742524</x:v>
      </x:c>
      <x:c r="AH56" s="40" t="n">
        <x:f>10*LOG10(AG56)</x:f>
        <x:v>-0.0842038034254145</x:v>
      </x:c>
      <x:c r="AI56" s="40" t="n">
        <x:f>AC56-F56</x:f>
        <x:v>-101.69972492475017</x:v>
      </x:c>
      <x:c r="AJ56" s="40" t="n">
        <x:f>AD56-G56</x:f>
        <x:v>-1.2076722114607374</x:v>
      </x:c>
      <x:c r="AK56" s="40" t="n">
        <x:f>Y56-X56</x:f>
        <x:v>182.08911942389514</x:v>
      </x:c>
      <x:c r="AL56" s="40" t="n">
        <x:f>1000*(AA57-AA55)/(A57-A55)*Inputs!$C$11</x:f>
        <x:v>-662.9342525968696</x:v>
      </x:c>
      <x:c r="AM56" s="40" t="n">
        <x:f>-2*AL56/Inputs!$C$13</x:f>
        <x:v>265.1737010387478</x:v>
      </x:c>
      <x:c r="AN56" s="40" t="n">
        <x:f>-2*AL56/Inputs!$C$14</x:f>
        <x:v>39.81587102683901</x:v>
      </x:c>
      <x:c r="AO56" s="40" t="n">
        <x:f>ABS(AM56)</x:f>
        <x:v>265.1737010387478</x:v>
      </x:c>
      <x:c r="AP56" s="40" t="n">
        <x:f>ABS(AN56)</x:f>
        <x:v>39.81587102683901</x:v>
      </x:c>
      <x:c r="AQ56" s="40" t="n">
        <x:f>IF(Inputs!$C$27="ON",Inputs!$C$46/Inputs!$C$12,0)</x:f>
        <x:v>42.13483146067416</x:v>
      </x:c>
      <x:c r="AR56" s="40" t="n">
        <x:f>AC56-AQ56</x:f>
        <x:v>1053.0095062629025</x:v>
      </x:c>
      <x:c r="AS56" s="40" t="n">
        <x:f>AC56+AQ56</x:f>
        <x:v>1137.2791691842508</x:v>
      </x:c>
    </x:row>
    <x:row r="57">
      <x:c r="A57" s="40" t="n">
        <x:f>Inputs!$C$7+55*(Inputs!$C$8-Inputs!$C$7)/240</x:f>
        <x:v>-32.5</x:v>
      </x:c>
      <x:c r="B57" s="40" t="n">
        <x:f>Inputs!$C$5+Inputs!$C$9*(A57/Inputs!$C$10)^2</x:f>
        <x:v>401.1736111111111</x:v>
      </x:c>
      <x:c r="C57" s="40" t="n">
        <x:f>B57</x:f>
        <x:v>401.1736111111111</x:v>
      </x:c>
      <x:c r="D57" s="40" t="n">
        <x:f>SQRT(A57^2+Inputs!$C$6^2+B57^2)</x:f>
        <x:v>403.2635816087649</x:v>
      </x:c>
      <x:c r="E57" s="40" t="n">
        <x:f>(D57-C57)*1000</x:f>
        <x:v>2089.9704976538374</x:v>
      </x:c>
      <x:c r="F57" s="40" t="n">
        <x:f>E57/Inputs!$C$12</x:f>
        <x:v>1174.1407290190098</x:v>
      </x:c>
      <x:c r="G57" s="40" t="n">
        <x:f>2*E57/Inputs!$C$21*1000000</x:f>
        <x:v>13.942782360814675</x:v>
      </x:c>
      <x:c r="H57" s="40" t="n">
        <x:f>SQRT(A57^2+Inputs!$C$6^2)</x:f>
        <x:v>41.00304866714181</x:v>
      </x:c>
      <x:c r="I57" s="40" t="n">
        <x:f>DEGREES(ATAN(H57/B57))</x:f>
        <x:v>5.835807408982732</x:v>
      </x:c>
      <x:c r="J57" s="40" t="n">
        <x:f>DEGREES((2*PI()/Inputs!$C$13)*Inputs!$C$15*SIN(RADIANS(I57)))</x:f>
        <x:v>36.60409269114675</x:v>
      </x:c>
      <x:c r="K57" s="40" t="n">
        <x:f>(C57/D57)^4</x:f>
        <x:v>0.9794300372811903</x:v>
      </x:c>
      <x:c r="L57" s="40" t="n">
        <x:f>10*LOG10(K57)</x:f>
        <x:v>-0.0902658111682354</x:v>
      </x:c>
      <x:c r="M57" s="40" t="n">
        <x:f>2*(Inputs!$C$9/(Inputs!$C$10^2))*A57</x:f>
        <x:v>-0.07222222222222222</x:v>
      </x:c>
      <x:c r="N57" s="40" t="n">
        <x:f>M57*Inputs!$C$11</x:f>
        <x:v>-0.28888888888888886</x:v>
      </x:c>
      <x:c r="O57" s="40" t="n">
        <x:f>1000*((A57*Inputs!$C$11)+(B57*N57))/D57</x:f>
        <x:v>-609.7614810255595</x:v>
      </x:c>
      <x:c r="P57" s="40" t="n">
        <x:f>-2*O57/Inputs!$C$13</x:f>
        <x:v>243.9045924102238</x:v>
      </x:c>
      <x:c r="Q57" s="40" t="n">
        <x:f>-2*O57/Inputs!$C$14</x:f>
        <x:v>36.62231117270628</x:v>
      </x:c>
      <x:c r="R57" s="40" t="n">
        <x:f>F57-Inputs!$C$16/2</x:f>
        <x:v>1159.1407290190098</x:v>
      </x:c>
      <x:c r="S57" s="40" t="n">
        <x:f>F57+Inputs!$C$16/2</x:f>
        <x:v>1189.1407290190098</x:v>
      </x:c>
      <x:c r="T57" s="40" t="n">
        <x:f>F57-Inputs!$C$17/2</x:f>
        <x:v>1024.1407290190098</x:v>
      </x:c>
      <x:c r="U57" s="40" t="n">
        <x:f>F57+Inputs!$C$17/2</x:f>
        <x:v>1324.1407290190098</x:v>
      </x:c>
      <x:c r="V57" s="40" t="n">
        <x:f>ABS(P57)</x:f>
        <x:v>243.9045924102238</x:v>
      </x:c>
      <x:c r="W57" s="40" t="n">
        <x:f>ABS(Q57)</x:f>
        <x:v>36.62231117270628</x:v>
      </x:c>
      <x:c r="X57" s="40" t="n">
        <x:f>IF(Inputs!$C$27="ON",1,0)*(Inputs!$C$28*EXP(-(((A57)-Inputs!$C$29)^2)/(2*Inputs!$C$31^2))*EXP(-(((0)-Inputs!$C$30)^2)/(2*Inputs!$C$32^2))+-Inputs!$C$33*EXP(-(((((A57)-Inputs!$C$34)^2)+(((0)-Inputs!$C$35)^2))/(2*Inputs!$C$36^2)))+Inputs!$C$37*(0.55*SIN(2*PI()*(A57)/Inputs!$C$39)+0.35*COS(2*PI()*(0)/Inputs!$C$40)+0.2*SIN(2*PI()*((A57)+(0))/(0.5*(Inputs!$C$39+Inputs!$C$40))))+Inputs!$C$38*SIN(2*PI()*(A57)/Inputs!$C$39)*SIN(2*PI()*(0)/Inputs!$C$40)+-Inputs!$C$41*EXP(-(((0)-Inputs!$C$43)^2)/(2*Inputs!$C$44^2))*EXP(-(((A57)-Inputs!$C$42)^2)/(2*Inputs!$C$45^2)))</x:f>
        <x:v>20.56901530926051</x:v>
      </x:c>
      <x:c r="Y57" s="40" t="n">
        <x:f>IF(Inputs!$C$27="ON",1,0)*(Inputs!$C$28*EXP(-(((A57)-Inputs!$C$29)^2)/(2*Inputs!$C$31^2))*EXP(-(((Inputs!$C$6)-Inputs!$C$30)^2)/(2*Inputs!$C$32^2))+-Inputs!$C$33*EXP(-(((((A57)-Inputs!$C$34)^2)+(((Inputs!$C$6)-Inputs!$C$35)^2))/(2*Inputs!$C$36^2)))+Inputs!$C$37*(0.55*SIN(2*PI()*(A57)/Inputs!$C$39)+0.35*COS(2*PI()*(Inputs!$C$6)/Inputs!$C$40)+0.2*SIN(2*PI()*((A57)+(Inputs!$C$6))/(0.5*(Inputs!$C$39+Inputs!$C$40))))+Inputs!$C$38*SIN(2*PI()*(A57)/Inputs!$C$39)*SIN(2*PI()*(Inputs!$C$6)/Inputs!$C$40)+-Inputs!$C$41*EXP(-(((Inputs!$C$6)-Inputs!$C$43)^2)/(2*Inputs!$C$44^2))*EXP(-(((A57)-Inputs!$C$42)^2)/(2*Inputs!$C$45^2)))</x:f>
        <x:v>206.0156007050652</x:v>
      </x:c>
      <x:c r="Z57" s="40" t="n">
        <x:f>B57-X57/1000</x:f>
        <x:v>401.1530420958018</x:v>
      </x:c>
      <x:c r="AA57" s="40" t="n">
        <x:f>SQRT(A57^2+Inputs!$C$6^2+(B57-Y57/1000)^2)</x:f>
        <x:v>403.05863425734543</x:v>
      </x:c>
      <x:c r="AB57" s="40" t="n">
        <x:f>(AA57-Z57)*1000</x:f>
        <x:v>1905.592161543609</x:v>
      </x:c>
      <x:c r="AC57" s="40" t="n">
        <x:f>AB57/Inputs!$C$12</x:f>
        <x:v>1070.557394125623</x:v>
      </x:c>
      <x:c r="AD57" s="40" t="n">
        <x:f>2*AB57/Inputs!$C$21*1000000</x:f>
        <x:v>12.712742503639696</x:v>
      </x:c>
      <x:c r="AE57" s="40" t="n">
        <x:f>DEGREES(ATAN(H57/(B57-Y57/1000)))</x:f>
        <x:v>5.838785113900778</x:v>
      </x:c>
      <x:c r="AF57" s="40" t="n">
        <x:f>DEGREES((2*PI()/Inputs!$C$13)*Inputs!$C$15*SIN(RADIANS(AE57)))</x:f>
        <x:v>36.622705149014045</x:v>
      </x:c>
      <x:c r="AG57" s="40" t="n">
        <x:f>(Z57/AA57)^4</x:f>
        <x:v>0.9812223773414095</x:v>
      </x:c>
      <x:c r="AH57" s="40" t="n">
        <x:f>10*LOG10(AG57)</x:f>
        <x:v>-0.0823255601693949</x:v>
      </x:c>
      <x:c r="AI57" s="40" t="n">
        <x:f>AC57-F57</x:f>
        <x:v>-103.58333489338679</x:v>
      </x:c>
      <x:c r="AJ57" s="40" t="n">
        <x:f>AD57-G57</x:f>
        <x:v>-1.2300398571749795</x:v>
      </x:c>
      <x:c r="AK57" s="40" t="n">
        <x:f>Y57-X57</x:f>
        <x:v>185.44658539580468</x:v>
      </x:c>
      <x:c r="AL57" s="40" t="n">
        <x:f>1000*(AA58-AA56)/(A58-A56)*Inputs!$C$11</x:f>
        <x:v>-641.709182056502</x:v>
      </x:c>
      <x:c r="AM57" s="40" t="n">
        <x:f>-2*AL57/Inputs!$C$13</x:f>
        <x:v>256.6836728226008</x:v>
      </x:c>
      <x:c r="AN57" s="40" t="n">
        <x:f>-2*AL57/Inputs!$C$14</x:f>
        <x:v>38.541092015405525</x:v>
      </x:c>
      <x:c r="AO57" s="40" t="n">
        <x:f>ABS(AM57)</x:f>
        <x:v>256.6836728226008</x:v>
      </x:c>
      <x:c r="AP57" s="40" t="n">
        <x:f>ABS(AN57)</x:f>
        <x:v>38.541092015405525</x:v>
      </x:c>
      <x:c r="AQ57" s="40" t="n">
        <x:f>IF(Inputs!$C$27="ON",Inputs!$C$46/Inputs!$C$12,0)</x:f>
        <x:v>42.13483146067416</x:v>
      </x:c>
      <x:c r="AR57" s="40" t="n">
        <x:f>AC57-AQ57</x:f>
        <x:v>1028.4225626649488</x:v>
      </x:c>
      <x:c r="AS57" s="40" t="n">
        <x:f>AC57+AQ57</x:f>
        <x:v>1112.6922255862971</x:v>
      </x:c>
    </x:row>
    <x:row r="58">
      <x:c r="A58" s="40" t="n">
        <x:f>Inputs!$C$7+56*(Inputs!$C$8-Inputs!$C$7)/240</x:f>
        <x:v>-32</x:v>
      </x:c>
      <x:c r="B58" s="40" t="n">
        <x:f>Inputs!$C$5+Inputs!$C$9*(A58/Inputs!$C$10)^2</x:f>
        <x:v>401.1377777777778</x:v>
      </x:c>
      <x:c r="C58" s="40" t="n">
        <x:f>B58</x:f>
        <x:v>401.1377777777778</x:v>
      </x:c>
      <x:c r="D58" s="40" t="n">
        <x:f>SQRT(A58^2+Inputs!$C$6^2+B58^2)</x:f>
        <x:v>403.1879422310318</x:v>
      </x:c>
      <x:c r="E58" s="40" t="n">
        <x:f>(D58-C58)*1000</x:f>
        <x:v>2050.1644532540126</x:v>
      </x:c>
      <x:c r="F58" s="40" t="n">
        <x:f>E58/Inputs!$C$12</x:f>
        <x:v>1151.7777827269733</x:v>
      </x:c>
      <x:c r="G58" s="40" t="n">
        <x:f>2*E58/Inputs!$C$21*1000000</x:f>
        <x:v>13.677225017141778</x:v>
      </x:c>
      <x:c r="H58" s="40" t="n">
        <x:f>SQRT(A58^2+Inputs!$C$6^2)</x:f>
        <x:v>40.607881008493905</x:v>
      </x:c>
      <x:c r="I58" s="40" t="n">
        <x:f>DEGREES(ATAN(H58/B58))</x:f>
        <x:v>5.780460156082169</x:v>
      </x:c>
      <x:c r="J58" s="40" t="n">
        <x:f>DEGREES((2*PI()/Inputs!$C$13)*Inputs!$C$15*SIN(RADIANS(I58)))</x:f>
        <x:v>36.25812092039455</x:v>
      </x:c>
      <x:c r="K58" s="40" t="n">
        <x:f>(C58/D58)^4</x:f>
        <x:v>0.9798150697955003</x:v>
      </x:c>
      <x:c r="L58" s="40" t="n">
        <x:f>10*LOG10(K58)</x:f>
        <x:v>-0.0885588527293259</x:v>
      </x:c>
      <x:c r="M58" s="40" t="n">
        <x:f>2*(Inputs!$C$9/(Inputs!$C$10^2))*A58</x:f>
        <x:v>-0.07111111111111111</x:v>
      </x:c>
      <x:c r="N58" s="40" t="n">
        <x:f>M58*Inputs!$C$11</x:f>
        <x:v>-0.28444444444444444</x:v>
      </x:c>
      <x:c r="O58" s="40" t="n">
        <x:f>1000*((A58*Inputs!$C$11)+(B58*N58))/D58</x:f>
        <x:v>-600.4678885137687</x:v>
      </x:c>
      <x:c r="P58" s="40" t="n">
        <x:f>-2*O58/Inputs!$C$13</x:f>
        <x:v>240.18715540550747</x:v>
      </x:c>
      <x:c r="Q58" s="40" t="n">
        <x:f>-2*O58/Inputs!$C$14</x:f>
        <x:v>36.0641374482744</x:v>
      </x:c>
      <x:c r="R58" s="40" t="n">
        <x:f>F58-Inputs!$C$16/2</x:f>
        <x:v>1136.7777827269733</x:v>
      </x:c>
      <x:c r="S58" s="40" t="n">
        <x:f>F58+Inputs!$C$16/2</x:f>
        <x:v>1166.7777827269733</x:v>
      </x:c>
      <x:c r="T58" s="40" t="n">
        <x:f>F58-Inputs!$C$17/2</x:f>
        <x:v>1001.7777827269733</x:v>
      </x:c>
      <x:c r="U58" s="40" t="n">
        <x:f>F58+Inputs!$C$17/2</x:f>
        <x:v>1301.7777827269733</x:v>
      </x:c>
      <x:c r="V58" s="40" t="n">
        <x:f>ABS(P58)</x:f>
        <x:v>240.18715540550747</x:v>
      </x:c>
      <x:c r="W58" s="40" t="n">
        <x:f>ABS(Q58)</x:f>
        <x:v>36.0641374482744</x:v>
      </x:c>
      <x:c r="X58" s="40" t="n">
        <x:f>IF(Inputs!$C$27="ON",1,0)*(Inputs!$C$28*EXP(-(((A58)-Inputs!$C$29)^2)/(2*Inputs!$C$31^2))*EXP(-(((0)-Inputs!$C$30)^2)/(2*Inputs!$C$32^2))+-Inputs!$C$33*EXP(-(((((A58)-Inputs!$C$34)^2)+(((0)-Inputs!$C$35)^2))/(2*Inputs!$C$36^2)))+Inputs!$C$37*(0.55*SIN(2*PI()*(A58)/Inputs!$C$39)+0.35*COS(2*PI()*(0)/Inputs!$C$40)+0.2*SIN(2*PI()*((A58)+(0))/(0.5*(Inputs!$C$39+Inputs!$C$40))))+Inputs!$C$38*SIN(2*PI()*(A58)/Inputs!$C$39)*SIN(2*PI()*(0)/Inputs!$C$40)+-Inputs!$C$41*EXP(-(((0)-Inputs!$C$43)^2)/(2*Inputs!$C$44^2))*EXP(-(((A58)-Inputs!$C$42)^2)/(2*Inputs!$C$45^2)))</x:f>
        <x:v>21.239416968730204</x:v>
      </x:c>
      <x:c r="Y58" s="40" t="n">
        <x:f>IF(Inputs!$C$27="ON",1,0)*(Inputs!$C$28*EXP(-(((A58)-Inputs!$C$29)^2)/(2*Inputs!$C$31^2))*EXP(-(((Inputs!$C$6)-Inputs!$C$30)^2)/(2*Inputs!$C$32^2))+-Inputs!$C$33*EXP(-(((((A58)-Inputs!$C$34)^2)+(((Inputs!$C$6)-Inputs!$C$35)^2))/(2*Inputs!$C$36^2)))+Inputs!$C$37*(0.55*SIN(2*PI()*(A58)/Inputs!$C$39)+0.35*COS(2*PI()*(Inputs!$C$6)/Inputs!$C$40)+0.2*SIN(2*PI()*((A58)+(Inputs!$C$6))/(0.5*(Inputs!$C$39+Inputs!$C$40))))+Inputs!$C$38*SIN(2*PI()*(A58)/Inputs!$C$39)*SIN(2*PI()*(Inputs!$C$6)/Inputs!$C$40)+-Inputs!$C$41*EXP(-(((Inputs!$C$6)-Inputs!$C$43)^2)/(2*Inputs!$C$44^2))*EXP(-(((A58)-Inputs!$C$42)^2)/(2*Inputs!$C$45^2)))</x:f>
        <x:v>209.25851735196042</x:v>
      </x:c>
      <x:c r="Z58" s="40" t="n">
        <x:f>B58-X58/1000</x:f>
        <x:v>401.11653836080905</x:v>
      </x:c>
      <x:c r="AA58" s="40" t="n">
        <x:f>SQRT(A58^2+Inputs!$C$6^2+(B58-Y58/1000)^2)</x:f>
        <x:v>402.9797483203811</x:v>
      </x:c>
      <x:c r="AB58" s="40" t="n">
        <x:f>(AA58-Z58)*1000</x:f>
        <x:v>1863.209959572032</x:v>
      </x:c>
      <x:c r="AC58" s="40" t="n">
        <x:f>AB58/Inputs!$C$12</x:f>
        <x:v>1046.7471682988944</x:v>
      </x:c>
      <x:c r="AD58" s="40" t="n">
        <x:f>2*AB58/Inputs!$C$21*1000000</x:f>
        <x:v>12.429998886576607</x:v>
      </x:c>
      <x:c r="AE58" s="40" t="n">
        <x:f>DEGREES(ATAN(H58/(B58-Y58/1000)))</x:f>
        <x:v>5.7834567324312225</x:v>
      </x:c>
      <x:c r="AF58" s="40" t="n">
        <x:f>DEGREES((2*PI()/Inputs!$C$13)*Inputs!$C$15*SIN(RADIANS(AE58)))</x:f>
        <x:v>36.27685317683852</x:v>
      </x:c>
      <x:c r="AG58" s="40" t="n">
        <x:f>(Z58/AA58)^4</x:f>
        <x:v>0.981633541678949</x:v>
      </x:c>
      <x:c r="AH58" s="40" t="n">
        <x:f>10*LOG10(AG58)</x:f>
        <x:v>-0.0805061051209602</x:v>
      </x:c>
      <x:c r="AI58" s="40" t="n">
        <x:f>AC58-F58</x:f>
        <x:v>-105.03061442807893</x:v>
      </x:c>
      <x:c r="AJ58" s="40" t="n">
        <x:f>AD58-G58</x:f>
        <x:v>-1.2472261305651706</x:v>
      </x:c>
      <x:c r="AK58" s="40" t="n">
        <x:f>Y58-X58</x:f>
        <x:v>188.0191003832302</x:v>
      </x:c>
      <x:c r="AL58" s="40" t="n">
        <x:f>1000*(AA59-AA57)/(A59-A57)*Inputs!$C$11</x:f>
        <x:v>-620.6322673212981</x:v>
      </x:c>
      <x:c r="AM58" s="40" t="n">
        <x:f>-2*AL58/Inputs!$C$13</x:f>
        <x:v>248.25290692851922</x:v>
      </x:c>
      <x:c r="AN58" s="40" t="n">
        <x:f>-2*AL58/Inputs!$C$14</x:f>
        <x:v>37.275211250528415</x:v>
      </x:c>
      <x:c r="AO58" s="40" t="n">
        <x:f>ABS(AM58)</x:f>
        <x:v>248.25290692851922</x:v>
      </x:c>
      <x:c r="AP58" s="40" t="n">
        <x:f>ABS(AN58)</x:f>
        <x:v>37.275211250528415</x:v>
      </x:c>
      <x:c r="AQ58" s="40" t="n">
        <x:f>IF(Inputs!$C$27="ON",Inputs!$C$46/Inputs!$C$12,0)</x:f>
        <x:v>42.13483146067416</x:v>
      </x:c>
      <x:c r="AR58" s="40" t="n">
        <x:f>AC58-AQ58</x:f>
        <x:v>1004.6123368382202</x:v>
      </x:c>
      <x:c r="AS58" s="40" t="n">
        <x:f>AC58+AQ58</x:f>
        <x:v>1088.8819997595685</x:v>
      </x:c>
    </x:row>
    <x:row r="59">
      <x:c r="A59" s="40" t="n">
        <x:f>Inputs!$C$7+57*(Inputs!$C$8-Inputs!$C$7)/240</x:f>
        <x:v>-31.5</x:v>
      </x:c>
      <x:c r="B59" s="40" t="n">
        <x:f>Inputs!$C$5+Inputs!$C$9*(A59/Inputs!$C$10)^2</x:f>
        <x:v>401.1025</x:v>
      </x:c>
      <x:c r="C59" s="40" t="n">
        <x:f>B59</x:f>
        <x:v>401.1025</x:v>
      </x:c>
      <x:c r="D59" s="40" t="n">
        <x:f>SQRT(A59^2+Inputs!$C$6^2+B59^2)</x:f>
        <x:v>403.11346480395565</x:v>
      </x:c>
      <x:c r="E59" s="40" t="n">
        <x:f>(D59-C59)*1000</x:f>
        <x:v>2010.9648039556305</x:v>
      </x:c>
      <x:c r="F59" s="40" t="n">
        <x:f>E59/Inputs!$C$12</x:f>
        <x:v>1129.7555078402418</x:v>
      </x:c>
      <x:c r="G59" s="40" t="n">
        <x:f>2*E59/Inputs!$C$21*1000000</x:f>
        <x:v>13.415713106135783</x:v>
      </x:c>
      <x:c r="H59" s="40" t="n">
        <x:f>SQRT(A59^2+Inputs!$C$6^2)</x:f>
        <x:v>40.21504693519579</x:v>
      </x:c>
      <x:c r="I59" s="40" t="n">
        <x:f>DEGREES(ATAN(H59/B59))</x:f>
        <x:v>5.725414332711808</x:v>
      </x:c>
      <x:c r="J59" s="40" t="n">
        <x:f>DEGREES((2*PI()/Inputs!$C$13)*Inputs!$C$15*SIN(RADIANS(I59)))</x:f>
        <x:v>35.91399980576492</x:v>
      </x:c>
      <x:c r="K59" s="40" t="n">
        <x:f>(C59/D59)^4</x:f>
        <x:v>0.9801944894959806</x:v>
      </x:c>
      <x:c r="L59" s="40" t="n">
        <x:f>10*LOG10(K59)</x:f>
        <x:v>-0.0868774335390861</x:v>
      </x:c>
      <x:c r="M59" s="40" t="n">
        <x:f>2*(Inputs!$C$9/(Inputs!$C$10^2))*A59</x:f>
        <x:v>-0.07</x:v>
      </x:c>
      <x:c r="N59" s="40" t="n">
        <x:f>M59*Inputs!$C$11</x:f>
        <x:v>-0.28</x:v>
      </x:c>
      <x:c r="O59" s="40" t="n">
        <x:f>1000*((A59*Inputs!$C$11)+(B59*N59))/D59</x:f>
        <x:v>-591.1702803474839</x:v>
      </x:c>
      <x:c r="P59" s="40" t="n">
        <x:f>-2*O59/Inputs!$C$13</x:f>
        <x:v>236.46811213899355</x:v>
      </x:c>
      <x:c r="Q59" s="40" t="n">
        <x:f>-2*O59/Inputs!$C$14</x:f>
        <x:v>35.50572254339243</x:v>
      </x:c>
      <x:c r="R59" s="40" t="n">
        <x:f>F59-Inputs!$C$16/2</x:f>
        <x:v>1114.7555078402418</x:v>
      </x:c>
      <x:c r="S59" s="40" t="n">
        <x:f>F59+Inputs!$C$16/2</x:f>
        <x:v>1144.7555078402418</x:v>
      </x:c>
      <x:c r="T59" s="40" t="n">
        <x:f>F59-Inputs!$C$17/2</x:f>
        <x:v>979.7555078402418</x:v>
      </x:c>
      <x:c r="U59" s="40" t="n">
        <x:f>F59+Inputs!$C$17/2</x:f>
        <x:v>1279.7555078402418</x:v>
      </x:c>
      <x:c r="V59" s="40" t="n">
        <x:f>ABS(P59)</x:f>
        <x:v>236.46811213899355</x:v>
      </x:c>
      <x:c r="W59" s="40" t="n">
        <x:f>ABS(Q59)</x:f>
        <x:v>35.50572254339243</x:v>
      </x:c>
      <x:c r="X59" s="40" t="n">
        <x:f>IF(Inputs!$C$27="ON",1,0)*(Inputs!$C$28*EXP(-(((A59)-Inputs!$C$29)^2)/(2*Inputs!$C$31^2))*EXP(-(((0)-Inputs!$C$30)^2)/(2*Inputs!$C$32^2))+-Inputs!$C$33*EXP(-(((((A59)-Inputs!$C$34)^2)+(((0)-Inputs!$C$35)^2))/(2*Inputs!$C$36^2)))+Inputs!$C$37*(0.55*SIN(2*PI()*(A59)/Inputs!$C$39)+0.35*COS(2*PI()*(0)/Inputs!$C$40)+0.2*SIN(2*PI()*((A59)+(0))/(0.5*(Inputs!$C$39+Inputs!$C$40))))+Inputs!$C$38*SIN(2*PI()*(A59)/Inputs!$C$39)*SIN(2*PI()*(0)/Inputs!$C$40)+-Inputs!$C$41*EXP(-(((0)-Inputs!$C$43)^2)/(2*Inputs!$C$44^2))*EXP(-(((A59)-Inputs!$C$42)^2)/(2*Inputs!$C$45^2)))</x:f>
        <x:v>21.07205493178826</x:v>
      </x:c>
      <x:c r="Y59" s="40" t="n">
        <x:f>IF(Inputs!$C$27="ON",1,0)*(Inputs!$C$28*EXP(-(((A59)-Inputs!$C$29)^2)/(2*Inputs!$C$31^2))*EXP(-(((Inputs!$C$6)-Inputs!$C$30)^2)/(2*Inputs!$C$32^2))+-Inputs!$C$33*EXP(-(((((A59)-Inputs!$C$34)^2)+(((Inputs!$C$6)-Inputs!$C$35)^2))/(2*Inputs!$C$36^2)))+Inputs!$C$37*(0.55*SIN(2*PI()*(A59)/Inputs!$C$39)+0.35*COS(2*PI()*(Inputs!$C$6)/Inputs!$C$40)+0.2*SIN(2*PI()*((A59)+(Inputs!$C$6))/(0.5*(Inputs!$C$39+Inputs!$C$40))))+Inputs!$C$38*SIN(2*PI()*(A59)/Inputs!$C$39)*SIN(2*PI()*(Inputs!$C$6)/Inputs!$C$40)+-Inputs!$C$41*EXP(-(((Inputs!$C$6)-Inputs!$C$43)^2)/(2*Inputs!$C$44^2))*EXP(-(((A59)-Inputs!$C$42)^2)/(2*Inputs!$C$45^2)))</x:f>
        <x:v>211.04196378675329</x:v>
      </x:c>
      <x:c r="Z59" s="40" t="n">
        <x:f>B59-X59/1000</x:f>
        <x:v>401.08142794506824</x:v>
      </x:c>
      <x:c r="AA59" s="40" t="n">
        <x:f>SQRT(A59^2+Inputs!$C$6^2+(B59-Y59/1000)^2)</x:f>
        <x:v>402.9034761905151</x:v>
      </x:c>
      <x:c r="AB59" s="40" t="n">
        <x:f>(AA59-Z59)*1000</x:f>
        <x:v>1822.0482454468652</x:v>
      </x:c>
      <x:c r="AC59" s="40" t="n">
        <x:f>AB59/Inputs!$C$12</x:f>
        <x:v>1023.6226098016097</x:v>
      </x:c>
      <x:c r="AD59" s="40" t="n">
        <x:f>2*AB59/Inputs!$C$21*1000000</x:f>
        <x:v>12.15539748799728</x:v>
      </x:c>
      <x:c r="AE59" s="40" t="n">
        <x:f>DEGREES(ATAN(H59/(B59-Y59/1000)))</x:f>
        <x:v>5.728408332138108</x:v>
      </x:c>
      <x:c r="AF59" s="40" t="n">
        <x:f>DEGREES((2*PI()/Inputs!$C$13)*Inputs!$C$15*SIN(RADIANS(AE59)))</x:f>
        <x:v>35.932717765445034</x:v>
      </x:c>
      <x:c r="AG59" s="40" t="n">
        <x:f>(Z59/AA59)^4</x:f>
        <x:v>0.9820331586633182</x:v>
      </x:c>
      <x:c r="AH59" s="40" t="n">
        <x:f>10*LOG10(AG59)</x:f>
        <x:v>-0.0787384787355664</x:v>
      </x:c>
      <x:c r="AI59" s="40" t="n">
        <x:f>AC59-F59</x:f>
        <x:v>-106.1328980386321</x:v>
      </x:c>
      <x:c r="AJ59" s="40" t="n">
        <x:f>AD59-G59</x:f>
        <x:v>-1.2603156181385025</x:v>
      </x:c>
      <x:c r="AK59" s="40" t="n">
        <x:f>Y59-X59</x:f>
        <x:v>189.969908854965</x:v>
      </x:c>
      <x:c r="AL59" s="40" t="n">
        <x:f>1000*(AA60-AA58)/(A60-A58)*Inputs!$C$11</x:f>
        <x:v>-600.0615687378286</x:v>
      </x:c>
      <x:c r="AM59" s="40" t="n">
        <x:f>-2*AL59/Inputs!$C$13</x:f>
        <x:v>240.02462749513143</x:v>
      </x:c>
      <x:c r="AN59" s="40" t="n">
        <x:f>-2*AL59/Inputs!$C$14</x:f>
        <x:v>36.039733858127846</x:v>
      </x:c>
      <x:c r="AO59" s="40" t="n">
        <x:f>ABS(AM59)</x:f>
        <x:v>240.02462749513143</x:v>
      </x:c>
      <x:c r="AP59" s="40" t="n">
        <x:f>ABS(AN59)</x:f>
        <x:v>36.039733858127846</x:v>
      </x:c>
      <x:c r="AQ59" s="40" t="n">
        <x:f>IF(Inputs!$C$27="ON",Inputs!$C$46/Inputs!$C$12,0)</x:f>
        <x:v>42.13483146067416</x:v>
      </x:c>
      <x:c r="AR59" s="40" t="n">
        <x:f>AC59-AQ59</x:f>
        <x:v>981.4877783409355</x:v>
      </x:c>
      <x:c r="AS59" s="40" t="n">
        <x:f>AC59+AQ59</x:f>
        <x:v>1065.757441262284</x:v>
      </x:c>
    </x:row>
    <x:row r="60">
      <x:c r="A60" s="40" t="n">
        <x:f>Inputs!$C$7+58*(Inputs!$C$8-Inputs!$C$7)/240</x:f>
        <x:v>-31</x:v>
      </x:c>
      <x:c r="B60" s="40" t="n">
        <x:f>Inputs!$C$5+Inputs!$C$9*(A60/Inputs!$C$10)^2</x:f>
        <x:v>401.0677777777778</x:v>
      </x:c>
      <x:c r="C60" s="40" t="n">
        <x:f>B60</x:f>
        <x:v>401.0677777777778</x:v>
      </x:c>
      <x:c r="D60" s="40" t="n">
        <x:f>SQRT(A60^2+Inputs!$C$6^2+B60^2)</x:f>
        <x:v>403.040149825802</x:v>
      </x:c>
      <x:c r="E60" s="40" t="n">
        <x:f>(D60-C60)*1000</x:f>
        <x:v>1972.3720480242264</x:v>
      </x:c>
      <x:c r="F60" s="40" t="n">
        <x:f>E60/Inputs!$C$12</x:f>
        <x:v>1108.0741842832733</x:v>
      </x:c>
      <x:c r="G60" s="40" t="n">
        <x:f>2*E60/Inputs!$C$21*1000000</x:f>
        <x:v>13.158249951866544</x:v>
      </x:c>
      <x:c r="H60" s="40" t="n">
        <x:f>SQRT(A60^2+Inputs!$C$6^2)</x:f>
        <x:v>39.824615503479755</x:v>
      </x:c>
      <x:c r="I60" s="40" t="n">
        <x:f>DEGREES(ATAN(H60/B60))</x:f>
        <x:v>5.670680298867937</x:v>
      </x:c>
      <x:c r="J60" s="40" t="n">
        <x:f>DEGREES((2*PI()/Inputs!$C$13)*Inputs!$C$15*SIN(RADIANS(I60)))</x:f>
        <x:v>35.57179498729654</x:v>
      </x:c>
      <x:c r="K60" s="40" t="n">
        <x:f>(C60/D60)^4</x:f>
        <x:v>0.9805682801090831</x:v>
      </x:c>
      <x:c r="L60" s="40" t="n">
        <x:f>10*LOG10(K60)</x:f>
        <x:v>-0.0852215962788054</x:v>
      </x:c>
      <x:c r="M60" s="40" t="n">
        <x:f>2*(Inputs!$C$9/(Inputs!$C$10^2))*A60</x:f>
        <x:v>-0.06888888888888889</x:v>
      </x:c>
      <x:c r="N60" s="40" t="n">
        <x:f>M60*Inputs!$C$11</x:f>
        <x:v>-0.27555555555555555</x:v>
      </x:c>
      <x:c r="O60" s="40" t="n">
        <x:f>1000*((A60*Inputs!$C$11)+(B60*N60))/D60</x:f>
        <x:v>-581.8687156164169</x:v>
      </x:c>
      <x:c r="P60" s="40" t="n">
        <x:f>-2*O60/Inputs!$C$13</x:f>
        <x:v>232.74748624656678</x:v>
      </x:c>
      <x:c r="Q60" s="40" t="n">
        <x:f>-2*O60/Inputs!$C$14</x:f>
        <x:v>34.94707000699201</x:v>
      </x:c>
      <x:c r="R60" s="40" t="n">
        <x:f>F60-Inputs!$C$16/2</x:f>
        <x:v>1093.0741842832733</x:v>
      </x:c>
      <x:c r="S60" s="40" t="n">
        <x:f>F60+Inputs!$C$16/2</x:f>
        <x:v>1123.0741842832733</x:v>
      </x:c>
      <x:c r="T60" s="40" t="n">
        <x:f>F60-Inputs!$C$17/2</x:f>
        <x:v>958.0741842832733</x:v>
      </x:c>
      <x:c r="U60" s="40" t="n">
        <x:f>F60+Inputs!$C$17/2</x:f>
        <x:v>1258.0741842832733</x:v>
      </x:c>
      <x:c r="V60" s="40" t="n">
        <x:f>ABS(P60)</x:f>
        <x:v>232.74748624656678</x:v>
      </x:c>
      <x:c r="W60" s="40" t="n">
        <x:f>ABS(Q60)</x:f>
        <x:v>34.94707000699201</x:v>
      </x:c>
      <x:c r="X60" s="40" t="n">
        <x:f>IF(Inputs!$C$27="ON",1,0)*(Inputs!$C$28*EXP(-(((A60)-Inputs!$C$29)^2)/(2*Inputs!$C$31^2))*EXP(-(((0)-Inputs!$C$30)^2)/(2*Inputs!$C$32^2))+-Inputs!$C$33*EXP(-(((((A60)-Inputs!$C$34)^2)+(((0)-Inputs!$C$35)^2))/(2*Inputs!$C$36^2)))+Inputs!$C$37*(0.55*SIN(2*PI()*(A60)/Inputs!$C$39)+0.35*COS(2*PI()*(0)/Inputs!$C$40)+0.2*SIN(2*PI()*((A60)+(0))/(0.5*(Inputs!$C$39+Inputs!$C$40))))+Inputs!$C$38*SIN(2*PI()*(A60)/Inputs!$C$39)*SIN(2*PI()*(0)/Inputs!$C$40)+-Inputs!$C$41*EXP(-(((0)-Inputs!$C$43)^2)/(2*Inputs!$C$44^2))*EXP(-(((A60)-Inputs!$C$42)^2)/(2*Inputs!$C$45^2)))</x:f>
        <x:v>19.962682176885743</x:v>
      </x:c>
      <x:c r="Y60" s="40" t="n">
        <x:f>IF(Inputs!$C$27="ON",1,0)*(Inputs!$C$28*EXP(-(((A60)-Inputs!$C$29)^2)/(2*Inputs!$C$31^2))*EXP(-(((Inputs!$C$6)-Inputs!$C$30)^2)/(2*Inputs!$C$32^2))+-Inputs!$C$33*EXP(-(((((A60)-Inputs!$C$34)^2)+(((Inputs!$C$6)-Inputs!$C$35)^2))/(2*Inputs!$C$36^2)))+Inputs!$C$37*(0.55*SIN(2*PI()*(A60)/Inputs!$C$39)+0.35*COS(2*PI()*(Inputs!$C$6)/Inputs!$C$40)+0.2*SIN(2*PI()*((A60)+(Inputs!$C$6))/(0.5*(Inputs!$C$39+Inputs!$C$40))))+Inputs!$C$38*SIN(2*PI()*(A60)/Inputs!$C$39)*SIN(2*PI()*(Inputs!$C$6)/Inputs!$C$40)+-Inputs!$C$41*EXP(-(((Inputs!$C$6)-Inputs!$C$43)^2)/(2*Inputs!$C$44^2))*EXP(-(((A60)-Inputs!$C$42)^2)/(2*Inputs!$C$45^2)))</x:f>
        <x:v>211.45223082792285</x:v>
      </x:c>
      <x:c r="Z60" s="40" t="n">
        <x:f>B60-X60/1000</x:f>
        <x:v>401.0478150956009</x:v>
      </x:c>
      <x:c r="AA60" s="40" t="n">
        <x:f>SQRT(A60^2+Inputs!$C$6^2+(B60-Y60/1000)^2)</x:f>
        <x:v>402.8297329281966</x:v>
      </x:c>
      <x:c r="AB60" s="40" t="n">
        <x:f>(AA60-Z60)*1000</x:f>
        <x:v>1781.9178325956955</x:v>
      </x:c>
      <x:c r="AC60" s="40" t="n">
        <x:f>AB60/Inputs!$C$12</x:f>
        <x:v>1001.0774340425255</x:v>
      </x:c>
      <x:c r="AD60" s="40" t="n">
        <x:f>2*AB60/Inputs!$C$21*1000000</x:f>
        <x:v>11.887676190944706</x:v>
      </x:c>
      <x:c r="AE60" s="40" t="n">
        <x:f>DEGREES(ATAN(H60/(B60-Y60/1000)))</x:f>
        <x:v>5.673652078935185</x:v>
      </x:c>
      <x:c r="AF60" s="40" t="n">
        <x:f>DEGREES((2*PI()/Inputs!$C$13)*Inputs!$C$15*SIN(RADIANS(AE60)))</x:f>
        <x:v>35.59037580726004</x:v>
      </x:c>
      <x:c r="AG60" s="40" t="n">
        <x:f>(Z60/AA60)^4</x:f>
        <x:v>0.9824230532843016</x:v>
      </x:c>
      <x:c r="AH60" s="40" t="n">
        <x:f>10*LOG10(AG60)</x:f>
        <x:v>-0.0770145504177917</x:v>
      </x:c>
      <x:c r="AI60" s="40" t="n">
        <x:f>AC60-F60</x:f>
        <x:v>-106.99675024074782</x:v>
      </x:c>
      <x:c r="AJ60" s="40" t="n">
        <x:f>AD60-G60</x:f>
        <x:v>-1.2705737609218382</x:v>
      </x:c>
      <x:c r="AK60" s="40" t="n">
        <x:f>Y60-X60</x:f>
        <x:v>191.4895486510371</x:v>
      </x:c>
      <x:c r="AL60" s="40" t="n">
        <x:f>1000*(AA61-AA59)/(A61-A59)*Inputs!$C$11</x:f>
        <x:v>-580.3272493199074</x:v>
      </x:c>
      <x:c r="AM60" s="40" t="n">
        <x:f>-2*AL60/Inputs!$C$13</x:f>
        <x:v>232.13089972796297</x:v>
      </x:c>
      <x:c r="AN60" s="40" t="n">
        <x:f>-2*AL60/Inputs!$C$14</x:f>
        <x:v>34.85448944864309</x:v>
      </x:c>
      <x:c r="AO60" s="40" t="n">
        <x:f>ABS(AM60)</x:f>
        <x:v>232.13089972796297</x:v>
      </x:c>
      <x:c r="AP60" s="40" t="n">
        <x:f>ABS(AN60)</x:f>
        <x:v>34.85448944864309</x:v>
      </x:c>
      <x:c r="AQ60" s="40" t="n">
        <x:f>IF(Inputs!$C$27="ON",Inputs!$C$46/Inputs!$C$12,0)</x:f>
        <x:v>42.13483146067416</x:v>
      </x:c>
      <x:c r="AR60" s="40" t="n">
        <x:f>AC60-AQ60</x:f>
        <x:v>958.9426025818514</x:v>
      </x:c>
      <x:c r="AS60" s="40" t="n">
        <x:f>AC60+AQ60</x:f>
        <x:v>1043.2122655031997</x:v>
      </x:c>
    </x:row>
    <x:row r="61">
      <x:c r="A61" s="40" t="n">
        <x:f>Inputs!$C$7+59*(Inputs!$C$8-Inputs!$C$7)/240</x:f>
        <x:v>-30.5</x:v>
      </x:c>
      <x:c r="B61" s="40" t="n">
        <x:f>Inputs!$C$5+Inputs!$C$9*(A61/Inputs!$C$10)^2</x:f>
        <x:v>401.0336111111111</x:v>
      </x:c>
      <x:c r="C61" s="40" t="n">
        <x:f>B61</x:f>
        <x:v>401.0336111111111</x:v>
      </x:c>
      <x:c r="D61" s="40" t="n">
        <x:f>SQRT(A61^2+Inputs!$C$6^2+B61^2)</x:f>
        <x:v>402.9679977874396</x:v>
      </x:c>
      <x:c r="E61" s="40" t="n">
        <x:f>(D61-C61)*1000</x:f>
        <x:v>1934.3866763284723</x:v>
      </x:c>
      <x:c r="F61" s="40" t="n">
        <x:f>E61/Inputs!$C$12</x:f>
        <x:v>1086.7340878249845</x:v>
      </x:c>
      <x:c r="G61" s="40" t="n">
        <x:f>2*E61/Inputs!$C$21*1000000</x:f>
        <x:v>12.904838829057349</x:v>
      </x:c>
      <x:c r="H61" s="40" t="n">
        <x:f>SQRT(A61^2+Inputs!$C$6^2)</x:f>
        <x:v>39.436658073421995</x:v>
      </x:c>
      <x:c r="I61" s="40" t="n">
        <x:f>DEGREES(ATAN(H61/B61))</x:f>
        <x:v>5.616268744710343</x:v>
      </x:c>
      <x:c r="J61" s="40" t="n">
        <x:f>DEGREES((2*PI()/Inputs!$C$13)*Inputs!$C$15*SIN(RADIANS(I61)))</x:f>
        <x:v>35.23157418054016</x:v>
      </x:c>
      <x:c r="K61" s="40" t="n">
        <x:f>(C61/D61)^4</x:f>
        <x:v>0.9809364255831229</x:v>
      </x:c>
      <x:c r="L61" s="40" t="n">
        <x:f>10*LOG10(K61)</x:f>
        <x:v>-0.0835913830111392</x:v>
      </x:c>
      <x:c r="M61" s="40" t="n">
        <x:f>2*(Inputs!$C$9/(Inputs!$C$10^2))*A61</x:f>
        <x:v>-0.06777777777777778</x:v>
      </x:c>
      <x:c r="N61" s="40" t="n">
        <x:f>M61*Inputs!$C$11</x:f>
        <x:v>-0.27111111111111114</x:v>
      </x:c>
      <x:c r="O61" s="40" t="n">
        <x:f>1000*((A61*Inputs!$C$11)+(B61*N61))/D61</x:f>
        <x:v>-572.5632535786101</x:v>
      </x:c>
      <x:c r="P61" s="40" t="n">
        <x:f>-2*O61/Inputs!$C$13</x:f>
        <x:v>229.02530143144403</x:v>
      </x:c>
      <x:c r="Q61" s="40" t="n">
        <x:f>-2*O61/Inputs!$C$14</x:f>
        <x:v>34.38818339811473</x:v>
      </x:c>
      <x:c r="R61" s="40" t="n">
        <x:f>F61-Inputs!$C$16/2</x:f>
        <x:v>1071.7340878249845</x:v>
      </x:c>
      <x:c r="S61" s="40" t="n">
        <x:f>F61+Inputs!$C$16/2</x:f>
        <x:v>1101.7340878249845</x:v>
      </x:c>
      <x:c r="T61" s="40" t="n">
        <x:f>F61-Inputs!$C$17/2</x:f>
        <x:v>936.7340878249845</x:v>
      </x:c>
      <x:c r="U61" s="40" t="n">
        <x:f>F61+Inputs!$C$17/2</x:f>
        <x:v>1236.7340878249845</x:v>
      </x:c>
      <x:c r="V61" s="40" t="n">
        <x:f>ABS(P61)</x:f>
        <x:v>229.02530143144403</x:v>
      </x:c>
      <x:c r="W61" s="40" t="n">
        <x:f>ABS(Q61)</x:f>
        <x:v>34.38818339811473</x:v>
      </x:c>
      <x:c r="X61" s="40" t="n">
        <x:f>IF(Inputs!$C$27="ON",1,0)*(Inputs!$C$28*EXP(-(((A61)-Inputs!$C$29)^2)/(2*Inputs!$C$31^2))*EXP(-(((0)-Inputs!$C$30)^2)/(2*Inputs!$C$32^2))+-Inputs!$C$33*EXP(-(((((A61)-Inputs!$C$34)^2)+(((0)-Inputs!$C$35)^2))/(2*Inputs!$C$36^2)))+Inputs!$C$37*(0.55*SIN(2*PI()*(A61)/Inputs!$C$39)+0.35*COS(2*PI()*(0)/Inputs!$C$40)+0.2*SIN(2*PI()*((A61)+(0))/(0.5*(Inputs!$C$39+Inputs!$C$40))))+Inputs!$C$38*SIN(2*PI()*(A61)/Inputs!$C$39)*SIN(2*PI()*(0)/Inputs!$C$40)+-Inputs!$C$41*EXP(-(((0)-Inputs!$C$43)^2)/(2*Inputs!$C$44^2))*EXP(-(((A61)-Inputs!$C$42)^2)/(2*Inputs!$C$45^2)))</x:f>
        <x:v>17.827855145550924</x:v>
      </x:c>
      <x:c r="Y61" s="40" t="n">
        <x:f>IF(Inputs!$C$27="ON",1,0)*(Inputs!$C$28*EXP(-(((A61)-Inputs!$C$29)^2)/(2*Inputs!$C$31^2))*EXP(-(((Inputs!$C$6)-Inputs!$C$30)^2)/(2*Inputs!$C$32^2))+-Inputs!$C$33*EXP(-(((((A61)-Inputs!$C$34)^2)+(((Inputs!$C$6)-Inputs!$C$35)^2))/(2*Inputs!$C$36^2)))+Inputs!$C$37*(0.55*SIN(2*PI()*(A61)/Inputs!$C$39)+0.35*COS(2*PI()*(Inputs!$C$6)/Inputs!$C$40)+0.2*SIN(2*PI()*((A61)+(Inputs!$C$6))/(0.5*(Inputs!$C$39+Inputs!$C$40))))+Inputs!$C$38*SIN(2*PI()*(A61)/Inputs!$C$39)*SIN(2*PI()*(Inputs!$C$6)/Inputs!$C$40)+-Inputs!$C$41*EXP(-(((Inputs!$C$6)-Inputs!$C$43)^2)/(2*Inputs!$C$44^2))*EXP(-(((A61)-Inputs!$C$42)^2)/(2*Inputs!$C$45^2)))</x:f>
        <x:v>210.61496182111875</x:v>
      </x:c>
      <x:c r="Z61" s="40" t="n">
        <x:f>B61-X61/1000</x:f>
        <x:v>401.0157832559656</x:v>
      </x:c>
      <x:c r="AA61" s="40" t="n">
        <x:f>SQRT(A61^2+Inputs!$C$6^2+(B61-Y61/1000)^2)</x:f>
        <x:v>402.75839437818513</x:v>
      </x:c>
      <x:c r="AB61" s="40" t="n">
        <x:f>(AA61-Z61)*1000</x:f>
        <x:v>1742.6111222195573</x:v>
      </x:c>
      <x:c r="AC61" s="40" t="n">
        <x:f>AB61/Inputs!$C$12</x:f>
        <x:v>978.9950124828973</x:v>
      </x:c>
      <x:c r="AD61" s="40" t="n">
        <x:f>2*AB61/Inputs!$C$21*1000000</x:f>
        <x:v>11.625450045308058</x:v>
      </x:c>
      <x:c r="AE61" s="40" t="n">
        <x:f>DEGREES(ATAN(H61/(B61-Y61/1000)))</x:f>
        <x:v>5.61920096638022</x:v>
      </x:c>
      <x:c r="AF61" s="40" t="n">
        <x:f>DEGREES((2*PI()/Inputs!$C$13)*Inputs!$C$15*SIN(RADIANS(AE61)))</x:f>
        <x:v>35.24990938637254</x:v>
      </x:c>
      <x:c r="AG61" s="40" t="n">
        <x:f>(Z61/AA61)^4</x:f>
        <x:v>0.9828052338729903</x:v>
      </x:c>
      <x:c r="AH61" s="40" t="n">
        <x:f>10*LOG10(AG61)</x:f>
        <x:v>-0.0753253937540582</x:v>
      </x:c>
      <x:c r="AI61" s="40" t="n">
        <x:f>AC61-F61</x:f>
        <x:v>-107.73907534208718</x:v>
      </x:c>
      <x:c r="AJ61" s="40" t="n">
        <x:f>AD61-G61</x:f>
        <x:v>-1.2793887837492903</x:v>
      </x:c>
      <x:c r="AK61" s="40" t="n">
        <x:f>Y61-X61</x:f>
        <x:v>192.78710667556783</x:v>
      </x:c>
      <x:c r="AL61" s="40" t="n">
        <x:f>1000*(AA62-AA60)/(A62-A60)*Inputs!$C$11</x:f>
        <x:v>-561.722380043193</x:v>
      </x:c>
      <x:c r="AM61" s="40" t="n">
        <x:f>-2*AL61/Inputs!$C$13</x:f>
        <x:v>224.6889520172772</x:v>
      </x:c>
      <x:c r="AN61" s="40" t="n">
        <x:f>-2*AL61/Inputs!$C$14</x:f>
        <x:v>33.737079882474056</x:v>
      </x:c>
      <x:c r="AO61" s="40" t="n">
        <x:f>ABS(AM61)</x:f>
        <x:v>224.6889520172772</x:v>
      </x:c>
      <x:c r="AP61" s="40" t="n">
        <x:f>ABS(AN61)</x:f>
        <x:v>33.737079882474056</x:v>
      </x:c>
      <x:c r="AQ61" s="40" t="n">
        <x:f>IF(Inputs!$C$27="ON",Inputs!$C$46/Inputs!$C$12,0)</x:f>
        <x:v>42.13483146067416</x:v>
      </x:c>
      <x:c r="AR61" s="40" t="n">
        <x:f>AC61-AQ61</x:f>
        <x:v>936.8601810222232</x:v>
      </x:c>
      <x:c r="AS61" s="40" t="n">
        <x:f>AC61+AQ61</x:f>
        <x:v>1021.1298439435715</x:v>
      </x:c>
    </x:row>
    <x:row r="62">
      <x:c r="A62" s="40" t="n">
        <x:f>Inputs!$C$7+60*(Inputs!$C$8-Inputs!$C$7)/240</x:f>
        <x:v>-30</x:v>
      </x:c>
      <x:c r="B62" s="40" t="n">
        <x:f>Inputs!$C$5+Inputs!$C$9*(A62/Inputs!$C$10)^2</x:f>
        <x:v>401</x:v>
      </x:c>
      <x:c r="C62" s="40" t="n">
        <x:f>B62</x:f>
        <x:v>401</x:v>
      </x:c>
      <x:c r="D62" s="40" t="n">
        <x:f>SQRT(A62^2+Inputs!$C$6^2+B62^2)</x:f>
        <x:v>402.8970091723194</x:v>
      </x:c>
      <x:c r="E62" s="40" t="n">
        <x:f>(D62-C62)*1000</x:f>
        <x:v>1897.0091723193718</x:v>
      </x:c>
      <x:c r="F62" s="40" t="n">
        <x:f>E62/Inputs!$C$12</x:f>
        <x:v>1065.7354900670628</x:v>
      </x:c>
      <x:c r="G62" s="40" t="n">
        <x:f>2*E62/Inputs!$C$21*1000000</x:f>
        <x:v>12.655482962946131</x:v>
      </x:c>
      <x:c r="H62" s="40" t="n">
        <x:f>SQRT(A62^2+Inputs!$C$6^2)</x:f>
        <x:v>39.05124837953327</x:v>
      </x:c>
      <x:c r="I62" s="40" t="n">
        <x:f>DEGREES(ATAN(H62/B62))</x:f>
        <x:v>5.562190700603825</x:v>
      </x:c>
      <x:c r="J62" s="40" t="n">
        <x:f>DEGREES((2*PI()/Inputs!$C$13)*Inputs!$C$15*SIN(RADIANS(I62)))</x:f>
        <x:v>34.893407239514076</x:v>
      </x:c>
      <x:c r="K62" s="40" t="n">
        <x:f>(C62/D62)^4</x:f>
        <x:v>0.9812989100898379</x:v>
      </x:c>
      <x:c r="L62" s="40" t="n">
        <x:f>10*LOG10(K62)</x:f>
        <x:v>-0.08198683517764999</x:v>
      </x:c>
      <x:c r="M62" s="40" t="n">
        <x:f>2*(Inputs!$C$9/(Inputs!$C$10^2))*A62</x:f>
        <x:v>-0.06666666666666667</x:v>
      </x:c>
      <x:c r="N62" s="40" t="n">
        <x:f>M62*Inputs!$C$11</x:f>
        <x:v>-0.26666666666666666</x:v>
      </x:c>
      <x:c r="O62" s="40" t="n">
        <x:f>1000*((A62*Inputs!$C$11)+(B62*N62))/D62</x:f>
        <x:v>-563.2539536581016</x:v>
      </x:c>
      <x:c r="P62" s="40" t="n">
        <x:f>-2*O62/Inputs!$C$13</x:f>
        <x:v>225.30158146324067</x:v>
      </x:c>
      <x:c r="Q62" s="40" t="n">
        <x:f>-2*O62/Inputs!$C$14</x:f>
        <x:v>33.82906628577187</x:v>
      </x:c>
      <x:c r="R62" s="40" t="n">
        <x:f>F62-Inputs!$C$16/2</x:f>
        <x:v>1050.7354900670628</x:v>
      </x:c>
      <x:c r="S62" s="40" t="n">
        <x:f>F62+Inputs!$C$16/2</x:f>
        <x:v>1080.7354900670628</x:v>
      </x:c>
      <x:c r="T62" s="40" t="n">
        <x:f>F62-Inputs!$C$17/2</x:f>
        <x:v>915.7354900670628</x:v>
      </x:c>
      <x:c r="U62" s="40" t="n">
        <x:f>F62+Inputs!$C$17/2</x:f>
        <x:v>1215.7354900670628</x:v>
      </x:c>
      <x:c r="V62" s="40" t="n">
        <x:f>ABS(P62)</x:f>
        <x:v>225.30158146324067</x:v>
      </x:c>
      <x:c r="W62" s="40" t="n">
        <x:f>ABS(Q62)</x:f>
        <x:v>33.82906628577187</x:v>
      </x:c>
      <x:c r="X62" s="40" t="n">
        <x:f>IF(Inputs!$C$27="ON",1,0)*(Inputs!$C$28*EXP(-(((A62)-Inputs!$C$29)^2)/(2*Inputs!$C$31^2))*EXP(-(((0)-Inputs!$C$30)^2)/(2*Inputs!$C$32^2))+-Inputs!$C$33*EXP(-(((((A62)-Inputs!$C$34)^2)+(((0)-Inputs!$C$35)^2))/(2*Inputs!$C$36^2)))+Inputs!$C$37*(0.55*SIN(2*PI()*(A62)/Inputs!$C$39)+0.35*COS(2*PI()*(0)/Inputs!$C$40)+0.2*SIN(2*PI()*((A62)+(0))/(0.5*(Inputs!$C$39+Inputs!$C$40))))+Inputs!$C$38*SIN(2*PI()*(A62)/Inputs!$C$39)*SIN(2*PI()*(0)/Inputs!$C$40)+-Inputs!$C$41*EXP(-(((0)-Inputs!$C$43)^2)/(2*Inputs!$C$44^2))*EXP(-(((A62)-Inputs!$C$42)^2)/(2*Inputs!$C$45^2)))</x:f>
        <x:v>14.609141058939281</x:v>
      </x:c>
      <x:c r="Y62" s="40" t="n">
        <x:f>IF(Inputs!$C$27="ON",1,0)*(Inputs!$C$28*EXP(-(((A62)-Inputs!$C$29)^2)/(2*Inputs!$C$31^2))*EXP(-(((Inputs!$C$6)-Inputs!$C$30)^2)/(2*Inputs!$C$32^2))+-Inputs!$C$33*EXP(-(((((A62)-Inputs!$C$34)^2)+(((Inputs!$C$6)-Inputs!$C$35)^2))/(2*Inputs!$C$36^2)))+Inputs!$C$37*(0.55*SIN(2*PI()*(A62)/Inputs!$C$39)+0.35*COS(2*PI()*(Inputs!$C$6)/Inputs!$C$40)+0.2*SIN(2*PI()*((A62)+(Inputs!$C$6))/(0.5*(Inputs!$C$39+Inputs!$C$40))))+Inputs!$C$38*SIN(2*PI()*(A62)/Inputs!$C$39)*SIN(2*PI()*(Inputs!$C$6)/Inputs!$C$40)+-Inputs!$C$41*EXP(-(((Inputs!$C$6)-Inputs!$C$43)^2)/(2*Inputs!$C$44^2))*EXP(-(((A62)-Inputs!$C$42)^2)/(2*Inputs!$C$45^2)))</x:f>
        <x:v>208.68994751406225</x:v>
      </x:c>
      <x:c r="Z62" s="40" t="n">
        <x:f>B62-X62/1000</x:f>
        <x:v>400.98539085894106</x:v>
      </x:c>
      <x:c r="AA62" s="40" t="n">
        <x:f>SQRT(A62^2+Inputs!$C$6^2+(B62-Y62/1000)^2)</x:f>
        <x:v>402.6893023331858</x:v>
      </x:c>
      <x:c r="AB62" s="40" t="n">
        <x:f>(AA62-Z62)*1000</x:f>
        <x:v>1703.9114742447623</x:v>
      </x:c>
      <x:c r="AC62" s="40" t="n">
        <x:f>AB62/Inputs!$C$12</x:f>
        <x:v>957.2536372161586</x:v>
      </x:c>
      <x:c r="AD62" s="40" t="n">
        <x:f>2*AB62/Inputs!$C$21*1000000</x:f>
        <x:v>11.367273784084071</x:v>
      </x:c>
      <x:c r="AE62" s="40" t="n">
        <x:f>DEGREES(ATAN(H62/(B62-Y62/1000)))</x:f>
        <x:v>5.565068728162856</x:v>
      </x:c>
      <x:c r="AF62" s="40" t="n">
        <x:f>DEGREES((2*PI()/Inputs!$C$13)*Inputs!$C$15*SIN(RADIANS(AE62)))</x:f>
        <x:v>34.91140523271213</x:v>
      </x:c>
      <x:c r="AG62" s="40" t="n">
        <x:f>(Z62/AA62)^4</x:f>
        <x:v>0.9831818007509937</x:v>
      </x:c>
      <x:c r="AH62" s="40" t="n">
        <x:f>10*LOG10(AG62)</x:f>
        <x:v>-0.0736616908271906</x:v>
      </x:c>
      <x:c r="AI62" s="40" t="n">
        <x:f>AC62-F62</x:f>
        <x:v>-108.48185285090415</x:v>
      </x:c>
      <x:c r="AJ62" s="40" t="n">
        <x:f>AD62-G62</x:f>
        <x:v>-1.2882091788620595</x:v>
      </x:c>
      <x:c r="AK62" s="40" t="n">
        <x:f>Y62-X62</x:f>
        <x:v>194.08080645512297</x:v>
      </x:c>
      <x:c r="AL62" s="40" t="n">
        <x:f>1000*(AA63-AA61)/(A63-A61)*Inputs!$C$11</x:f>
        <x:v>-544.4953709043148</x:v>
      </x:c>
      <x:c r="AM62" s="40" t="n">
        <x:f>-2*AL62/Inputs!$C$13</x:f>
        <x:v>217.7981483617259</x:v>
      </x:c>
      <x:c r="AN62" s="40" t="n">
        <x:f>-2*AL62/Inputs!$C$14</x:f>
        <x:v>32.702424678937824</x:v>
      </x:c>
      <x:c r="AO62" s="40" t="n">
        <x:f>ABS(AM62)</x:f>
        <x:v>217.7981483617259</x:v>
      </x:c>
      <x:c r="AP62" s="40" t="n">
        <x:f>ABS(AN62)</x:f>
        <x:v>32.702424678937824</x:v>
      </x:c>
      <x:c r="AQ62" s="40" t="n">
        <x:f>IF(Inputs!$C$27="ON",Inputs!$C$46/Inputs!$C$12,0)</x:f>
        <x:v>42.13483146067416</x:v>
      </x:c>
      <x:c r="AR62" s="40" t="n">
        <x:f>AC62-AQ62</x:f>
        <x:v>915.1188057554845</x:v>
      </x:c>
      <x:c r="AS62" s="40" t="n">
        <x:f>AC62+AQ62</x:f>
        <x:v>999.3884686768328</x:v>
      </x:c>
    </x:row>
    <x:row r="63">
      <x:c r="A63" s="40" t="n">
        <x:f>Inputs!$C$7+61*(Inputs!$C$8-Inputs!$C$7)/240</x:f>
        <x:v>-29.5</x:v>
      </x:c>
      <x:c r="B63" s="40" t="n">
        <x:f>Inputs!$C$5+Inputs!$C$9*(A63/Inputs!$C$10)^2</x:f>
        <x:v>400.96694444444444</x:v>
      </x:c>
      <x:c r="C63" s="40" t="n">
        <x:f>B63</x:f>
        <x:v>400.96694444444444</x:v>
      </x:c>
      <x:c r="D63" s="40" t="n">
        <x:f>SQRT(A63^2+Inputs!$C$6^2+B63^2)</x:f>
        <x:v>402.8271844564542</x:v>
      </x:c>
      <x:c r="E63" s="40" t="n">
        <x:f>(D63-C63)*1000</x:f>
        <x:v>1860.24001200974</x:v>
      </x:c>
      <x:c r="F63" s="40" t="n">
        <x:f>E63/Inputs!$C$12</x:f>
        <x:v>1045.0786584324383</x:v>
      </x:c>
      <x:c r="G63" s="40" t="n">
        <x:f>2*E63/Inputs!$C$21*1000000</x:f>
        <x:v>12.410185529148567</x:v>
      </x:c>
      <x:c r="H63" s="40" t="n">
        <x:f>SQRT(A63^2+Inputs!$C$6^2)</x:f>
        <x:v>38.66846260197062</x:v>
      </x:c>
      <x:c r="I63" s="40" t="n">
        <x:f>DEGREES(ATAN(H63/B63))</x:f>
        <x:v>5.508457547244826</x:v>
      </x:c>
      <x:c r="J63" s="40" t="n">
        <x:f>DEGREES((2*PI()/Inputs!$C$13)*Inputs!$C$15*SIN(RADIANS(I63)))</x:f>
        <x:v>34.55736622018927</x:v>
      </x:c>
      <x:c r="K63" s="40" t="n">
        <x:f>(C63/D63)^4</x:f>
        <x:v>0.9816557180259332</x:v>
      </x:c>
      <x:c r="L63" s="40" t="n">
        <x:f>10*LOG10(K63)</x:f>
        <x:v>-0.0804079935963663</x:v>
      </x:c>
      <x:c r="M63" s="40" t="n">
        <x:f>2*(Inputs!$C$9/(Inputs!$C$10^2))*A63</x:f>
        <x:v>-0.06555555555555556</x:v>
      </x:c>
      <x:c r="N63" s="40" t="n">
        <x:f>M63*Inputs!$C$11</x:f>
        <x:v>-0.26222222222222225</x:v>
      </x:c>
      <x:c r="O63" s="40" t="n">
        <x:f>1000*((A63*Inputs!$C$11)+(B63*N63))/D63</x:f>
        <x:v>-553.9408754425766</x:v>
      </x:c>
      <x:c r="P63" s="40" t="n">
        <x:f>-2*O63/Inputs!$C$13</x:f>
        <x:v>221.57635017703063</x:v>
      </x:c>
      <x:c r="Q63" s="40" t="n">
        <x:f>-2*O63/Inputs!$C$14</x:f>
        <x:v>33.269722248803404</x:v>
      </x:c>
      <x:c r="R63" s="40" t="n">
        <x:f>F63-Inputs!$C$16/2</x:f>
        <x:v>1030.0786584324383</x:v>
      </x:c>
      <x:c r="S63" s="40" t="n">
        <x:f>F63+Inputs!$C$16/2</x:f>
        <x:v>1060.0786584324383</x:v>
      </x:c>
      <x:c r="T63" s="40" t="n">
        <x:f>F63-Inputs!$C$17/2</x:f>
        <x:v>895.0786584324383</x:v>
      </x:c>
      <x:c r="U63" s="40" t="n">
        <x:f>F63+Inputs!$C$17/2</x:f>
        <x:v>1195.0786584324383</x:v>
      </x:c>
      <x:c r="V63" s="40" t="n">
        <x:f>ABS(P63)</x:f>
        <x:v>221.57635017703063</x:v>
      </x:c>
      <x:c r="W63" s="40" t="n">
        <x:f>ABS(Q63)</x:f>
        <x:v>33.269722248803404</x:v>
      </x:c>
      <x:c r="X63" s="40" t="n">
        <x:f>IF(Inputs!$C$27="ON",1,0)*(Inputs!$C$28*EXP(-(((A63)-Inputs!$C$29)^2)/(2*Inputs!$C$31^2))*EXP(-(((0)-Inputs!$C$30)^2)/(2*Inputs!$C$32^2))+-Inputs!$C$33*EXP(-(((((A63)-Inputs!$C$34)^2)+(((0)-Inputs!$C$35)^2))/(2*Inputs!$C$36^2)))+Inputs!$C$37*(0.55*SIN(2*PI()*(A63)/Inputs!$C$39)+0.35*COS(2*PI()*(0)/Inputs!$C$40)+0.2*SIN(2*PI()*((A63)+(0))/(0.5*(Inputs!$C$39+Inputs!$C$40))))+Inputs!$C$38*SIN(2*PI()*(A63)/Inputs!$C$39)*SIN(2*PI()*(0)/Inputs!$C$40)+-Inputs!$C$41*EXP(-(((0)-Inputs!$C$43)^2)/(2*Inputs!$C$44^2))*EXP(-(((A63)-Inputs!$C$42)^2)/(2*Inputs!$C$45^2)))</x:f>
        <x:v>10.276748384578244</x:v>
      </x:c>
      <x:c r="Y63" s="40" t="n">
        <x:f>IF(Inputs!$C$27="ON",1,0)*(Inputs!$C$28*EXP(-(((A63)-Inputs!$C$29)^2)/(2*Inputs!$C$31^2))*EXP(-(((Inputs!$C$6)-Inputs!$C$30)^2)/(2*Inputs!$C$32^2))+-Inputs!$C$33*EXP(-(((((A63)-Inputs!$C$34)^2)+(((Inputs!$C$6)-Inputs!$C$35)^2))/(2*Inputs!$C$36^2)))+Inputs!$C$37*(0.55*SIN(2*PI()*(A63)/Inputs!$C$39)+0.35*COS(2*PI()*(Inputs!$C$6)/Inputs!$C$40)+0.2*SIN(2*PI()*((A63)+(Inputs!$C$6))/(0.5*(Inputs!$C$39+Inputs!$C$40))))+Inputs!$C$38*SIN(2*PI()*(A63)/Inputs!$C$39)*SIN(2*PI()*(Inputs!$C$6)/Inputs!$C$40)+-Inputs!$C$41*EXP(-(((Inputs!$C$6)-Inputs!$C$43)^2)/(2*Inputs!$C$44^2))*EXP(-(((A63)-Inputs!$C$42)^2)/(2*Inputs!$C$45^2)))</x:f>
        <x:v>205.86508277741686</x:v>
      </x:c>
      <x:c r="Z63" s="40" t="n">
        <x:f>B63-X63/1000</x:f>
        <x:v>400.95666769605987</x:v>
      </x:c>
      <x:c r="AA63" s="40" t="n">
        <x:f>SQRT(A63^2+Inputs!$C$6^2+(B63-Y63/1000)^2)</x:f>
        <x:v>402.62227053545905</x:v>
      </x:c>
      <x:c r="AB63" s="40" t="n">
        <x:f>(AA63-Z63)*1000</x:f>
        <x:v>1665.6028393991846</x:v>
      </x:c>
      <x:c r="AC63" s="40" t="n">
        <x:f>AB63/Inputs!$C$12</x:f>
        <x:v>935.731932246733</x:v>
      </x:c>
      <x:c r="AD63" s="40" t="n">
        <x:f>2*AB63/Inputs!$C$21*1000000</x:f>
        <x:v>11.11170608167324</x:v>
      </x:c>
      <x:c r="AE63" s="40" t="n">
        <x:f>DEGREES(ATAN(H63/(B63-Y63/1000)))</x:f>
        <x:v>5.511269743754151</x:v>
      </x:c>
      <x:c r="AF63" s="40" t="n">
        <x:f>DEGREES((2*PI()/Inputs!$C$13)*Inputs!$C$15*SIN(RADIANS(AE63)))</x:f>
        <x:v>34.574954133053666</x:v>
      </x:c>
      <x:c r="AG63" s="40" t="n">
        <x:f>(Z63/AA63)^4</x:f>
        <x:v>0.9835548520805638</x:v>
      </x:c>
      <x:c r="AH63" s="40" t="n">
        <x:f>10*LOG10(AG63)</x:f>
        <x:v>-0.0720141480755087</x:v>
      </x:c>
      <x:c r="AI63" s="40" t="n">
        <x:f>AC63-F63</x:f>
        <x:v>-109.34672618570528</x:v>
      </x:c>
      <x:c r="AJ63" s="40" t="n">
        <x:f>AD63-G63</x:f>
        <x:v>-1.2984794474753265</x:v>
      </x:c>
      <x:c r="AK63" s="40" t="n">
        <x:f>Y63-X63</x:f>
        <x:v>195.58833439283862</x:v>
      </x:c>
      <x:c r="AL63" s="40" t="n">
        <x:f>1000*(AA64-AA62)/(A64-A62)*Inputs!$C$11</x:f>
        <x:v>-528.8442000776286</x:v>
      </x:c>
      <x:c r="AM63" s="40" t="n">
        <x:f>-2*AL63/Inputs!$C$13</x:f>
        <x:v>211.53768003105142</x:v>
      </x:c>
      <x:c r="AN63" s="40" t="n">
        <x:f>-2*AL63/Inputs!$C$14</x:f>
        <x:v>31.762414419076794</x:v>
      </x:c>
      <x:c r="AO63" s="40" t="n">
        <x:f>ABS(AM63)</x:f>
        <x:v>211.53768003105142</x:v>
      </x:c>
      <x:c r="AP63" s="40" t="n">
        <x:f>ABS(AN63)</x:f>
        <x:v>31.762414419076794</x:v>
      </x:c>
      <x:c r="AQ63" s="40" t="n">
        <x:f>IF(Inputs!$C$27="ON",Inputs!$C$46/Inputs!$C$12,0)</x:f>
        <x:v>42.13483146067416</x:v>
      </x:c>
      <x:c r="AR63" s="40" t="n">
        <x:f>AC63-AQ63</x:f>
        <x:v>893.5971007860588</x:v>
      </x:c>
      <x:c r="AS63" s="40" t="n">
        <x:f>AC63+AQ63</x:f>
        <x:v>977.8667637074071</x:v>
      </x:c>
    </x:row>
    <x:row r="64">
      <x:c r="A64" s="40" t="n">
        <x:f>Inputs!$C$7+62*(Inputs!$C$8-Inputs!$C$7)/240</x:f>
        <x:v>-29</x:v>
      </x:c>
      <x:c r="B64" s="40" t="n">
        <x:f>Inputs!$C$5+Inputs!$C$9*(A64/Inputs!$C$10)^2</x:f>
        <x:v>400.93444444444447</x:v>
      </x:c>
      <x:c r="C64" s="40" t="n">
        <x:f>B64</x:f>
        <x:v>400.93444444444447</x:v>
      </x:c>
      <x:c r="D64" s="40" t="n">
        <x:f>SQRT(A64^2+Inputs!$C$6^2+B64^2)</x:f>
        <x:v>402.7585241083984</x:v>
      </x:c>
      <x:c r="E64" s="40" t="n">
        <x:f>(D64-C64)*1000</x:f>
        <x:v>1824.0796639539099</x:v>
      </x:c>
      <x:c r="F64" s="40" t="n">
        <x:f>E64/Inputs!$C$12</x:f>
        <x:v>1024.763856153882</x:v>
      </x:c>
      <x:c r="G64" s="40" t="n">
        <x:f>2*E64/Inputs!$C$21*1000000</x:f>
        <x:v>12.168949653522704</x:v>
      </x:c>
      <x:c r="H64" s="40" t="n">
        <x:f>SQRT(A64^2+Inputs!$C$6^2)</x:f>
        <x:v>38.28837943815329</x:v>
      </x:c>
      <x:c r="I64" s="40" t="n">
        <x:f>DEGREES(ATAN(H64/B64))</x:f>
        <x:v>5.455081025841907</x:v>
      </x:c>
      <x:c r="J64" s="40" t="n">
        <x:f>DEGREES((2*PI()/Inputs!$C$13)*Inputs!$C$15*SIN(RADIANS(I64)))</x:f>
        <x:v>34.2235254443067</x:v>
      </x:c>
      <x:c r="K64" s="40" t="n">
        <x:f>(C64/D64)^4</x:f>
        <x:v>0.9820068340146043</x:v>
      </x:c>
      <x:c r="L64" s="40" t="n">
        <x:f>10*LOG10(K64)</x:f>
        <x:v>-0.0788548984593785</x:v>
      </x:c>
      <x:c r="M64" s="40" t="n">
        <x:f>2*(Inputs!$C$9/(Inputs!$C$10^2))*A64</x:f>
        <x:v>-0.06444444444444444</x:v>
      </x:c>
      <x:c r="N64" s="40" t="n">
        <x:f>M64*Inputs!$C$11</x:f>
        <x:v>-0.2577777777777778</x:v>
      </x:c>
      <x:c r="O64" s="40" t="n">
        <x:f>1000*((A64*Inputs!$C$11)+(B64*N64))/D64</x:f>
        <x:v>-544.6240786810025</x:v>
      </x:c>
      <x:c r="P64" s="40" t="n">
        <x:f>-2*O64/Inputs!$C$13</x:f>
        <x:v>217.849631472401</x:v>
      </x:c>
      <x:c r="Q64" s="40" t="n">
        <x:f>-2*O64/Inputs!$C$14</x:f>
        <x:v>32.71015487573589</x:v>
      </x:c>
      <x:c r="R64" s="40" t="n">
        <x:f>F64-Inputs!$C$16/2</x:f>
        <x:v>1009.763856153882</x:v>
      </x:c>
      <x:c r="S64" s="40" t="n">
        <x:f>F64+Inputs!$C$16/2</x:f>
        <x:v>1039.763856153882</x:v>
      </x:c>
      <x:c r="T64" s="40" t="n">
        <x:f>F64-Inputs!$C$17/2</x:f>
        <x:v>874.763856153882</x:v>
      </x:c>
      <x:c r="U64" s="40" t="n">
        <x:f>F64+Inputs!$C$17/2</x:f>
        <x:v>1174.763856153882</x:v>
      </x:c>
      <x:c r="V64" s="40" t="n">
        <x:f>ABS(P64)</x:f>
        <x:v>217.849631472401</x:v>
      </x:c>
      <x:c r="W64" s="40" t="n">
        <x:f>ABS(Q64)</x:f>
        <x:v>32.71015487573589</x:v>
      </x:c>
      <x:c r="X64" s="40" t="n">
        <x:f>IF(Inputs!$C$27="ON",1,0)*(Inputs!$C$28*EXP(-(((A64)-Inputs!$C$29)^2)/(2*Inputs!$C$31^2))*EXP(-(((0)-Inputs!$C$30)^2)/(2*Inputs!$C$32^2))+-Inputs!$C$33*EXP(-(((((A64)-Inputs!$C$34)^2)+(((0)-Inputs!$C$35)^2))/(2*Inputs!$C$36^2)))+Inputs!$C$37*(0.55*SIN(2*PI()*(A64)/Inputs!$C$39)+0.35*COS(2*PI()*(0)/Inputs!$C$40)+0.2*SIN(2*PI()*((A64)+(0))/(0.5*(Inputs!$C$39+Inputs!$C$40))))+Inputs!$C$38*SIN(2*PI()*(A64)/Inputs!$C$39)*SIN(2*PI()*(0)/Inputs!$C$40)+-Inputs!$C$41*EXP(-(((0)-Inputs!$C$43)^2)/(2*Inputs!$C$44^2))*EXP(-(((A64)-Inputs!$C$42)^2)/(2*Inputs!$C$45^2)))</x:f>
        <x:v>4.83240224150707</x:v>
      </x:c>
      <x:c r="Y64" s="40" t="n">
        <x:f>IF(Inputs!$C$27="ON",1,0)*(Inputs!$C$28*EXP(-(((A64)-Inputs!$C$29)^2)/(2*Inputs!$C$31^2))*EXP(-(((Inputs!$C$6)-Inputs!$C$30)^2)/(2*Inputs!$C$32^2))+-Inputs!$C$33*EXP(-(((((A64)-Inputs!$C$34)^2)+(((Inputs!$C$6)-Inputs!$C$35)^2))/(2*Inputs!$C$36^2)))+Inputs!$C$37*(0.55*SIN(2*PI()*(A64)/Inputs!$C$39)+0.35*COS(2*PI()*(Inputs!$C$6)/Inputs!$C$40)+0.2*SIN(2*PI()*((A64)+(Inputs!$C$6))/(0.5*(Inputs!$C$39+Inputs!$C$40))))+Inputs!$C$38*SIN(2*PI()*(A64)/Inputs!$C$39)*SIN(2*PI()*(Inputs!$C$6)/Inputs!$C$40)+-Inputs!$C$41*EXP(-(((Inputs!$C$6)-Inputs!$C$43)^2)/(2*Inputs!$C$44^2))*EXP(-(((A64)-Inputs!$C$42)^2)/(2*Inputs!$C$45^2)))</x:f>
        <x:v>202.34971984726246</x:v>
      </x:c>
      <x:c r="Z64" s="40" t="n">
        <x:f>B64-X64/1000</x:f>
        <x:v>400.92961204220296</x:v>
      </x:c>
      <x:c r="AA64" s="40" t="n">
        <x:f>SQRT(A64^2+Inputs!$C$6^2+(B64-Y64/1000)^2)</x:f>
        <x:v>402.5570912831664</x:v>
      </x:c>
      <x:c r="AB64" s="40" t="n">
        <x:f>(AA64-Z64)*1000</x:f>
        <x:v>1627.4792409634529</x:v>
      </x:c>
      <x:c r="AC64" s="40" t="n">
        <x:f>AB64/Inputs!$C$12</x:f>
        <x:v>914.3141803165465</x:v>
      </x:c>
      <x:c r="AD64" s="40" t="n">
        <x:f>2*AB64/Inputs!$C$21*1000000</x:f>
        <x:v>10.85737280931499</x:v>
      </x:c>
      <x:c r="AE64" s="40" t="n">
        <x:f>DEGREES(ATAN(H64/(B64-Y64/1000)))</x:f>
        <x:v>5.457818941106251</x:v>
      </x:c>
      <x:c r="AF64" s="40" t="n">
        <x:f>DEGREES((2*PI()/Inputs!$C$13)*Inputs!$C$15*SIN(RADIANS(AE64)))</x:f>
        <x:v>34.24065032315971</x:v>
      </x:c>
      <x:c r="AG64" s="40" t="n">
        <x:f>(Z64/AA64)^4</x:f>
        <x:v>0.9839263909629753</x:v>
      </x:c>
      <x:c r="AH64" s="40" t="n">
        <x:f>10*LOG10(AG64)</x:f>
        <x:v>-0.0703739058731259</x:v>
      </x:c>
      <x:c r="AI64" s="40" t="n">
        <x:f>AC64-F64</x:f>
        <x:v>-110.44967583733546</x:v>
      </x:c>
      <x:c r="AJ64" s="40" t="n">
        <x:f>AD64-G64</x:f>
        <x:v>-1.311576844207714</x:v>
      </x:c>
      <x:c r="AK64" s="40" t="n">
        <x:f>Y64-X64</x:f>
        <x:v>197.51731760575538</x:v>
      </x:c>
      <x:c r="AL64" s="40" t="n">
        <x:f>1000*(AA65-AA63)/(A65-A63)*Inputs!$C$11</x:f>
        <x:v>-514.9125394705152</x:v>
      </x:c>
      <x:c r="AM64" s="40" t="n">
        <x:f>-2*AL64/Inputs!$C$13</x:f>
        <x:v>205.96501578820607</x:v>
      </x:c>
      <x:c r="AN64" s="40" t="n">
        <x:f>-2*AL64/Inputs!$C$14</x:f>
        <x:v>30.92567804627719</x:v>
      </x:c>
      <x:c r="AO64" s="40" t="n">
        <x:f>ABS(AM64)</x:f>
        <x:v>205.96501578820607</x:v>
      </x:c>
      <x:c r="AP64" s="40" t="n">
        <x:f>ABS(AN64)</x:f>
        <x:v>30.92567804627719</x:v>
      </x:c>
      <x:c r="AQ64" s="40" t="n">
        <x:f>IF(Inputs!$C$27="ON",Inputs!$C$46/Inputs!$C$12,0)</x:f>
        <x:v>42.13483146067416</x:v>
      </x:c>
      <x:c r="AR64" s="40" t="n">
        <x:f>AC64-AQ64</x:f>
        <x:v>872.1793488558724</x:v>
      </x:c>
      <x:c r="AS64" s="40" t="n">
        <x:f>AC64+AQ64</x:f>
        <x:v>956.4490117772207</x:v>
      </x:c>
    </x:row>
    <x:row r="65">
      <x:c r="A65" s="40" t="n">
        <x:f>Inputs!$C$7+63*(Inputs!$C$8-Inputs!$C$7)/240</x:f>
        <x:v>-28.5</x:v>
      </x:c>
      <x:c r="B65" s="40" t="n">
        <x:f>Inputs!$C$5+Inputs!$C$9*(A65/Inputs!$C$10)^2</x:f>
        <x:v>400.9025</x:v>
      </x:c>
      <x:c r="C65" s="40" t="n">
        <x:f>B65</x:f>
        <x:v>400.9025</x:v>
      </x:c>
      <x:c r="D65" s="40" t="n">
        <x:f>SQRT(A65^2+Inputs!$C$6^2+B65^2)</x:f>
        <x:v>402.6910285892274</x:v>
      </x:c>
      <x:c r="E65" s="40" t="n">
        <x:f>(D65-C65)*1000</x:f>
        <x:v>1788.5285892274396</x:v>
      </x:c>
      <x:c r="F65" s="40" t="n">
        <x:f>E65/Inputs!$C$12</x:f>
        <x:v>1004.7913422626065</x:v>
      </x:c>
      <x:c r="G65" s="40" t="n">
        <x:f>2*E65/Inputs!$C$21*1000000</x:f>
        <x:v>11.931778412033564</x:v>
      </x:c>
      <x:c r="H65" s="40" t="n">
        <x:f>SQRT(A65^2+Inputs!$C$6^2)</x:f>
        <x:v>37.911080174534725</x:v>
      </x:c>
      <x:c r="I65" s="40" t="n">
        <x:f>DEGREES(ATAN(H65/B65))</x:f>
        <x:v>5.402073248314196</x:v>
      </x:c>
      <x:c r="J65" s="40" t="n">
        <x:f>DEGREES((2*PI()/Inputs!$C$13)*Inputs!$C$15*SIN(RADIANS(I65)))</x:f>
        <x:v>33.891961563301656</x:v>
      </x:c>
      <x:c r="K65" s="40" t="n">
        <x:f>(C65/D65)^4</x:f>
        <x:v>0.9823522429070451</x:v>
      </x:c>
      <x:c r="L65" s="40" t="n">
        <x:f>10*LOG10(K65)</x:f>
        <x:v>-0.0773275893304539</x:v>
      </x:c>
      <x:c r="M65" s="40" t="n">
        <x:f>2*(Inputs!$C$9/(Inputs!$C$10^2))*A65</x:f>
        <x:v>-0.06333333333333334</x:v>
      </x:c>
      <x:c r="N65" s="40" t="n">
        <x:f>M65*Inputs!$C$11</x:f>
        <x:v>-0.25333333333333335</x:v>
      </x:c>
      <x:c r="O65" s="40" t="n">
        <x:f>1000*((A65*Inputs!$C$11)+(B65*N65))/D65</x:f>
        <x:v>-535.3036232812494</x:v>
      </x:c>
      <x:c r="P65" s="40" t="n">
        <x:f>-2*O65/Inputs!$C$13</x:f>
        <x:v>214.12144931249978</x:v>
      </x:c>
      <x:c r="Q65" s="40" t="n">
        <x:f>-2*O65/Inputs!$C$14</x:f>
        <x:v>32.15036776463961</x:v>
      </x:c>
      <x:c r="R65" s="40" t="n">
        <x:f>F65-Inputs!$C$16/2</x:f>
        <x:v>989.7913422626065</x:v>
      </x:c>
      <x:c r="S65" s="40" t="n">
        <x:f>F65+Inputs!$C$16/2</x:f>
        <x:v>1019.7913422626065</x:v>
      </x:c>
      <x:c r="T65" s="40" t="n">
        <x:f>F65-Inputs!$C$17/2</x:f>
        <x:v>854.7913422626065</x:v>
      </x:c>
      <x:c r="U65" s="40" t="n">
        <x:f>F65+Inputs!$C$17/2</x:f>
        <x:v>1154.7913422626066</x:v>
      </x:c>
      <x:c r="V65" s="40" t="n">
        <x:f>ABS(P65)</x:f>
        <x:v>214.12144931249978</x:v>
      </x:c>
      <x:c r="W65" s="40" t="n">
        <x:f>ABS(Q65)</x:f>
        <x:v>32.15036776463961</x:v>
      </x:c>
      <x:c r="X65" s="40" t="n">
        <x:f>IF(Inputs!$C$27="ON",1,0)*(Inputs!$C$28*EXP(-(((A65)-Inputs!$C$29)^2)/(2*Inputs!$C$31^2))*EXP(-(((0)-Inputs!$C$30)^2)/(2*Inputs!$C$32^2))+-Inputs!$C$33*EXP(-(((((A65)-Inputs!$C$34)^2)+(((0)-Inputs!$C$35)^2))/(2*Inputs!$C$36^2)))+Inputs!$C$37*(0.55*SIN(2*PI()*(A65)/Inputs!$C$39)+0.35*COS(2*PI()*(0)/Inputs!$C$40)+0.2*SIN(2*PI()*((A65)+(0))/(0.5*(Inputs!$C$39+Inputs!$C$40))))+Inputs!$C$38*SIN(2*PI()*(A65)/Inputs!$C$39)*SIN(2*PI()*(0)/Inputs!$C$40)+-Inputs!$C$41*EXP(-(((0)-Inputs!$C$43)^2)/(2*Inputs!$C$44^2))*EXP(-(((A65)-Inputs!$C$42)^2)/(2*Inputs!$C$45^2)))</x:f>
        <x:v>-1.6886943864876</x:v>
      </x:c>
      <x:c r="Y65" s="40" t="n">
        <x:f>IF(Inputs!$C$27="ON",1,0)*(Inputs!$C$28*EXP(-(((A65)-Inputs!$C$29)^2)/(2*Inputs!$C$31^2))*EXP(-(((Inputs!$C$6)-Inputs!$C$30)^2)/(2*Inputs!$C$32^2))+-Inputs!$C$33*EXP(-(((((A65)-Inputs!$C$34)^2)+(((Inputs!$C$6)-Inputs!$C$35)^2))/(2*Inputs!$C$36^2)))+Inputs!$C$37*(0.55*SIN(2*PI()*(A65)/Inputs!$C$39)+0.35*COS(2*PI()*(Inputs!$C$6)/Inputs!$C$40)+0.2*SIN(2*PI()*((A65)+(Inputs!$C$6))/(0.5*(Inputs!$C$39+Inputs!$C$40))))+Inputs!$C$38*SIN(2*PI()*(A65)/Inputs!$C$39)*SIN(2*PI()*(Inputs!$C$6)/Inputs!$C$40)+-Inputs!$C$41*EXP(-(((Inputs!$C$6)-Inputs!$C$43)^2)/(2*Inputs!$C$44^2))*EXP(-(((A65)-Inputs!$C$42)^2)/(2*Inputs!$C$45^2)))</x:f>
        <x:v>198.36766021899913</x:v>
      </x:c>
      <x:c r="Z65" s="40" t="n">
        <x:f>B65-X65/1000</x:f>
        <x:v>400.90418869438645</x:v>
      </x:c>
      <x:c r="AA65" s="40" t="n">
        <x:f>SQRT(A65^2+Inputs!$C$6^2+(B65-Y65/1000)^2)</x:f>
        <x:v>402.4935424005914</x:v>
      </x:c>
      <x:c r="AB65" s="40" t="n">
        <x:f>(AA65-Z65)*1000</x:f>
        <x:v>1589.3537062049745</x:v>
      </x:c>
      <x:c r="AC65" s="40" t="n">
        <x:f>AB65/Inputs!$C$12</x:f>
        <x:v>892.8953405645924</x:v>
      </x:c>
      <x:c r="AD65" s="40" t="n">
        <x:f>2*AB65/Inputs!$C$21*1000000</x:f>
        <x:v>10.603026619201838</x:v>
      </x:c>
      <x:c r="AE65" s="40" t="n">
        <x:f>DEGREES(ATAN(H65/(B65-Y65/1000)))</x:f>
        <x:v>5.404731700115655</x:v>
      </x:c>
      <x:c r="AF65" s="40" t="n">
        <x:f>DEGREES((2*PI()/Inputs!$C$13)*Inputs!$C$15*SIN(RADIANS(AE65)))</x:f>
        <x:v>33.9085908842955</x:v>
      </x:c>
      <x:c r="AG65" s="40" t="n">
        <x:f>(Z65/AA65)^4</x:f>
        <x:v>0.9842982377242387</x:v>
      </x:c>
      <x:c r="AH65" s="40" t="n">
        <x:f>10*LOG10(AG65)</x:f>
        <x:v>-0.06873292449226209</x:v>
      </x:c>
      <x:c r="AI65" s="40" t="n">
        <x:f>AC65-F65</x:f>
        <x:v>-111.89600169801406</x:v>
      </x:c>
      <x:c r="AJ65" s="40" t="n">
        <x:f>AD65-G65</x:f>
        <x:v>-1.328751792831726</x:v>
      </x:c>
      <x:c r="AK65" s="40" t="n">
        <x:f>Y65-X65</x:f>
        <x:v>200.05635460548675</x:v>
      </x:c>
      <x:c r="AL65" s="40" t="n">
        <x:f>1000*(AA66-AA64)/(A66-A64)*Inputs!$C$11</x:f>
        <x:v>-502.7878012806468</x:v>
      </x:c>
      <x:c r="AM65" s="40" t="n">
        <x:f>-2*AL65/Inputs!$C$13</x:f>
        <x:v>201.11512051225873</x:v>
      </x:c>
      <x:c r="AN65" s="40" t="n">
        <x:f>-2*AL65/Inputs!$C$14</x:f>
        <x:v>30.19746554238119</x:v>
      </x:c>
      <x:c r="AO65" s="40" t="n">
        <x:f>ABS(AM65)</x:f>
        <x:v>201.11512051225873</x:v>
      </x:c>
      <x:c r="AP65" s="40" t="n">
        <x:f>ABS(AN65)</x:f>
        <x:v>30.19746554238119</x:v>
      </x:c>
      <x:c r="AQ65" s="40" t="n">
        <x:f>IF(Inputs!$C$27="ON",Inputs!$C$46/Inputs!$C$12,0)</x:f>
        <x:v>42.13483146067416</x:v>
      </x:c>
      <x:c r="AR65" s="40" t="n">
        <x:f>AC65-AQ65</x:f>
        <x:v>850.7605091039183</x:v>
      </x:c>
      <x:c r="AS65" s="40" t="n">
        <x:f>AC65+AQ65</x:f>
        <x:v>935.0301720252666</x:v>
      </x:c>
    </x:row>
    <x:row r="66">
      <x:c r="A66" s="40" t="n">
        <x:f>Inputs!$C$7+64*(Inputs!$C$8-Inputs!$C$7)/240</x:f>
        <x:v>-28</x:v>
      </x:c>
      <x:c r="B66" s="40" t="n">
        <x:f>Inputs!$C$5+Inputs!$C$9*(A66/Inputs!$C$10)^2</x:f>
        <x:v>400.87111111111113</x:v>
      </x:c>
      <x:c r="C66" s="40" t="n">
        <x:f>B66</x:f>
        <x:v>400.87111111111113</x:v>
      </x:c>
      <x:c r="D66" s="40" t="n">
        <x:f>SQRT(A66^2+Inputs!$C$6^2+B66^2)</x:f>
        <x:v>402.62469835251886</x:v>
      </x:c>
      <x:c r="E66" s="40" t="n">
        <x:f>(D66-C66)*1000</x:f>
        <x:v>1753.587241407729</x:v>
      </x:c>
      <x:c r="F66" s="40" t="n">
        <x:f>E66/Inputs!$C$12</x:f>
        <x:v>985.1613715773758</x:v>
      </x:c>
      <x:c r="G66" s="40" t="n">
        <x:f>2*E66/Inputs!$C$21*1000000</x:f>
        <x:v>11.69867483062385</x:v>
      </x:c>
      <x:c r="H66" s="40" t="n">
        <x:f>SQRT(A66^2+Inputs!$C$6^2)</x:f>
        <x:v>37.53664875824692</x:v>
      </x:c>
      <x:c r="I66" s="40" t="n">
        <x:f>DEGREES(ATAN(H66/B66))</x:f>
        <x:v>5.349446707466922</x:v>
      </x:c>
      <x:c r="J66" s="40" t="n">
        <x:f>DEGREES((2*PI()/Inputs!$C$13)*Inputs!$C$15*SIN(RADIANS(I66)))</x:f>
        <x:v>33.56275362207757</x:v>
      </x:c>
      <x:c r="K66" s="40" t="n">
        <x:f>(C66/D66)^4</x:f>
        <x:v>0.9826919297839273</x:v>
      </x:c>
      <x:c r="L66" s="40" t="n">
        <x:f>10*LOG10(K66)</x:f>
        <x:v>-0.0758261051427241</x:v>
      </x:c>
      <x:c r="M66" s="40" t="n">
        <x:f>2*(Inputs!$C$9/(Inputs!$C$10^2))*A66</x:f>
        <x:v>-0.06222222222222222</x:v>
      </x:c>
      <x:c r="N66" s="40" t="n">
        <x:f>M66*Inputs!$C$11</x:f>
        <x:v>-0.24888888888888888</x:v>
      </x:c>
      <x:c r="O66" s="40" t="n">
        <x:f>1000*((A66*Inputs!$C$11)+(B66*N66))/D66</x:f>
        <x:v>-525.9795693076957</x:v>
      </x:c>
      <x:c r="P66" s="40" t="n">
        <x:f>-2*O66/Inputs!$C$13</x:f>
        <x:v>210.39182772307828</x:v>
      </x:c>
      <x:c r="Q66" s="40" t="n">
        <x:f>-2*O66/Inputs!$C$14</x:f>
        <x:v>31.59036452298473</x:v>
      </x:c>
      <x:c r="R66" s="40" t="n">
        <x:f>F66-Inputs!$C$16/2</x:f>
        <x:v>970.1613715773758</x:v>
      </x:c>
      <x:c r="S66" s="40" t="n">
        <x:f>F66+Inputs!$C$16/2</x:f>
        <x:v>1000.1613715773758</x:v>
      </x:c>
      <x:c r="T66" s="40" t="n">
        <x:f>F66-Inputs!$C$17/2</x:f>
        <x:v>835.1613715773758</x:v>
      </x:c>
      <x:c r="U66" s="40" t="n">
        <x:f>F66+Inputs!$C$17/2</x:f>
        <x:v>1135.1613715773758</x:v>
      </x:c>
      <x:c r="V66" s="40" t="n">
        <x:f>ABS(P66)</x:f>
        <x:v>210.39182772307828</x:v>
      </x:c>
      <x:c r="W66" s="40" t="n">
        <x:f>ABS(Q66)</x:f>
        <x:v>31.59036452298473</x:v>
      </x:c>
      <x:c r="X66" s="40" t="n">
        <x:f>IF(Inputs!$C$27="ON",1,0)*(Inputs!$C$28*EXP(-(((A66)-Inputs!$C$29)^2)/(2*Inputs!$C$31^2))*EXP(-(((0)-Inputs!$C$30)^2)/(2*Inputs!$C$32^2))+-Inputs!$C$33*EXP(-(((((A66)-Inputs!$C$34)^2)+(((0)-Inputs!$C$35)^2))/(2*Inputs!$C$36^2)))+Inputs!$C$37*(0.55*SIN(2*PI()*(A66)/Inputs!$C$39)+0.35*COS(2*PI()*(0)/Inputs!$C$40)+0.2*SIN(2*PI()*((A66)+(0))/(0.5*(Inputs!$C$39+Inputs!$C$40))))+Inputs!$C$38*SIN(2*PI()*(A66)/Inputs!$C$39)*SIN(2*PI()*(0)/Inputs!$C$40)+-Inputs!$C$41*EXP(-(((0)-Inputs!$C$43)^2)/(2*Inputs!$C$44^2))*EXP(-(((A66)-Inputs!$C$42)^2)/(2*Inputs!$C$45^2)))</x:f>
        <x:v>-9.21694579027682</x:v>
      </x:c>
      <x:c r="Y66" s="40" t="n">
        <x:f>IF(Inputs!$C$27="ON",1,0)*(Inputs!$C$28*EXP(-(((A66)-Inputs!$C$29)^2)/(2*Inputs!$C$31^2))*EXP(-(((Inputs!$C$6)-Inputs!$C$30)^2)/(2*Inputs!$C$32^2))+-Inputs!$C$33*EXP(-(((((A66)-Inputs!$C$34)^2)+(((Inputs!$C$6)-Inputs!$C$35)^2))/(2*Inputs!$C$36^2)))+Inputs!$C$37*(0.55*SIN(2*PI()*(A66)/Inputs!$C$39)+0.35*COS(2*PI()*(Inputs!$C$6)/Inputs!$C$40)+0.2*SIN(2*PI()*((A66)+(Inputs!$C$6))/(0.5*(Inputs!$C$39+Inputs!$C$40))))+Inputs!$C$38*SIN(2*PI()*(A66)/Inputs!$C$39)*SIN(2*PI()*(Inputs!$C$6)/Inputs!$C$40)+-Inputs!$C$41*EXP(-(((Inputs!$C$6)-Inputs!$C$43)^2)/(2*Inputs!$C$44^2))*EXP(-(((A66)-Inputs!$C$42)^2)/(2*Inputs!$C$45^2)))</x:f>
        <x:v>194.15002565163093</x:v>
      </x:c>
      <x:c r="Z66" s="40" t="n">
        <x:f>B66-X66/1000</x:f>
        <x:v>400.8803280569014</x:v>
      </x:c>
      <x:c r="AA66" s="40" t="n">
        <x:f>SQRT(A66^2+Inputs!$C$6^2+(B66-Y66/1000)^2)</x:f>
        <x:v>402.43139433284625</x:v>
      </x:c>
      <x:c r="AB66" s="40" t="n">
        <x:f>(AA66-Z66)*1000</x:f>
        <x:v>1551.0662759448337</x:v>
      </x:c>
      <x:c r="AC66" s="40" t="n">
        <x:f>AB66/Inputs!$C$12</x:f>
        <x:v>871.3855482836144</x:v>
      </x:c>
      <x:c r="AD66" s="40" t="n">
        <x:f>2*AB66/Inputs!$C$21*1000000</x:f>
        <x:v>10.347600378558113</x:v>
      </x:c>
      <x:c r="AE66" s="40" t="n">
        <x:f>DEGREES(ATAN(H66/(B66-Y66/1000)))</x:f>
        <x:v>5.352023760259989</x:v>
      </x:c>
      <x:c r="AF66" s="40" t="n">
        <x:f>DEGREES((2*PI()/Inputs!$C$13)*Inputs!$C$15*SIN(RADIANS(AE66)))</x:f>
        <x:v>33.578875165470535</x:v>
      </x:c>
      <x:c r="AG66" s="40" t="n">
        <x:f>(Z66/AA66)^4</x:f>
        <x:v>0.9846719510508786</x:v>
      </x:c>
      <x:c r="AH66" s="40" t="n">
        <x:f>10*LOG10(AG66)</x:f>
        <x:v>-0.0670843303342846</x:v>
      </x:c>
      <x:c r="AI66" s="40" t="n">
        <x:f>AC66-F66</x:f>
        <x:v>-113.77582329376139</x:v>
      </x:c>
      <x:c r="AJ66" s="40" t="n">
        <x:f>AD66-G66</x:f>
        <x:v>-1.3510744520657365</x:v>
      </x:c>
      <x:c r="AK66" s="40" t="n">
        <x:f>Y66-X66</x:f>
        <x:v>203.36697144190774</x:v>
      </x:c>
      <x:c r="AL66" s="40" t="n">
        <x:f>1000*(AA67-AA65)/(A67-A65)*Inputs!$C$11</x:f>
        <x:v>-492.50105981241177</x:v>
      </x:c>
      <x:c r="AM66" s="40" t="n">
        <x:f>-2*AL66/Inputs!$C$13</x:f>
        <x:v>197.0004239249647</x:v>
      </x:c>
      <x:c r="AN66" s="40" t="n">
        <x:f>-2*AL66/Inputs!$C$14</x:f>
        <x:v>29.579643231976686</x:v>
      </x:c>
      <x:c r="AO66" s="40" t="n">
        <x:f>ABS(AM66)</x:f>
        <x:v>197.0004239249647</x:v>
      </x:c>
      <x:c r="AP66" s="40" t="n">
        <x:f>ABS(AN66)</x:f>
        <x:v>29.579643231976686</x:v>
      </x:c>
      <x:c r="AQ66" s="40" t="n">
        <x:f>IF(Inputs!$C$27="ON",Inputs!$C$46/Inputs!$C$12,0)</x:f>
        <x:v>42.13483146067416</x:v>
      </x:c>
      <x:c r="AR66" s="40" t="n">
        <x:f>AC66-AQ66</x:f>
        <x:v>829.2507168229403</x:v>
      </x:c>
      <x:c r="AS66" s="40" t="n">
        <x:f>AC66+AQ66</x:f>
        <x:v>913.5203797442886</x:v>
      </x:c>
    </x:row>
    <x:row r="67">
      <x:c r="A67" s="40" t="n">
        <x:f>Inputs!$C$7+65*(Inputs!$C$8-Inputs!$C$7)/240</x:f>
        <x:v>-27.5</x:v>
      </x:c>
      <x:c r="B67" s="40" t="n">
        <x:f>Inputs!$C$5+Inputs!$C$9*(A67/Inputs!$C$10)^2</x:f>
        <x:v>400.84027777777777</x:v>
      </x:c>
      <x:c r="C67" s="40" t="n">
        <x:f>B67</x:f>
        <x:v>400.84027777777777</x:v>
      </x:c>
      <x:c r="D67" s="40" t="n">
        <x:f>SQRT(A67^2+Inputs!$C$6^2+B67^2)</x:f>
        <x:v>402.5595338443322</x:v>
      </x:c>
      <x:c r="E67" s="40" t="n">
        <x:f>(D67-C67)*1000</x:f>
        <x:v>1719.2560665544079</x:v>
      </x:c>
      <x:c r="F67" s="40" t="n">
        <x:f>E67/Inputs!$C$12</x:f>
        <x:v>965.8741946934875</x:v>
      </x:c>
      <x:c r="G67" s="40" t="n">
        <x:f>2*E67/Inputs!$C$21*1000000</x:f>
        <x:v>11.4696418850831</x:v>
      </x:c>
      <x:c r="H67" s="40" t="n">
        <x:f>SQRT(A67^2+Inputs!$C$6^2)</x:f>
        <x:v>37.16517186829626</x:v>
      </x:c>
      <x:c r="I67" s="40" t="n">
        <x:f>DEGREES(ATAN(H67/B67))</x:f>
        <x:v>5.297214287097746</x:v>
      </x:c>
      <x:c r="J67" s="40" t="n">
        <x:f>DEGREES((2*PI()/Inputs!$C$13)*Inputs!$C$15*SIN(RADIANS(I67)))</x:f>
        <x:v>33.23598312233844</x:v>
      </x:c>
      <x:c r="K67" s="40" t="n">
        <x:f>(C67/D67)^4</x:f>
        <x:v>0.9830258799568693</x:v>
      </x:c>
      <x:c r="L67" s="40" t="n">
        <x:f>10*LOG10(K67)</x:f>
        <x:v>-0.0743504841963607</x:v>
      </x:c>
      <x:c r="M67" s="40" t="n">
        <x:f>2*(Inputs!$C$9/(Inputs!$C$10^2))*A67</x:f>
        <x:v>-0.06111111111111111</x:v>
      </x:c>
      <x:c r="N67" s="40" t="n">
        <x:f>M67*Inputs!$C$11</x:f>
        <x:v>-0.24444444444444444</x:v>
      </x:c>
      <x:c r="O67" s="40" t="n">
        <x:f>1000*((A67*Inputs!$C$11)+(B67*N67))/D67</x:f>
        <x:v>-516.6519769788181</x:v>
      </x:c>
      <x:c r="P67" s="40" t="n">
        <x:f>-2*O67/Inputs!$C$13</x:f>
        <x:v>206.66079079152723</x:v>
      </x:c>
      <x:c r="Q67" s="40" t="n">
        <x:f>-2*O67/Inputs!$C$14</x:f>
        <x:v>31.030148767496584</x:v>
      </x:c>
      <x:c r="R67" s="40" t="n">
        <x:f>F67-Inputs!$C$16/2</x:f>
        <x:v>950.8741946934875</x:v>
      </x:c>
      <x:c r="S67" s="40" t="n">
        <x:f>F67+Inputs!$C$16/2</x:f>
        <x:v>980.8741946934875</x:v>
      </x:c>
      <x:c r="T67" s="40" t="n">
        <x:f>F67-Inputs!$C$17/2</x:f>
        <x:v>815.8741946934875</x:v>
      </x:c>
      <x:c r="U67" s="40" t="n">
        <x:f>F67+Inputs!$C$17/2</x:f>
        <x:v>1115.8741946934874</x:v>
      </x:c>
      <x:c r="V67" s="40" t="n">
        <x:f>ABS(P67)</x:f>
        <x:v>206.66079079152723</x:v>
      </x:c>
      <x:c r="W67" s="40" t="n">
        <x:f>ABS(Q67)</x:f>
        <x:v>31.030148767496584</x:v>
      </x:c>
      <x:c r="X67" s="40" t="n">
        <x:f>IF(Inputs!$C$27="ON",1,0)*(Inputs!$C$28*EXP(-(((A67)-Inputs!$C$29)^2)/(2*Inputs!$C$31^2))*EXP(-(((0)-Inputs!$C$30)^2)/(2*Inputs!$C$32^2))+-Inputs!$C$33*EXP(-(((((A67)-Inputs!$C$34)^2)+(((0)-Inputs!$C$35)^2))/(2*Inputs!$C$36^2)))+Inputs!$C$37*(0.55*SIN(2*PI()*(A67)/Inputs!$C$39)+0.35*COS(2*PI()*(0)/Inputs!$C$40)+0.2*SIN(2*PI()*((A67)+(0))/(0.5*(Inputs!$C$39+Inputs!$C$40))))+Inputs!$C$38*SIN(2*PI()*(A67)/Inputs!$C$39)*SIN(2*PI()*(0)/Inputs!$C$40)+-Inputs!$C$41*EXP(-(((0)-Inputs!$C$43)^2)/(2*Inputs!$C$44^2))*EXP(-(((A67)-Inputs!$C$42)^2)/(2*Inputs!$C$45^2)))</x:f>
        <x:v>-17.64859312704776</x:v>
      </x:c>
      <x:c r="Y67" s="40" t="n">
        <x:f>IF(Inputs!$C$27="ON",1,0)*(Inputs!$C$28*EXP(-(((A67)-Inputs!$C$29)^2)/(2*Inputs!$C$31^2))*EXP(-(((Inputs!$C$6)-Inputs!$C$30)^2)/(2*Inputs!$C$32^2))+-Inputs!$C$33*EXP(-(((((A67)-Inputs!$C$34)^2)+(((Inputs!$C$6)-Inputs!$C$35)^2))/(2*Inputs!$C$36^2)))+Inputs!$C$37*(0.55*SIN(2*PI()*(A67)/Inputs!$C$39)+0.35*COS(2*PI()*(Inputs!$C$6)/Inputs!$C$40)+0.2*SIN(2*PI()*((A67)+(Inputs!$C$6))/(0.5*(Inputs!$C$39+Inputs!$C$40))))+Inputs!$C$38*SIN(2*PI()*(A67)/Inputs!$C$39)*SIN(2*PI()*(Inputs!$C$6)/Inputs!$C$40)+-Inputs!$C$41*EXP(-(((Inputs!$C$6)-Inputs!$C$43)^2)/(2*Inputs!$C$44^2))*EXP(-(((A67)-Inputs!$C$42)^2)/(2*Inputs!$C$45^2)))</x:f>
        <x:v>189.9282385472849</x:v>
      </x:c>
      <x:c r="Z67" s="40" t="n">
        <x:f>B67-X67/1000</x:f>
        <x:v>400.8579263709048</x:v>
      </x:c>
      <x:c r="AA67" s="40" t="n">
        <x:f>SQRT(A67^2+Inputs!$C$6^2+(B67-Y67/1000)^2)</x:f>
        <x:v>402.3704171356383</x:v>
      </x:c>
      <x:c r="AB67" s="40" t="n">
        <x:f>(AA67-Z67)*1000</x:f>
        <x:v>1512.4907647335135</x:v>
      </x:c>
      <x:c r="AC67" s="40" t="n">
        <x:f>AB67/Inputs!$C$12</x:f>
        <x:v>849.7139127716368</x:v>
      </x:c>
      <x:c r="AD67" s="40" t="n">
        <x:f>2*AB67/Inputs!$C$21*1000000</x:f>
        <x:v>10.09025226867791</x:v>
      </x:c>
      <x:c r="AE67" s="40" t="n">
        <x:f>DEGREES(ATAN(H67/(B67-Y67/1000)))</x:f>
        <x:v>5.29971113540846</x:v>
      </x:c>
      <x:c r="AF67" s="40" t="n">
        <x:f>DEGREES((2*PI()/Inputs!$C$13)*Inputs!$C$15*SIN(RADIANS(AE67)))</x:f>
        <x:v>33.25160425021123</x:v>
      </x:c>
      <x:c r="AG67" s="40" t="n">
        <x:f>(Z67/AA67)^4</x:f>
        <x:v>0.9850487612092079</x:v>
      </x:c>
      <x:c r="AH67" s="40" t="n">
        <x:f>10*LOG10(AG67)</x:f>
        <x:v>-0.0654227082224265</x:v>
      </x:c>
      <x:c r="AI67" s="40" t="n">
        <x:f>AC67-F67</x:f>
        <x:v>-116.1602819218507</x:v>
      </x:c>
      <x:c r="AJ67" s="40" t="n">
        <x:f>AD67-G67</x:f>
        <x:v>-1.3793896164051898</x:v>
      </x:c>
      <x:c r="AK67" s="40" t="n">
        <x:f>Y67-X67</x:f>
        <x:v>207.57683167433265</x:v>
      </x:c>
      <x:c r="AL67" s="40" t="n">
        <x:f>1000*(AA68-AA66)/(A68-A66)*Inputs!$C$11</x:f>
        <x:v>-484.02873840586835</x:v>
      </x:c>
      <x:c r="AM67" s="40" t="n">
        <x:f>-2*AL67/Inputs!$C$13</x:f>
        <x:v>193.61149536234734</x:v>
      </x:c>
      <x:c r="AN67" s="40" t="n">
        <x:f>-2*AL67/Inputs!$C$14</x:f>
        <x:v>29.070795099451555</x:v>
      </x:c>
      <x:c r="AO67" s="40" t="n">
        <x:f>ABS(AM67)</x:f>
        <x:v>193.61149536234734</x:v>
      </x:c>
      <x:c r="AP67" s="40" t="n">
        <x:f>ABS(AN67)</x:f>
        <x:v>29.070795099451555</x:v>
      </x:c>
      <x:c r="AQ67" s="40" t="n">
        <x:f>IF(Inputs!$C$27="ON",Inputs!$C$46/Inputs!$C$12,0)</x:f>
        <x:v>42.13483146067416</x:v>
      </x:c>
      <x:c r="AR67" s="40" t="n">
        <x:f>AC67-AQ67</x:f>
        <x:v>807.5790813109627</x:v>
      </x:c>
      <x:c r="AS67" s="40" t="n">
        <x:f>AC67+AQ67</x:f>
        <x:v>891.848744232311</x:v>
      </x:c>
    </x:row>
    <x:row r="68">
      <x:c r="A68" s="40" t="n">
        <x:f>Inputs!$C$7+66*(Inputs!$C$8-Inputs!$C$7)/240</x:f>
        <x:v>-27</x:v>
      </x:c>
      <x:c r="B68" s="40" t="n">
        <x:f>Inputs!$C$5+Inputs!$C$9*(A68/Inputs!$C$10)^2</x:f>
        <x:v>400.81</x:v>
      </x:c>
      <x:c r="C68" s="40" t="n">
        <x:f>B68</x:f>
        <x:v>400.81</x:v>
      </x:c>
      <x:c r="D68" s="40" t="n">
        <x:f>SQRT(A68^2+Inputs!$C$6^2+B68^2)</x:f>
        <x:v>402.4955355031904</x:v>
      </x:c>
      <x:c r="E68" s="40" t="n">
        <x:f>(D68-C68)*1000</x:f>
        <x:v>1685.5355031904082</x:v>
      </x:c>
      <x:c r="F68" s="40" t="n">
        <x:f>E68/Inputs!$C$12</x:f>
        <x:v>946.9300579721395</x:v>
      </x:c>
      <x:c r="G68" s="40" t="n">
        <x:f>2*E68/Inputs!$C$21*1000000</x:f>
        <x:v>11.244682500921408</x:v>
      </x:c>
      <x:c r="H68" s="40" t="n">
        <x:f>SQRT(A68^2+Inputs!$C$6^2)</x:f>
        <x:v>36.796738985948195</x:v>
      </x:c>
      <x:c r="I68" s="40" t="n">
        <x:f>DEGREES(ATAN(H68/B68))</x:f>
        <x:v>5.2453892719816</x:v>
      </x:c>
      <x:c r="J68" s="40" t="n">
        <x:f>DEGREES((2*PI()/Inputs!$C$13)*Inputs!$C$15*SIN(RADIANS(I68)))</x:f>
        <x:v>32.911734085150734</x:v>
      </x:c>
      <x:c r="K68" s="40" t="n">
        <x:f>(C68/D68)^4</x:f>
        <x:v>0.9833540789698759</x:v>
      </x:c>
      <x:c r="L68" s="40" t="n">
        <x:f>10*LOG10(K68)</x:f>
        <x:v>-0.0729007641563313</x:v>
      </x:c>
      <x:c r="M68" s="40" t="n">
        <x:f>2*(Inputs!$C$9/(Inputs!$C$10^2))*A68</x:f>
        <x:v>-0.06</x:v>
      </x:c>
      <x:c r="N68" s="40" t="n">
        <x:f>M68*Inputs!$C$11</x:f>
        <x:v>-0.24</x:v>
      </x:c>
      <x:c r="O68" s="40" t="n">
        <x:f>1000*((A68*Inputs!$C$11)+(B68*N68))/D68</x:f>
        <x:v>-507.3209066647683</x:v>
      </x:c>
      <x:c r="P68" s="40" t="n">
        <x:f>-2*O68/Inputs!$C$13</x:f>
        <x:v>202.92836266590731</x:v>
      </x:c>
      <x:c r="Q68" s="40" t="n">
        <x:f>-2*O68/Inputs!$C$14</x:f>
        <x:v>30.46972412401011</x:v>
      </x:c>
      <x:c r="R68" s="40" t="n">
        <x:f>F68-Inputs!$C$16/2</x:f>
        <x:v>931.9300579721395</x:v>
      </x:c>
      <x:c r="S68" s="40" t="n">
        <x:f>F68+Inputs!$C$16/2</x:f>
        <x:v>961.9300579721395</x:v>
      </x:c>
      <x:c r="T68" s="40" t="n">
        <x:f>F68-Inputs!$C$17/2</x:f>
        <x:v>796.9300579721395</x:v>
      </x:c>
      <x:c r="U68" s="40" t="n">
        <x:f>F68+Inputs!$C$17/2</x:f>
        <x:v>1096.9300579721394</x:v>
      </x:c>
      <x:c r="V68" s="40" t="n">
        <x:f>ABS(P68)</x:f>
        <x:v>202.92836266590731</x:v>
      </x:c>
      <x:c r="W68" s="40" t="n">
        <x:f>ABS(Q68)</x:f>
        <x:v>30.46972412401011</x:v>
      </x:c>
      <x:c r="X68" s="40" t="n">
        <x:f>IF(Inputs!$C$27="ON",1,0)*(Inputs!$C$28*EXP(-(((A68)-Inputs!$C$29)^2)/(2*Inputs!$C$31^2))*EXP(-(((0)-Inputs!$C$30)^2)/(2*Inputs!$C$32^2))+-Inputs!$C$33*EXP(-(((((A68)-Inputs!$C$34)^2)+(((0)-Inputs!$C$35)^2))/(2*Inputs!$C$36^2)))+Inputs!$C$37*(0.55*SIN(2*PI()*(A68)/Inputs!$C$39)+0.35*COS(2*PI()*(0)/Inputs!$C$40)+0.2*SIN(2*PI()*((A68)+(0))/(0.5*(Inputs!$C$39+Inputs!$C$40))))+Inputs!$C$38*SIN(2*PI()*(A68)/Inputs!$C$39)*SIN(2*PI()*(0)/Inputs!$C$40)+-Inputs!$C$41*EXP(-(((0)-Inputs!$C$43)^2)/(2*Inputs!$C$44^2))*EXP(-(((A68)-Inputs!$C$42)^2)/(2*Inputs!$C$45^2)))</x:f>
        <x:v>-26.847146556781</x:v>
      </x:c>
      <x:c r="Y68" s="40" t="n">
        <x:f>IF(Inputs!$C$27="ON",1,0)*(Inputs!$C$28*EXP(-(((A68)-Inputs!$C$29)^2)/(2*Inputs!$C$31^2))*EXP(-(((Inputs!$C$6)-Inputs!$C$30)^2)/(2*Inputs!$C$32^2))+-Inputs!$C$33*EXP(-(((((A68)-Inputs!$C$34)^2)+(((Inputs!$C$6)-Inputs!$C$35)^2))/(2*Inputs!$C$36^2)))+Inputs!$C$37*(0.55*SIN(2*PI()*(A68)/Inputs!$C$39)+0.35*COS(2*PI()*(Inputs!$C$6)/Inputs!$C$40)+0.2*SIN(2*PI()*((A68)+(Inputs!$C$6))/(0.5*(Inputs!$C$39+Inputs!$C$40))))+Inputs!$C$38*SIN(2*PI()*(A68)/Inputs!$C$39)*SIN(2*PI()*(Inputs!$C$6)/Inputs!$C$40)+-Inputs!$C$41*EXP(-(((Inputs!$C$6)-Inputs!$C$43)^2)/(2*Inputs!$C$44^2))*EXP(-(((A68)-Inputs!$C$42)^2)/(2*Inputs!$C$45^2)))</x:f>
        <x:v>185.92732416766825</x:v>
      </x:c>
      <x:c r="Z68" s="40" t="n">
        <x:f>B68-X68/1000</x:f>
        <x:v>400.8368471465568</x:v>
      </x:c>
      <x:c r="AA68" s="40" t="n">
        <x:f>SQRT(A68^2+Inputs!$C$6^2+(B68-Y68/1000)^2)</x:f>
        <x:v>402.3103871482448</x:v>
      </x:c>
      <x:c r="AB68" s="40" t="n">
        <x:f>(AA68-Z68)*1000</x:f>
        <x:v>1473.5400016879794</x:v>
      </x:c>
      <x:c r="AC68" s="40" t="n">
        <x:f>AB68/Inputs!$C$12</x:f>
        <x:v>827.8314616224603</x:v>
      </x:c>
      <x:c r="AD68" s="40" t="n">
        <x:f>2*AB68/Inputs!$C$21*1000000</x:f>
        <x:v>9.830400748026687</x:v>
      </x:c>
      <x:c r="AE68" s="40" t="n">
        <x:f>DEGREES(ATAN(H68/(B68-Y68/1000)))</x:f>
        <x:v>5.247810038313804</x:v>
      </x:c>
      <x:c r="AF68" s="40" t="n">
        <x:f>DEGREES((2*PI()/Inputs!$C$13)*Inputs!$C$15*SIN(RADIANS(AE68)))</x:f>
        <x:v>32.92688048360062</x:v>
      </x:c>
      <x:c r="AG68" s="40" t="n">
        <x:f>(Z68/AA68)^4</x:f>
        <x:v>0.9854295180203113</x:v>
      </x:c>
      <x:c r="AH68" s="40" t="n">
        <x:f>10*LOG10(AG68)</x:f>
        <x:v>-0.0637443280462997</x:v>
      </x:c>
      <x:c r="AI68" s="40" t="n">
        <x:f>AC68-F68</x:f>
        <x:v>-119.09859634967916</x:v>
      </x:c>
      <x:c r="AJ68" s="40" t="n">
        <x:f>AD68-G68</x:f>
        <x:v>-1.4142817528947216</x:v>
      </x:c>
      <x:c r="AK68" s="40" t="n">
        <x:f>Y68-X68</x:f>
        <x:v>212.77447072444926</x:v>
      </x:c>
      <x:c r="AL68" s="40" t="n">
        <x:f>1000*(AA69-AA67)/(A69-A67)*Inputs!$C$11</x:f>
        <x:v>-477.29589519349247</x:v>
      </x:c>
      <x:c r="AM68" s="40" t="n">
        <x:f>-2*AL68/Inputs!$C$13</x:f>
        <x:v>190.918358077397</x:v>
      </x:c>
      <x:c r="AN68" s="40" t="n">
        <x:f>-2*AL68/Inputs!$C$14</x:f>
        <x:v>28.66642013174129</x:v>
      </x:c>
      <x:c r="AO68" s="40" t="n">
        <x:f>ABS(AM68)</x:f>
        <x:v>190.918358077397</x:v>
      </x:c>
      <x:c r="AP68" s="40" t="n">
        <x:f>ABS(AN68)</x:f>
        <x:v>28.66642013174129</x:v>
      </x:c>
      <x:c r="AQ68" s="40" t="n">
        <x:f>IF(Inputs!$C$27="ON",Inputs!$C$46/Inputs!$C$12,0)</x:f>
        <x:v>42.13483146067416</x:v>
      </x:c>
      <x:c r="AR68" s="40" t="n">
        <x:f>AC68-AQ68</x:f>
        <x:v>785.6966301617862</x:v>
      </x:c>
      <x:c r="AS68" s="40" t="n">
        <x:f>AC68+AQ68</x:f>
        <x:v>869.9662930831345</x:v>
      </x:c>
    </x:row>
    <x:row r="69">
      <x:c r="A69" s="40" t="n">
        <x:f>Inputs!$C$7+67*(Inputs!$C$8-Inputs!$C$7)/240</x:f>
        <x:v>-26.5</x:v>
      </x:c>
      <x:c r="B69" s="40" t="n">
        <x:f>Inputs!$C$5+Inputs!$C$9*(A69/Inputs!$C$10)^2</x:f>
        <x:v>400.78027777777777</x:v>
      </x:c>
      <x:c r="C69" s="40" t="n">
        <x:f>B69</x:f>
        <x:v>400.78027777777777</x:v>
      </x:c>
      <x:c r="D69" s="40" t="n">
        <x:f>SQRT(A69^2+Inputs!$C$6^2+B69^2)</x:f>
        <x:v>402.43270376006063</x:v>
      </x:c>
      <x:c r="E69" s="40" t="n">
        <x:f>(D69-C69)*1000</x:f>
        <x:v>1652.425982282864</x:v>
      </x:c>
      <x:c r="F69" s="40" t="n">
        <x:f>E69/Inputs!$C$12</x:f>
        <x:v>928.3292035296988</x:v>
      </x:c>
      <x:c r="G69" s="40" t="n">
        <x:f>2*E69/Inputs!$C$21*1000000</x:f>
        <x:v>11.023799553242023</x:v>
      </x:c>
      <x:c r="H69" s="40" t="n">
        <x:f>SQRT(A69^2+Inputs!$C$6^2)</x:f>
        <x:v>36.43144246389374</x:v>
      </x:c>
      <x:c r="I69" s="40" t="n">
        <x:f>DEGREES(ATAN(H69/B69))</x:f>
        <x:v>5.1939853576754125</x:v>
      </x:c>
      <x:c r="J69" s="40" t="n">
        <x:f>DEGREES((2*PI()/Inputs!$C$13)*Inputs!$C$15*SIN(RADIANS(I69)))</x:f>
        <x:v>32.59009311236641</x:v>
      </x:c>
      <x:c r="K69" s="40" t="n">
        <x:f>(C69/D69)^4</x:f>
        <x:v>0.9836765126007667</x:v>
      </x:c>
      <x:c r="L69" s="40" t="n">
        <x:f>10*LOG10(K69)</x:f>
        <x:v>-0.0714769820501437</x:v>
      </x:c>
      <x:c r="M69" s="40" t="n">
        <x:f>2*(Inputs!$C$9/(Inputs!$C$10^2))*A69</x:f>
        <x:v>-0.058888888888888886</x:v>
      </x:c>
      <x:c r="N69" s="40" t="n">
        <x:f>M69*Inputs!$C$11</x:f>
        <x:v>-0.23555555555555555</x:v>
      </x:c>
      <x:c r="O69" s="40" t="n">
        <x:f>1000*((A69*Inputs!$C$11)+(B69*N69))/D69</x:f>
        <x:v>-497.9864188849345</x:v>
      </x:c>
      <x:c r="P69" s="40" t="n">
        <x:f>-2*O69/Inputs!$C$13</x:f>
        <x:v>199.1945675539738</x:v>
      </x:c>
      <x:c r="Q69" s="40" t="n">
        <x:f>-2*O69/Inputs!$C$14</x:f>
        <x:v>29.909094227323397</x:v>
      </x:c>
      <x:c r="R69" s="40" t="n">
        <x:f>F69-Inputs!$C$16/2</x:f>
        <x:v>913.3292035296988</x:v>
      </x:c>
      <x:c r="S69" s="40" t="n">
        <x:f>F69+Inputs!$C$16/2</x:f>
        <x:v>943.3292035296988</x:v>
      </x:c>
      <x:c r="T69" s="40" t="n">
        <x:f>F69-Inputs!$C$17/2</x:f>
        <x:v>778.3292035296988</x:v>
      </x:c>
      <x:c r="U69" s="40" t="n">
        <x:f>F69+Inputs!$C$17/2</x:f>
        <x:v>1078.3292035296988</x:v>
      </x:c>
      <x:c r="V69" s="40" t="n">
        <x:f>ABS(P69)</x:f>
        <x:v>199.1945675539738</x:v>
      </x:c>
      <x:c r="W69" s="40" t="n">
        <x:f>ABS(Q69)</x:f>
        <x:v>29.909094227323397</x:v>
      </x:c>
      <x:c r="X69" s="40" t="n">
        <x:f>IF(Inputs!$C$27="ON",1,0)*(Inputs!$C$28*EXP(-(((A69)-Inputs!$C$29)^2)/(2*Inputs!$C$31^2))*EXP(-(((0)-Inputs!$C$30)^2)/(2*Inputs!$C$32^2))+-Inputs!$C$33*EXP(-(((((A69)-Inputs!$C$34)^2)+(((0)-Inputs!$C$35)^2))/(2*Inputs!$C$36^2)))+Inputs!$C$37*(0.55*SIN(2*PI()*(A69)/Inputs!$C$39)+0.35*COS(2*PI()*(0)/Inputs!$C$40)+0.2*SIN(2*PI()*((A69)+(0))/(0.5*(Inputs!$C$39+Inputs!$C$40))))+Inputs!$C$38*SIN(2*PI()*(A69)/Inputs!$C$39)*SIN(2*PI()*(0)/Inputs!$C$40)+-Inputs!$C$41*EXP(-(((0)-Inputs!$C$43)^2)/(2*Inputs!$C$44^2))*EXP(-(((A69)-Inputs!$C$42)^2)/(2*Inputs!$C$45^2)))</x:f>
        <x:v>-36.64603351833771</x:v>
      </x:c>
      <x:c r="Y69" s="40" t="n">
        <x:f>IF(Inputs!$C$27="ON",1,0)*(Inputs!$C$28*EXP(-(((A69)-Inputs!$C$29)^2)/(2*Inputs!$C$31^2))*EXP(-(((Inputs!$C$6)-Inputs!$C$30)^2)/(2*Inputs!$C$32^2))+-Inputs!$C$33*EXP(-(((((A69)-Inputs!$C$34)^2)+(((Inputs!$C$6)-Inputs!$C$35)^2))/(2*Inputs!$C$36^2)))+Inputs!$C$37*(0.55*SIN(2*PI()*(A69)/Inputs!$C$39)+0.35*COS(2*PI()*(Inputs!$C$6)/Inputs!$C$40)+0.2*SIN(2*PI()*((A69)+(Inputs!$C$6))/(0.5*(Inputs!$C$39+Inputs!$C$40))))+Inputs!$C$38*SIN(2*PI()*(A69)/Inputs!$C$39)*SIN(2*PI()*(Inputs!$C$6)/Inputs!$C$40)+-Inputs!$C$41*EXP(-(((Inputs!$C$6)-Inputs!$C$43)^2)/(2*Inputs!$C$44^2))*EXP(-(((A69)-Inputs!$C$42)^2)/(2*Inputs!$C$45^2)))</x:f>
        <x:v>182.35972290918212</x:v>
      </x:c>
      <x:c r="Z69" s="40" t="n">
        <x:f>B69-X69/1000</x:f>
        <x:v>400.81692381129614</x:v>
      </x:c>
      <x:c r="AA69" s="40" t="n">
        <x:f>SQRT(A69^2+Inputs!$C$6^2+(B69-Y69/1000)^2)</x:f>
        <x:v>402.25109316183995</x:v>
      </x:c>
      <x:c r="AB69" s="40" t="n">
        <x:f>(AA69-Z69)*1000</x:f>
        <x:v>1434.1693505438116</x:v>
      </x:c>
      <x:c r="AC69" s="40" t="n">
        <x:f>AB69/Inputs!$C$12</x:f>
        <x:v>805.7131182830402</x:v>
      </x:c>
      <x:c r="AD69" s="40" t="n">
        <x:f>2*AB69/Inputs!$C$21*1000000</x:f>
        <x:v>9.567748035501358</x:v>
      </x:c>
      <x:c r="AE69" s="40" t="n">
        <x:f>DEGREES(ATAN(H69/(B69-Y69/1000)))</x:f>
        <x:v>5.196336816745052</x:v>
      </x:c>
      <x:c r="AF69" s="40" t="n">
        <x:f>DEGREES((2*PI()/Inputs!$C$13)*Inputs!$C$15*SIN(RADIANS(AE69)))</x:f>
        <x:v>32.604807071897724</x:v>
      </x:c>
      <x:c r="AG69" s="40" t="n">
        <x:f>(Z69/AA69)^4</x:f>
        <x:v>0.9858146555961298</x:v>
      </x:c>
      <x:c r="AH69" s="40" t="n">
        <x:f>10*LOG10(AG69)</x:f>
        <x:v>-0.0620472970207318</x:v>
      </x:c>
      <x:c r="AI69" s="40" t="n">
        <x:f>AC69-F69</x:f>
        <x:v>-122.6160852466586</x:v>
      </x:c>
      <x:c r="AJ69" s="40" t="n">
        <x:f>AD69-G69</x:f>
        <x:v>-1.456051517740665</x:v>
      </x:c>
      <x:c r="AK69" s="40" t="n">
        <x:f>Y69-X69</x:f>
        <x:v>219.00575642751983</x:v>
      </x:c>
      <x:c r="AL69" s="40" t="n">
        <x:f>1000*(AA70-AA68)/(A70-A68)*Inputs!$C$11</x:f>
        <x:v>-472.1808953584059</x:v>
      </x:c>
      <x:c r="AM69" s="40" t="n">
        <x:f>-2*AL69/Inputs!$C$13</x:f>
        <x:v>188.87235814336236</x:v>
      </x:c>
      <x:c r="AN69" s="40" t="n">
        <x:f>-2*AL69/Inputs!$C$14</x:f>
        <x:v>28.359212934438794</x:v>
      </x:c>
      <x:c r="AO69" s="40" t="n">
        <x:f>ABS(AM69)</x:f>
        <x:v>188.87235814336236</x:v>
      </x:c>
      <x:c r="AP69" s="40" t="n">
        <x:f>ABS(AN69)</x:f>
        <x:v>28.359212934438794</x:v>
      </x:c>
      <x:c r="AQ69" s="40" t="n">
        <x:f>IF(Inputs!$C$27="ON",Inputs!$C$46/Inputs!$C$12,0)</x:f>
        <x:v>42.13483146067416</x:v>
      </x:c>
      <x:c r="AR69" s="40" t="n">
        <x:f>AC69-AQ69</x:f>
        <x:v>763.5782868223661</x:v>
      </x:c>
      <x:c r="AS69" s="40" t="n">
        <x:f>AC69+AQ69</x:f>
        <x:v>847.8479497437144</x:v>
      </x:c>
    </x:row>
    <x:row r="70">
      <x:c r="A70" s="40" t="n">
        <x:f>Inputs!$C$7+68*(Inputs!$C$8-Inputs!$C$7)/240</x:f>
        <x:v>-26</x:v>
      </x:c>
      <x:c r="B70" s="40" t="n">
        <x:f>Inputs!$C$5+Inputs!$C$9*(A70/Inputs!$C$10)^2</x:f>
        <x:v>400.75111111111113</x:v>
      </x:c>
      <x:c r="C70" s="40" t="n">
        <x:f>B70</x:f>
        <x:v>400.75111111111113</x:v>
      </x:c>
      <x:c r="D70" s="40" t="n">
        <x:f>SQRT(A70^2+Inputs!$C$6^2+B70^2)</x:f>
        <x:v>402.37103903833605</x:v>
      </x:c>
      <x:c r="E70" s="40" t="n">
        <x:f>(D70-C70)*1000</x:f>
        <x:v>1619.9279272249214</x:v>
      </x:c>
      <x:c r="F70" s="40" t="n">
        <x:f>E70/Inputs!$C$12</x:f>
        <x:v>910.071869227484</x:v>
      </x:c>
      <x:c r="G70" s="40" t="n">
        <x:f>2*E70/Inputs!$C$21*1000000</x:f>
        <x:v>10.806995866619976</x:v>
      </x:c>
      <x:c r="H70" s="40" t="n">
        <x:f>SQRT(A70^2+Inputs!$C$6^2)</x:f>
        <x:v>36.069377593742864</x:v>
      </x:c>
      <x:c r="I70" s="40" t="n">
        <x:f>DEGREES(ATAN(H70/B70))</x:f>
        <x:v>5.143016660077165</x:v>
      </x:c>
      <x:c r="J70" s="40" t="n">
        <x:f>DEGREES((2*PI()/Inputs!$C$13)*Inputs!$C$15*SIN(RADIANS(I70)))</x:f>
        <x:v>32.27114944649454</x:v>
      </x:c>
      <x:c r="K70" s="40" t="n">
        <x:f>(C70/D70)^4</x:f>
        <x:v>0.9839931668625745</x:v>
      </x:c>
      <x:c r="L70" s="40" t="n">
        <x:f>10*LOG10(K70)</x:f>
        <x:v>-0.0700791742656688</x:v>
      </x:c>
      <x:c r="M70" s="40" t="n">
        <x:f>2*(Inputs!$C$9/(Inputs!$C$10^2))*A70</x:f>
        <x:v>-0.057777777777777775</x:v>
      </x:c>
      <x:c r="N70" s="40" t="n">
        <x:f>M70*Inputs!$C$11</x:f>
        <x:v>-0.2311111111111111</x:v>
      </x:c>
      <x:c r="O70" s="40" t="n">
        <x:f>1000*((A70*Inputs!$C$11)+(B70*N70))/D70</x:f>
        <x:v>-488.6485743054892</x:v>
      </x:c>
      <x:c r="P70" s="40" t="n">
        <x:f>-2*O70/Inputs!$C$13</x:f>
        <x:v>195.4594297221957</x:v>
      </x:c>
      <x:c r="Q70" s="40" t="n">
        <x:f>-2*O70/Inputs!$C$14</x:f>
        <x:v>29.348262721050407</x:v>
      </x:c>
      <x:c r="R70" s="40" t="n">
        <x:f>F70-Inputs!$C$16/2</x:f>
        <x:v>895.071869227484</x:v>
      </x:c>
      <x:c r="S70" s="40" t="n">
        <x:f>F70+Inputs!$C$16/2</x:f>
        <x:v>925.071869227484</x:v>
      </x:c>
      <x:c r="T70" s="40" t="n">
        <x:f>F70-Inputs!$C$17/2</x:f>
        <x:v>760.071869227484</x:v>
      </x:c>
      <x:c r="U70" s="40" t="n">
        <x:f>F70+Inputs!$C$17/2</x:f>
        <x:v>1060.071869227484</x:v>
      </x:c>
      <x:c r="V70" s="40" t="n">
        <x:f>ABS(P70)</x:f>
        <x:v>195.4594297221957</x:v>
      </x:c>
      <x:c r="W70" s="40" t="n">
        <x:f>ABS(Q70)</x:f>
        <x:v>29.348262721050407</x:v>
      </x:c>
      <x:c r="X70" s="40" t="n">
        <x:f>IF(Inputs!$C$27="ON",1,0)*(Inputs!$C$28*EXP(-(((A70)-Inputs!$C$29)^2)/(2*Inputs!$C$31^2))*EXP(-(((0)-Inputs!$C$30)^2)/(2*Inputs!$C$32^2))+-Inputs!$C$33*EXP(-(((((A70)-Inputs!$C$34)^2)+(((0)-Inputs!$C$35)^2))/(2*Inputs!$C$36^2)))+Inputs!$C$37*(0.55*SIN(2*PI()*(A70)/Inputs!$C$39)+0.35*COS(2*PI()*(0)/Inputs!$C$40)+0.2*SIN(2*PI()*((A70)+(0))/(0.5*(Inputs!$C$39+Inputs!$C$40))))+Inputs!$C$38*SIN(2*PI()*(A70)/Inputs!$C$39)*SIN(2*PI()*(0)/Inputs!$C$40)+-Inputs!$C$41*EXP(-(((0)-Inputs!$C$43)^2)/(2*Inputs!$C$44^2))*EXP(-(((A70)-Inputs!$C$42)^2)/(2*Inputs!$C$45^2)))</x:f>
        <x:v>-46.85242946149378</x:v>
      </x:c>
      <x:c r="Y70" s="40" t="n">
        <x:f>IF(Inputs!$C$27="ON",1,0)*(Inputs!$C$28*EXP(-(((A70)-Inputs!$C$29)^2)/(2*Inputs!$C$31^2))*EXP(-(((Inputs!$C$6)-Inputs!$C$30)^2)/(2*Inputs!$C$32^2))+-Inputs!$C$33*EXP(-(((((A70)-Inputs!$C$34)^2)+(((Inputs!$C$6)-Inputs!$C$35)^2))/(2*Inputs!$C$36^2)))+Inputs!$C$37*(0.55*SIN(2*PI()*(A70)/Inputs!$C$39)+0.35*COS(2*PI()*(Inputs!$C$6)/Inputs!$C$40)+0.2*SIN(2*PI()*((A70)+(Inputs!$C$6))/(0.5*(Inputs!$C$39+Inputs!$C$40))))+Inputs!$C$38*SIN(2*PI()*(A70)/Inputs!$C$39)*SIN(2*PI()*(Inputs!$C$6)/Inputs!$C$40)+-Inputs!$C$41*EXP(-(((Inputs!$C$6)-Inputs!$C$43)^2)/(2*Inputs!$C$44^2))*EXP(-(((A70)-Inputs!$C$42)^2)/(2*Inputs!$C$45^2)))</x:f>
        <x:v>179.4197715487386</x:v>
      </x:c>
      <x:c r="Z70" s="40" t="n">
        <x:f>B70-X70/1000</x:f>
        <x:v>400.7979635405726</x:v>
      </x:c>
      <x:c r="AA70" s="40" t="n">
        <x:f>SQRT(A70^2+Inputs!$C$6^2+(B70-Y70/1000)^2)</x:f>
        <x:v>402.1923419244052</x:v>
      </x:c>
      <x:c r="AB70" s="40" t="n">
        <x:f>(AA70-Z70)*1000</x:f>
        <x:v>1394.3783838325885</x:v>
      </x:c>
      <x:c r="AC70" s="40" t="n">
        <x:f>AB70/Inputs!$C$12</x:f>
        <x:v>783.3586426025778</x:v>
      </x:c>
      <x:c r="AD70" s="40" t="n">
        <x:f>2*AB70/Inputs!$C$21*1000000</x:f>
        <x:v>9.302291279339578</x:v>
      </x:c>
      <x:c r="AE70" s="40" t="n">
        <x:f>DEGREES(ATAN(H70/(B70-Y70/1000)))</x:f>
        <x:v>5.145307902641933</x:v>
      </x:c>
      <x:c r="AF70" s="40" t="n">
        <x:f>DEGREES((2*PI()/Inputs!$C$13)*Inputs!$C$15*SIN(RADIANS(AE70)))</x:f>
        <x:v>32.28548776343446</x:v>
      </x:c>
      <x:c r="AG70" s="40" t="n">
        <x:f>(Z70/AA70)^4</x:f>
        <x:v>0.9862041750996398</x:v>
      </x:c>
      <x:c r="AH70" s="40" t="n">
        <x:f>10*LOG10(AG70)</x:f>
        <x:v>-0.060331632134221394</x:v>
      </x:c>
      <x:c r="AI70" s="40" t="n">
        <x:f>AC70-F70</x:f>
        <x:v>-126.71322662490616</x:v>
      </x:c>
      <x:c r="AJ70" s="40" t="n">
        <x:f>AD70-G70</x:f>
        <x:v>-1.5047045872803988</x:v>
      </x:c>
      <x:c r="AK70" s="40" t="n">
        <x:f>Y70-X70</x:f>
        <x:v>226.27220101023238</x:v>
      </x:c>
      <x:c r="AL70" s="40" t="n">
        <x:f>1000*(AA71-AA69)/(A71-A69)*Inputs!$C$11</x:f>
        <x:v>-468.5212228537239</x:v>
      </x:c>
      <x:c r="AM70" s="40" t="n">
        <x:f>-2*AL70/Inputs!$C$13</x:f>
        <x:v>187.40848914148955</x:v>
      </x:c>
      <x:c r="AN70" s="40" t="n">
        <x:f>-2*AL70/Inputs!$C$14</x:f>
        <x:v>28.139412784007444</x:v>
      </x:c>
      <x:c r="AO70" s="40" t="n">
        <x:f>ABS(AM70)</x:f>
        <x:v>187.40848914148955</x:v>
      </x:c>
      <x:c r="AP70" s="40" t="n">
        <x:f>ABS(AN70)</x:f>
        <x:v>28.139412784007444</x:v>
      </x:c>
      <x:c r="AQ70" s="40" t="n">
        <x:f>IF(Inputs!$C$27="ON",Inputs!$C$46/Inputs!$C$12,0)</x:f>
        <x:v>42.13483146067416</x:v>
      </x:c>
      <x:c r="AR70" s="40" t="n">
        <x:f>AC70-AQ70</x:f>
        <x:v>741.2238111419036</x:v>
      </x:c>
      <x:c r="AS70" s="40" t="n">
        <x:f>AC70+AQ70</x:f>
        <x:v>825.4934740632519</x:v>
      </x:c>
    </x:row>
    <x:row r="71">
      <x:c r="A71" s="40" t="n">
        <x:f>Inputs!$C$7+69*(Inputs!$C$8-Inputs!$C$7)/240</x:f>
        <x:v>-25.5</x:v>
      </x:c>
      <x:c r="B71" s="40" t="n">
        <x:f>Inputs!$C$5+Inputs!$C$9*(A71/Inputs!$C$10)^2</x:f>
        <x:v>400.7225</x:v>
      </x:c>
      <x:c r="C71" s="40" t="n">
        <x:f>B71</x:f>
        <x:v>400.7225</x:v>
      </x:c>
      <x:c r="D71" s="40" t="n">
        <x:f>SQRT(A71^2+Inputs!$C$6^2+B71^2)</x:f>
        <x:v>402.31054175381735</x:v>
      </x:c>
      <x:c r="E71" s="40" t="n">
        <x:f>(D71-C71)*1000</x:f>
        <x:v>1588.041753817322</x:v>
      </x:c>
      <x:c r="F71" s="40" t="n">
        <x:f>E71/Inputs!$C$12</x:f>
        <x:v>892.1582886614168</x:v>
      </x:c>
      <x:c r="G71" s="40" t="n">
        <x:f>2*E71/Inputs!$C$21*1000000</x:f>
        <x:v>10.594274214979231</x:v>
      </x:c>
      <x:c r="H71" s="40" t="n">
        <x:f>SQRT(A71^2+Inputs!$C$6^2)</x:f>
        <x:v>35.71064267133819</x:v>
      </x:c>
      <x:c r="I71" s="40" t="n">
        <x:f>DEGREES(ATAN(H71/B71))</x:f>
        <x:v>5.092497724666333</x:v>
      </x:c>
      <x:c r="J71" s="40" t="n">
        <x:f>DEGREES((2*PI()/Inputs!$C$13)*Inputs!$C$15*SIN(RADIANS(I71)))</x:f>
        <x:v>31.95499502856307</x:v>
      </x:c>
      <x:c r="K71" s="40" t="n">
        <x:f>(C71/D71)^4</x:f>
        <x:v>0.9843040280049287</x:v>
      </x:c>
      <x:c r="L71" s="40" t="n">
        <x:f>10*LOG10(K71)</x:f>
        <x:v>-0.0687073765489717</x:v>
      </x:c>
      <x:c r="M71" s="40" t="n">
        <x:f>2*(Inputs!$C$9/(Inputs!$C$10^2))*A71</x:f>
        <x:v>-0.056666666666666664</x:v>
      </x:c>
      <x:c r="N71" s="40" t="n">
        <x:f>M71*Inputs!$C$11</x:f>
        <x:v>-0.22666666666666666</x:v>
      </x:c>
      <x:c r="O71" s="40" t="n">
        <x:f>1000*((A71*Inputs!$C$11)+(B71*N71))/D71</x:f>
        <x:v>-479.3074337369228</x:v>
      </x:c>
      <x:c r="P71" s="40" t="n">
        <x:f>-2*O71/Inputs!$C$13</x:f>
        <x:v>191.72297349476912</x:v>
      </x:c>
      <x:c r="Q71" s="40" t="n">
        <x:f>-2*O71/Inputs!$C$14</x:f>
        <x:v>28.787233257472842</x:v>
      </x:c>
      <x:c r="R71" s="40" t="n">
        <x:f>F71-Inputs!$C$16/2</x:f>
        <x:v>877.1582886614168</x:v>
      </x:c>
      <x:c r="S71" s="40" t="n">
        <x:f>F71+Inputs!$C$16/2</x:f>
        <x:v>907.1582886614168</x:v>
      </x:c>
      <x:c r="T71" s="40" t="n">
        <x:f>F71-Inputs!$C$17/2</x:f>
        <x:v>742.1582886614168</x:v>
      </x:c>
      <x:c r="U71" s="40" t="n">
        <x:f>F71+Inputs!$C$17/2</x:f>
        <x:v>1042.158288661417</x:v>
      </x:c>
      <x:c r="V71" s="40" t="n">
        <x:f>ABS(P71)</x:f>
        <x:v>191.72297349476912</x:v>
      </x:c>
      <x:c r="W71" s="40" t="n">
        <x:f>ABS(Q71)</x:f>
        <x:v>28.787233257472842</x:v>
      </x:c>
      <x:c r="X71" s="40" t="n">
        <x:f>IF(Inputs!$C$27="ON",1,0)*(Inputs!$C$28*EXP(-(((A71)-Inputs!$C$29)^2)/(2*Inputs!$C$31^2))*EXP(-(((0)-Inputs!$C$30)^2)/(2*Inputs!$C$32^2))+-Inputs!$C$33*EXP(-(((((A71)-Inputs!$C$34)^2)+(((0)-Inputs!$C$35)^2))/(2*Inputs!$C$36^2)))+Inputs!$C$37*(0.55*SIN(2*PI()*(A71)/Inputs!$C$39)+0.35*COS(2*PI()*(0)/Inputs!$C$40)+0.2*SIN(2*PI()*((A71)+(0))/(0.5*(Inputs!$C$39+Inputs!$C$40))))+Inputs!$C$38*SIN(2*PI()*(A71)/Inputs!$C$39)*SIN(2*PI()*(0)/Inputs!$C$40)+-Inputs!$C$41*EXP(-(((0)-Inputs!$C$43)^2)/(2*Inputs!$C$44^2))*EXP(-(((A71)-Inputs!$C$42)^2)/(2*Inputs!$C$45^2)))</x:f>
        <x:v>-57.25218918947176</x:v>
      </x:c>
      <x:c r="Y71" s="40" t="n">
        <x:f>IF(Inputs!$C$27="ON",1,0)*(Inputs!$C$28*EXP(-(((A71)-Inputs!$C$29)^2)/(2*Inputs!$C$31^2))*EXP(-(((Inputs!$C$6)-Inputs!$C$30)^2)/(2*Inputs!$C$32^2))+-Inputs!$C$33*EXP(-(((((A71)-Inputs!$C$34)^2)+(((Inputs!$C$6)-Inputs!$C$35)^2))/(2*Inputs!$C$36^2)))+Inputs!$C$37*(0.55*SIN(2*PI()*(A71)/Inputs!$C$39)+0.35*COS(2*PI()*(Inputs!$C$6)/Inputs!$C$40)+0.2*SIN(2*PI()*((A71)+(Inputs!$C$6))/(0.5*(Inputs!$C$39+Inputs!$C$40))))+Inputs!$C$38*SIN(2*PI()*(A71)/Inputs!$C$39)*SIN(2*PI()*(Inputs!$C$6)/Inputs!$C$40)+-Inputs!$C$41*EXP(-(((Inputs!$C$6)-Inputs!$C$43)^2)/(2*Inputs!$C$44^2))*EXP(-(((A71)-Inputs!$C$42)^2)/(2*Inputs!$C$45^2)))</x:f>
        <x:v>177.27897948586016</x:v>
      </x:c>
      <x:c r="Z71" s="40" t="n">
        <x:f>B71-X71/1000</x:f>
        <x:v>400.7797521891895</x:v>
      </x:c>
      <x:c r="AA71" s="40" t="n">
        <x:f>SQRT(A71^2+Inputs!$C$6^2+(B71-Y71/1000)^2)</x:f>
        <x:v>402.1339628561265</x:v>
      </x:c>
      <x:c r="AB71" s="40" t="n">
        <x:f>(AA71-Z71)*1000</x:f>
        <x:v>1354.2106669370355</x:v>
      </x:c>
      <x:c r="AC71" s="40" t="n">
        <x:f>AB71/Inputs!$C$12</x:f>
        <x:v>760.7925095151885</x:v>
      </x:c>
      <x:c r="AD71" s="40" t="n">
        <x:f>2*AB71/Inputs!$C$21*1000000</x:f>
        <x:v>9.034321116490766</x:v>
      </x:c>
      <x:c r="AE71" s="40" t="n">
        <x:f>DEGREES(ATAN(H71/(B71-Y71/1000)))</x:f>
        <x:v>5.094739775088834</x:v>
      </x:c>
      <x:c r="AF71" s="40" t="n">
        <x:f>DEGREES((2*PI()/Inputs!$C$13)*Inputs!$C$15*SIN(RADIANS(AE71)))</x:f>
        <x:v>31.96902661584256</x:v>
      </x:c>
      <x:c r="AG71" s="40" t="n">
        <x:f>(Z71/AA71)^4</x:f>
        <x:v>0.9865976460063881</x:v>
      </x:c>
      <x:c r="AH71" s="40" t="n">
        <x:f>10*LOG10(AG71)</x:f>
        <x:v>-0.0585992508678625</x:v>
      </x:c>
      <x:c r="AI71" s="40" t="n">
        <x:f>AC71-F71</x:f>
        <x:v>-131.3657791462283</x:v>
      </x:c>
      <x:c r="AJ71" s="40" t="n">
        <x:f>AD71-G71</x:f>
        <x:v>-1.5599530984884655</x:v>
      </x:c>
      <x:c r="AK71" s="40" t="n">
        <x:f>Y71-X71</x:f>
        <x:v>234.5311686753319</x:v>
      </x:c>
      <x:c r="AL71" s="40" t="n">
        <x:f>1000*(AA72-AA70)/(A72-A70)*Inputs!$C$11</x:f>
        <x:v>-466.12016196286277</x:v>
      </x:c>
      <x:c r="AM71" s="40" t="n">
        <x:f>-2*AL71/Inputs!$C$13</x:f>
        <x:v>186.4480647851451</x:v>
      </x:c>
      <x:c r="AN71" s="40" t="n">
        <x:f>-2*AL71/Inputs!$C$14</x:f>
        <x:v>27.995204922694462</x:v>
      </x:c>
      <x:c r="AO71" s="40" t="n">
        <x:f>ABS(AM71)</x:f>
        <x:v>186.4480647851451</x:v>
      </x:c>
      <x:c r="AP71" s="40" t="n">
        <x:f>ABS(AN71)</x:f>
        <x:v>27.995204922694462</x:v>
      </x:c>
      <x:c r="AQ71" s="40" t="n">
        <x:f>IF(Inputs!$C$27="ON",Inputs!$C$46/Inputs!$C$12,0)</x:f>
        <x:v>42.13483146067416</x:v>
      </x:c>
      <x:c r="AR71" s="40" t="n">
        <x:f>AC71-AQ71</x:f>
        <x:v>718.6576780545143</x:v>
      </x:c>
      <x:c r="AS71" s="40" t="n">
        <x:f>AC71+AQ71</x:f>
        <x:v>802.9273409758626</x:v>
      </x:c>
    </x:row>
    <x:row r="72">
      <x:c r="A72" s="40" t="n">
        <x:f>Inputs!$C$7+70*(Inputs!$C$8-Inputs!$C$7)/240</x:f>
        <x:v>-25</x:v>
      </x:c>
      <x:c r="B72" s="40" t="n">
        <x:f>Inputs!$C$5+Inputs!$C$9*(A72/Inputs!$C$10)^2</x:f>
        <x:v>400.69444444444446</x:v>
      </x:c>
      <x:c r="C72" s="40" t="n">
        <x:f>B72</x:f>
        <x:v>400.69444444444446</x:v>
      </x:c>
      <x:c r="D72" s="40" t="n">
        <x:f>SQRT(A72^2+Inputs!$C$6^2+B72^2)</x:f>
        <x:v>402.2512123146952</x:v>
      </x:c>
      <x:c r="E72" s="40" t="n">
        <x:f>(D72-C72)*1000</x:f>
        <x:v>1556.7678702507237</x:v>
      </x:c>
      <x:c r="F72" s="40" t="n">
        <x:f>E72/Inputs!$C$12</x:f>
        <x:v>874.588691152092</x:v>
      </x:c>
      <x:c r="G72" s="40" t="n">
        <x:f>2*E72/Inputs!$C$21*1000000</x:f>
        <x:v>10.385637321474738</x:v>
      </x:c>
      <x:c r="H72" s="40" t="n">
        <x:f>SQRT(A72^2+Inputs!$C$6^2)</x:f>
        <x:v>35.35533905932738</x:v>
      </x:c>
      <x:c r="I72" s="40" t="n">
        <x:f>DEGREES(ATAN(H72/B72))</x:f>
        <x:v>5.042443535344872</x:v>
      </x:c>
      <x:c r="J72" s="40" t="n">
        <x:f>DEGREES((2*PI()/Inputs!$C$13)*Inputs!$C$15*SIN(RADIANS(I72)))</x:f>
        <x:v>31.64172455346228</x:v>
      </x:c>
      <x:c r="K72" s="40" t="n">
        <x:f>(C72/D72)^4</x:f>
        <x:v>0.9846090825154142</x:v>
      </x:c>
      <x:c r="L72" s="40" t="n">
        <x:f>10*LOG10(K72)</x:f>
        <x:v>-0.06736162400219059</x:v>
      </x:c>
      <x:c r="M72" s="40" t="n">
        <x:f>2*(Inputs!$C$9/(Inputs!$C$10^2))*A72</x:f>
        <x:v>-0.05555555555555555</x:v>
      </x:c>
      <x:c r="N72" s="40" t="n">
        <x:f>M72*Inputs!$C$11</x:f>
        <x:v>-0.2222222222222222</x:v>
      </x:c>
      <x:c r="O72" s="40" t="n">
        <x:f>1000*((A72*Inputs!$C$11)+(B72*N72))/D72</x:f>
        <x:v>-469.963058131564</x:v>
      </x:c>
      <x:c r="P72" s="40" t="n">
        <x:f>-2*O72/Inputs!$C$13</x:f>
        <x:v>187.98522325262562</x:v>
      </x:c>
      <x:c r="Q72" s="40" t="n">
        <x:f>-2*O72/Inputs!$C$14</x:f>
        <x:v>28.226009497391235</x:v>
      </x:c>
      <x:c r="R72" s="40" t="n">
        <x:f>F72-Inputs!$C$16/2</x:f>
        <x:v>859.588691152092</x:v>
      </x:c>
      <x:c r="S72" s="40" t="n">
        <x:f>F72+Inputs!$C$16/2</x:f>
        <x:v>889.588691152092</x:v>
      </x:c>
      <x:c r="T72" s="40" t="n">
        <x:f>F72-Inputs!$C$17/2</x:f>
        <x:v>724.588691152092</x:v>
      </x:c>
      <x:c r="U72" s="40" t="n">
        <x:f>F72+Inputs!$C$17/2</x:f>
        <x:v>1024.588691152092</x:v>
      </x:c>
      <x:c r="V72" s="40" t="n">
        <x:f>ABS(P72)</x:f>
        <x:v>187.98522325262562</x:v>
      </x:c>
      <x:c r="W72" s="40" t="n">
        <x:f>ABS(Q72)</x:f>
        <x:v>28.226009497391235</x:v>
      </x:c>
      <x:c r="X72" s="40" t="n">
        <x:f>IF(Inputs!$C$27="ON",1,0)*(Inputs!$C$28*EXP(-(((A72)-Inputs!$C$29)^2)/(2*Inputs!$C$31^2))*EXP(-(((0)-Inputs!$C$30)^2)/(2*Inputs!$C$32^2))+-Inputs!$C$33*EXP(-(((((A72)-Inputs!$C$34)^2)+(((0)-Inputs!$C$35)^2))/(2*Inputs!$C$36^2)))+Inputs!$C$37*(0.55*SIN(2*PI()*(A72)/Inputs!$C$39)+0.35*COS(2*PI()*(0)/Inputs!$C$40)+0.2*SIN(2*PI()*((A72)+(0))/(0.5*(Inputs!$C$39+Inputs!$C$40))))+Inputs!$C$38*SIN(2*PI()*(A72)/Inputs!$C$39)*SIN(2*PI()*(0)/Inputs!$C$40)+-Inputs!$C$41*EXP(-(((0)-Inputs!$C$43)^2)/(2*Inputs!$C$44^2))*EXP(-(((A72)-Inputs!$C$42)^2)/(2*Inputs!$C$45^2)))</x:f>
        <x:v>-67.61574992822945</x:v>
      </x:c>
      <x:c r="Y72" s="40" t="n">
        <x:f>IF(Inputs!$C$27="ON",1,0)*(Inputs!$C$28*EXP(-(((A72)-Inputs!$C$29)^2)/(2*Inputs!$C$31^2))*EXP(-(((Inputs!$C$6)-Inputs!$C$30)^2)/(2*Inputs!$C$32^2))+-Inputs!$C$33*EXP(-(((((A72)-Inputs!$C$34)^2)+(((Inputs!$C$6)-Inputs!$C$35)^2))/(2*Inputs!$C$36^2)))+Inputs!$C$37*(0.55*SIN(2*PI()*(A72)/Inputs!$C$39)+0.35*COS(2*PI()*(Inputs!$C$6)/Inputs!$C$40)+0.2*SIN(2*PI()*((A72)+(Inputs!$C$6))/(0.5*(Inputs!$C$39+Inputs!$C$40))))+Inputs!$C$38*SIN(2*PI()*(A72)/Inputs!$C$39)*SIN(2*PI()*(Inputs!$C$6)/Inputs!$C$40)+-Inputs!$C$41*EXP(-(((Inputs!$C$6)-Inputs!$C$43)^2)/(2*Inputs!$C$44^2))*EXP(-(((A72)-Inputs!$C$42)^2)/(2*Inputs!$C$45^2)))</x:f>
        <x:v>176.08219109038637</x:v>
      </x:c>
      <x:c r="Z72" s="40" t="n">
        <x:f>B72-X72/1000</x:f>
        <x:v>400.7620601943727</x:v>
      </x:c>
      <x:c r="AA72" s="40" t="n">
        <x:f>SQRT(A72^2+Inputs!$C$6^2+(B72-Y72/1000)^2)</x:f>
        <x:v>402.07581188391447</x:v>
      </x:c>
      <x:c r="AB72" s="40" t="n">
        <x:f>(AA72-Z72)*1000</x:f>
        <x:v>1313.751689541789</x:v>
      </x:c>
      <x:c r="AC72" s="40" t="n">
        <x:f>AB72/Inputs!$C$12</x:f>
        <x:v>738.0627469335892</x:v>
      </x:c>
      <x:c r="AD72" s="40" t="n">
        <x:f>2*AB72/Inputs!$C$21*1000000</x:f>
        <x:v>8.764407872741007</x:v>
      </x:c>
      <x:c r="AE72" s="40" t="n">
        <x:f>DEGREES(ATAN(H72/(B72-Y72/1000)))</x:f>
        <x:v>5.044648937342168</x:v>
      </x:c>
      <x:c r="AF72" s="40" t="n">
        <x:f>DEGREES((2*PI()/Inputs!$C$13)*Inputs!$C$15*SIN(RADIANS(AE72)))</x:f>
        <x:v>31.655527851132227</x:v>
      </x:c>
      <x:c r="AG72" s="40" t="n">
        <x:f>(Z72/AA72)^4</x:f>
        <x:v>0.9869942255493168</x:v>
      </x:c>
      <x:c r="AH72" s="40" t="n">
        <x:f>10*LOG10(AG72)</x:f>
        <x:v>-0.056853881808229895</x:v>
      </x:c>
      <x:c r="AI72" s="40" t="n">
        <x:f>AC72-F72</x:f>
        <x:v>-136.5259442185028</x:v>
      </x:c>
      <x:c r="AJ72" s="40" t="n">
        <x:f>AD72-G72</x:f>
        <x:v>-1.6212294487337306</x:v>
      </x:c>
      <x:c r="AK72" s="40" t="n">
        <x:f>Y72-X72</x:f>
        <x:v>243.69794101861584</x:v>
      </x:c>
      <x:c r="AL72" s="40" t="n">
        <x:f>1000*(AA73-AA71)/(A73-A71)*Inputs!$C$11</x:f>
        <x:v>-464.7540687444689</x:v>
      </x:c>
      <x:c r="AM72" s="40" t="n">
        <x:f>-2*AL72/Inputs!$C$13</x:f>
        <x:v>185.90162749778756</x:v>
      </x:c>
      <x:c r="AN72" s="40" t="n">
        <x:f>-2*AL72/Inputs!$C$14</x:f>
        <x:v>27.913157281950085</x:v>
      </x:c>
      <x:c r="AO72" s="40" t="n">
        <x:f>ABS(AM72)</x:f>
        <x:v>185.90162749778756</x:v>
      </x:c>
      <x:c r="AP72" s="40" t="n">
        <x:f>ABS(AN72)</x:f>
        <x:v>27.913157281950085</x:v>
      </x:c>
      <x:c r="AQ72" s="40" t="n">
        <x:f>IF(Inputs!$C$27="ON",Inputs!$C$46/Inputs!$C$12,0)</x:f>
        <x:v>42.13483146067416</x:v>
      </x:c>
      <x:c r="AR72" s="40" t="n">
        <x:f>AC72-AQ72</x:f>
        <x:v>695.9279154729151</x:v>
      </x:c>
      <x:c r="AS72" s="40" t="n">
        <x:f>AC72+AQ72</x:f>
        <x:v>780.1975783942634</x:v>
      </x:c>
    </x:row>
    <x:row r="73">
      <x:c r="A73" s="40" t="n">
        <x:f>Inputs!$C$7+71*(Inputs!$C$8-Inputs!$C$7)/240</x:f>
        <x:v>-24.5</x:v>
      </x:c>
      <x:c r="B73" s="40" t="n">
        <x:f>Inputs!$C$5+Inputs!$C$9*(A73/Inputs!$C$10)^2</x:f>
        <x:v>400.6669444444444</x:v>
      </x:c>
      <x:c r="C73" s="40" t="n">
        <x:f>B73</x:f>
        <x:v>400.6669444444444</x:v>
      </x:c>
      <x:c r="D73" s="40" t="n">
        <x:f>SQRT(A73^2+Inputs!$C$6^2+B73^2)</x:f>
        <x:v>402.19305112153233</x:v>
      </x:c>
      <x:c r="E73" s="40" t="n">
        <x:f>(D73-C73)*1000</x:f>
        <x:v>1526.1066770879097</x:v>
      </x:c>
      <x:c r="F73" s="40" t="n">
        <x:f>E73/Inputs!$C$12</x:f>
        <x:v>857.3633017347807</x:v>
      </x:c>
      <x:c r="G73" s="40" t="n">
        <x:f>2*E73/Inputs!$C$21*1000000</x:f>
        <x:v>10.18108785837374</x:v>
      </x:c>
      <x:c r="H73" s="40" t="n">
        <x:f>SQRT(A73^2+Inputs!$C$6^2)</x:f>
        <x:v>35.00357124637428</x:v>
      </x:c>
      <x:c r="I73" s="40" t="n">
        <x:f>DEGREES(ATAN(H73/B73))</x:f>
        <x:v>4.99286952278949</x:v>
      </x:c>
      <x:c r="J73" s="40" t="n">
        <x:f>DEGREES((2*PI()/Inputs!$C$13)*Inputs!$C$15*SIN(RADIANS(I73)))</x:f>
        <x:v>31.331435522208846</x:v>
      </x:c>
      <x:c r="K73" s="40" t="n">
        <x:f>(C73/D73)^4</x:f>
        <x:v>0.9849083171209121</x:v>
      </x:c>
      <x:c r="L73" s="40" t="n">
        <x:f>10*LOG10(K73)</x:f>
        <x:v>-0.06604195108144201</x:v>
      </x:c>
      <x:c r="M73" s="40" t="n">
        <x:f>2*(Inputs!$C$9/(Inputs!$C$10^2))*A73</x:f>
        <x:v>-0.05444444444444444</x:v>
      </x:c>
      <x:c r="N73" s="40" t="n">
        <x:f>M73*Inputs!$C$11</x:f>
        <x:v>-0.21777777777777776</x:v>
      </x:c>
      <x:c r="O73" s="40" t="n">
        <x:f>1000*((A73*Inputs!$C$11)+(B73*N73))/D73</x:f>
        <x:v>-460.61550858108626</x:v>
      </x:c>
      <x:c r="P73" s="40" t="n">
        <x:f>-2*O73/Inputs!$C$13</x:f>
        <x:v>184.2462034324345</x:v>
      </x:c>
      <x:c r="Q73" s="40" t="n">
        <x:f>-2*O73/Inputs!$C$14</x:f>
        <x:v>27.664595109975153</x:v>
      </x:c>
      <x:c r="R73" s="40" t="n">
        <x:f>F73-Inputs!$C$16/2</x:f>
        <x:v>842.3633017347807</x:v>
      </x:c>
      <x:c r="S73" s="40" t="n">
        <x:f>F73+Inputs!$C$16/2</x:f>
        <x:v>872.3633017347807</x:v>
      </x:c>
      <x:c r="T73" s="40" t="n">
        <x:f>F73-Inputs!$C$17/2</x:f>
        <x:v>707.3633017347807</x:v>
      </x:c>
      <x:c r="U73" s="40" t="n">
        <x:f>F73+Inputs!$C$17/2</x:f>
        <x:v>1007.3633017347807</x:v>
      </x:c>
      <x:c r="V73" s="40" t="n">
        <x:f>ABS(P73)</x:f>
        <x:v>184.2462034324345</x:v>
      </x:c>
      <x:c r="W73" s="40" t="n">
        <x:f>ABS(Q73)</x:f>
        <x:v>27.664595109975153</x:v>
      </x:c>
      <x:c r="X73" s="40" t="n">
        <x:f>IF(Inputs!$C$27="ON",1,0)*(Inputs!$C$28*EXP(-(((A73)-Inputs!$C$29)^2)/(2*Inputs!$C$31^2))*EXP(-(((0)-Inputs!$C$30)^2)/(2*Inputs!$C$32^2))+-Inputs!$C$33*EXP(-(((((A73)-Inputs!$C$34)^2)+(((0)-Inputs!$C$35)^2))/(2*Inputs!$C$36^2)))+Inputs!$C$37*(0.55*SIN(2*PI()*(A73)/Inputs!$C$39)+0.35*COS(2*PI()*(0)/Inputs!$C$40)+0.2*SIN(2*PI()*((A73)+(0))/(0.5*(Inputs!$C$39+Inputs!$C$40))))+Inputs!$C$38*SIN(2*PI()*(A73)/Inputs!$C$39)*SIN(2*PI()*(0)/Inputs!$C$40)+-Inputs!$C$41*EXP(-(((0)-Inputs!$C$43)^2)/(2*Inputs!$C$44^2))*EXP(-(((A73)-Inputs!$C$42)^2)/(2*Inputs!$C$45^2)))</x:f>
        <x:v>-77.70483335550017</x:v>
      </x:c>
      <x:c r="Y73" s="40" t="n">
        <x:f>IF(Inputs!$C$27="ON",1,0)*(Inputs!$C$28*EXP(-(((A73)-Inputs!$C$29)^2)/(2*Inputs!$C$31^2))*EXP(-(((Inputs!$C$6)-Inputs!$C$30)^2)/(2*Inputs!$C$32^2))+-Inputs!$C$33*EXP(-(((((A73)-Inputs!$C$34)^2)+(((Inputs!$C$6)-Inputs!$C$35)^2))/(2*Inputs!$C$36^2)))+Inputs!$C$37*(0.55*SIN(2*PI()*(A73)/Inputs!$C$39)+0.35*COS(2*PI()*(Inputs!$C$6)/Inputs!$C$40)+0.2*SIN(2*PI()*((A73)+(Inputs!$C$6))/(0.5*(Inputs!$C$39+Inputs!$C$40))))+Inputs!$C$38*SIN(2*PI()*(A73)/Inputs!$C$39)*SIN(2*PI()*(Inputs!$C$6)/Inputs!$C$40)+-Inputs!$C$41*EXP(-(((Inputs!$C$6)-Inputs!$C$43)^2)/(2*Inputs!$C$44^2))*EXP(-(((A73)-Inputs!$C$42)^2)/(2*Inputs!$C$45^2)))</x:f>
        <x:v>175.94468984921437</x:v>
      </x:c>
      <x:c r="Z73" s="40" t="n">
        <x:f>B73-X73/1000</x:f>
        <x:v>400.7446492777999</x:v>
      </x:c>
      <x:c r="AA73" s="40" t="n">
        <x:f>SQRT(A73^2+Inputs!$C$6^2+(B73-Y73/1000)^2)</x:f>
        <x:v>402.0177743389404</x:v>
      </x:c>
      <x:c r="AB73" s="40" t="n">
        <x:f>(AA73-Z73)*1000</x:f>
        <x:v>1273.1250611404903</x:v>
      </x:c>
      <x:c r="AC73" s="40" t="n">
        <x:f>AB73/Inputs!$C$12</x:f>
        <x:v>715.2387983935339</x:v>
      </x:c>
      <x:c r="AD73" s="40" t="n">
        <x:f>2*AB73/Inputs!$C$21*1000000</x:f>
        <x:v>8.493376181868392</x:v>
      </x:c>
      <x:c r="AE73" s="40" t="n">
        <x:f>DEGREES(ATAN(H73/(B73-Y73/1000)))</x:f>
        <x:v>4.995051907620782</x:v>
      </x:c>
      <x:c r="AF73" s="40" t="n">
        <x:f>DEGREES((2*PI()/Inputs!$C$13)*Inputs!$C$15*SIN(RADIANS(AE73)))</x:f>
        <x:v>31.34509579686052</x:v>
      </x:c>
      <x:c r="AG73" s="40" t="n">
        <x:f>(Z73/AA73)^4</x:f>
        <x:v>0.9873926952571453</x:v>
      </x:c>
      <x:c r="AH73" s="40" t="n">
        <x:f>10*LOG10(AG73)</x:f>
        <x:v>-0.0551009002032424</x:v>
      </x:c>
      <x:c r="AI73" s="40" t="n">
        <x:f>AC73-F73</x:f>
        <x:v>-142.12450334124685</x:v>
      </x:c>
      <x:c r="AJ73" s="40" t="n">
        <x:f>AD73-G73</x:f>
        <x:v>-1.687711676505348</x:v>
      </x:c>
      <x:c r="AK73" s="40" t="n">
        <x:f>Y73-X73</x:f>
        <x:v>253.64952320471454</x:v>
      </x:c>
      <x:c r="AL73" s="40" t="n">
        <x:f>1000*(AA74-AA72)/(A74-A72)*Inputs!$C$11</x:f>
        <x:v>-464.1799539422209</x:v>
      </x:c>
      <x:c r="AM73" s="40" t="n">
        <x:f>-2*AL73/Inputs!$C$13</x:f>
        <x:v>185.67198157688836</x:v>
      </x:c>
      <x:c r="AN73" s="40" t="n">
        <x:f>-2*AL73/Inputs!$C$14</x:f>
        <x:v>27.8786759124457</x:v>
      </x:c>
      <x:c r="AO73" s="40" t="n">
        <x:f>ABS(AM73)</x:f>
        <x:v>185.67198157688836</x:v>
      </x:c>
      <x:c r="AP73" s="40" t="n">
        <x:f>ABS(AN73)</x:f>
        <x:v>27.8786759124457</x:v>
      </x:c>
      <x:c r="AQ73" s="40" t="n">
        <x:f>IF(Inputs!$C$27="ON",Inputs!$C$46/Inputs!$C$12,0)</x:f>
        <x:v>42.13483146067416</x:v>
      </x:c>
      <x:c r="AR73" s="40" t="n">
        <x:f>AC73-AQ73</x:f>
        <x:v>673.1039669328597</x:v>
      </x:c>
      <x:c r="AS73" s="40" t="n">
        <x:f>AC73+AQ73</x:f>
        <x:v>757.373629854208</x:v>
      </x:c>
    </x:row>
    <x:row r="74">
      <x:c r="A74" s="40" t="n">
        <x:f>Inputs!$C$7+72*(Inputs!$C$8-Inputs!$C$7)/240</x:f>
        <x:v>-24</x:v>
      </x:c>
      <x:c r="B74" s="40" t="n">
        <x:f>Inputs!$C$5+Inputs!$C$9*(A74/Inputs!$C$10)^2</x:f>
        <x:v>400.64</x:v>
      </x:c>
      <x:c r="C74" s="40" t="n">
        <x:f>B74</x:f>
        <x:v>400.64</x:v>
      </x:c>
      <x:c r="D74" s="40" t="n">
        <x:f>SQRT(A74^2+Inputs!$C$6^2+B74^2)</x:f>
        <x:v>402.1360585672466</x:v>
      </x:c>
      <x:c r="E74" s="40" t="n">
        <x:f>(D74-C74)*1000</x:f>
        <x:v>1496.058567246621</x:v>
      </x:c>
      <x:c r="F74" s="40" t="n">
        <x:f>E74/Inputs!$C$12</x:f>
        <x:v>840.482341149787</x:v>
      </x:c>
      <x:c r="G74" s="40" t="n">
        <x:f>2*E74/Inputs!$C$21*1000000</x:f>
        <x:v>9.980628446941257</x:v>
      </x:c>
      <x:c r="H74" s="40" t="n">
        <x:f>SQRT(A74^2+Inputs!$C$6^2)</x:f>
        <x:v>34.655446902326915</x:v>
      </x:c>
      <x:c r="I74" s="40" t="n">
        <x:f>DEGREES(ATAN(H74/B74))</x:f>
        <x:v>4.943791572217107</x:v>
      </x:c>
      <x:c r="J74" s="40" t="n">
        <x:f>DEGREES((2*PI()/Inputs!$C$13)*Inputs!$C$15*SIN(RADIANS(I74)))</x:f>
        <x:v>31.024228290513804</x:v>
      </x:c>
      <x:c r="K74" s="40" t="n">
        <x:f>(C74/D74)^4</x:f>
        <x:v>0.9852017187889134</x:v>
      </x:c>
      <x:c r="L74" s="40" t="n">
        <x:f>10*LOG10(K74)</x:f>
        <x:v>-0.0647483915947774</x:v>
      </x:c>
      <x:c r="M74" s="40" t="n">
        <x:f>2*(Inputs!$C$9/(Inputs!$C$10^2))*A74</x:f>
        <x:v>-0.05333333333333333</x:v>
      </x:c>
      <x:c r="N74" s="40" t="n">
        <x:f>M74*Inputs!$C$11</x:f>
        <x:v>-0.21333333333333332</x:v>
      </x:c>
      <x:c r="O74" s="40" t="n">
        <x:f>1000*((A74*Inputs!$C$11)+(B74*N74))/D74</x:f>
        <x:v>-451.26484631400103</x:v>
      </x:c>
      <x:c r="P74" s="40" t="n">
        <x:f>-2*O74/Inputs!$C$13</x:f>
        <x:v>180.5059385256004</x:v>
      </x:c>
      <x:c r="Q74" s="40" t="n">
        <x:f>-2*O74/Inputs!$C$14</x:f>
        <x:v>27.102993772612678</x:v>
      </x:c>
      <x:c r="R74" s="40" t="n">
        <x:f>F74-Inputs!$C$16/2</x:f>
        <x:v>825.482341149787</x:v>
      </x:c>
      <x:c r="S74" s="40" t="n">
        <x:f>F74+Inputs!$C$16/2</x:f>
        <x:v>855.482341149787</x:v>
      </x:c>
      <x:c r="T74" s="40" t="n">
        <x:f>F74-Inputs!$C$17/2</x:f>
        <x:v>690.482341149787</x:v>
      </x:c>
      <x:c r="U74" s="40" t="n">
        <x:f>F74+Inputs!$C$17/2</x:f>
        <x:v>990.482341149787</x:v>
      </x:c>
      <x:c r="V74" s="40" t="n">
        <x:f>ABS(P74)</x:f>
        <x:v>180.5059385256004</x:v>
      </x:c>
      <x:c r="W74" s="40" t="n">
        <x:f>ABS(Q74)</x:f>
        <x:v>27.102993772612678</x:v>
      </x:c>
      <x:c r="X74" s="40" t="n">
        <x:f>IF(Inputs!$C$27="ON",1,0)*(Inputs!$C$28*EXP(-(((A74)-Inputs!$C$29)^2)/(2*Inputs!$C$31^2))*EXP(-(((0)-Inputs!$C$30)^2)/(2*Inputs!$C$32^2))+-Inputs!$C$33*EXP(-(((((A74)-Inputs!$C$34)^2)+(((0)-Inputs!$C$35)^2))/(2*Inputs!$C$36^2)))+Inputs!$C$37*(0.55*SIN(2*PI()*(A74)/Inputs!$C$39)+0.35*COS(2*PI()*(0)/Inputs!$C$40)+0.2*SIN(2*PI()*((A74)+(0))/(0.5*(Inputs!$C$39+Inputs!$C$40))))+Inputs!$C$38*SIN(2*PI()*(A74)/Inputs!$C$39)*SIN(2*PI()*(0)/Inputs!$C$40)+-Inputs!$C$41*EXP(-(((0)-Inputs!$C$43)^2)/(2*Inputs!$C$44^2))*EXP(-(((A74)-Inputs!$C$42)^2)/(2*Inputs!$C$45^2)))</x:f>
        <x:v>-87.27973506243531</x:v>
      </x:c>
      <x:c r="Y74" s="40" t="n">
        <x:f>IF(Inputs!$C$27="ON",1,0)*(Inputs!$C$28*EXP(-(((A74)-Inputs!$C$29)^2)/(2*Inputs!$C$31^2))*EXP(-(((Inputs!$C$6)-Inputs!$C$30)^2)/(2*Inputs!$C$32^2))+-Inputs!$C$33*EXP(-(((((A74)-Inputs!$C$34)^2)+(((Inputs!$C$6)-Inputs!$C$35)^2))/(2*Inputs!$C$36^2)))+Inputs!$C$37*(0.55*SIN(2*PI()*(A74)/Inputs!$C$39)+0.35*COS(2*PI()*(Inputs!$C$6)/Inputs!$C$40)+0.2*SIN(2*PI()*((A74)+(Inputs!$C$6))/(0.5*(Inputs!$C$39+Inputs!$C$40))))+Inputs!$C$38*SIN(2*PI()*(A74)/Inputs!$C$39)*SIN(2*PI()*(Inputs!$C$6)/Inputs!$C$40)+-Inputs!$C$41*EXP(-(((Inputs!$C$6)-Inputs!$C$43)^2)/(2*Inputs!$C$44^2))*EXP(-(((A74)-Inputs!$C$42)^2)/(2*Inputs!$C$45^2)))</x:f>
        <x:v>176.9502655362901</x:v>
      </x:c>
      <x:c r="Z74" s="40" t="n">
        <x:f>B74-X74/1000</x:f>
        <x:v>400.72727973506244</x:v>
      </x:c>
      <x:c r="AA74" s="40" t="n">
        <x:f>SQRT(A74^2+Inputs!$C$6^2+(B74-Y74/1000)^2)</x:f>
        <x:v>401.9597668954289</x:v>
      </x:c>
      <x:c r="AB74" s="40" t="n">
        <x:f>(AA74-Z74)*1000</x:f>
        <x:v>1232.4871603664747</x:v>
      </x:c>
      <x:c r="AC74" s="40" t="n">
        <x:f>AB74/Inputs!$C$12</x:f>
        <x:v>692.4085170598172</x:v>
      </x:c>
      <x:c r="AD74" s="40" t="n">
        <x:f>2*AB74/Inputs!$C$21*1000000</x:f>
        <x:v>8.222269289819657</x:v>
      </x:c>
      <x:c r="AE74" s="40" t="n">
        <x:f>DEGREES(ATAN(H74/(B74-Y74/1000)))</x:f>
        <x:v>4.945965222901368</x:v>
      </x:c>
      <x:c r="AF74" s="40" t="n">
        <x:f>DEGREES((2*PI()/Inputs!$C$13)*Inputs!$C$15*SIN(RADIANS(AE74)))</x:f>
        <x:v>31.037834908694606</x:v>
      </x:c>
      <x:c r="AG74" s="40" t="n">
        <x:f>(Z74/AA74)^4</x:f>
        <x:v>0.9877915127805968</x:v>
      </x:c>
      <x:c r="AH74" s="40" t="n">
        <x:f>10*LOG10(AG74)</x:f>
        <x:v>-0.053347096670688</x:v>
      </x:c>
      <x:c r="AI74" s="40" t="n">
        <x:f>AC74-F74</x:f>
        <x:v>-148.07382408996978</x:v>
      </x:c>
      <x:c r="AJ74" s="40" t="n">
        <x:f>AD74-G74</x:f>
        <x:v>-1.7583591571215997</x:v>
      </x:c>
      <x:c r="AK74" s="40" t="n">
        <x:f>Y74-X74</x:f>
        <x:v>264.2300005987254</x:v>
      </x:c>
      <x:c r="AL74" s="40" t="n">
        <x:f>1000*(AA75-AA73)/(A75-A73)*Inputs!$C$11</x:f>
        <x:v>-464.14311145917964</x:v>
      </x:c>
      <x:c r="AM74" s="40" t="n">
        <x:f>-2*AL74/Inputs!$C$13</x:f>
        <x:v>185.65724458367185</x:v>
      </x:c>
      <x:c r="AN74" s="40" t="n">
        <x:f>-2*AL74/Inputs!$C$14</x:f>
        <x:v>27.876463150701483</x:v>
      </x:c>
      <x:c r="AO74" s="40" t="n">
        <x:f>ABS(AM74)</x:f>
        <x:v>185.65724458367185</x:v>
      </x:c>
      <x:c r="AP74" s="40" t="n">
        <x:f>ABS(AN74)</x:f>
        <x:v>27.876463150701483</x:v>
      </x:c>
      <x:c r="AQ74" s="40" t="n">
        <x:f>IF(Inputs!$C$27="ON",Inputs!$C$46/Inputs!$C$12,0)</x:f>
        <x:v>42.13483146067416</x:v>
      </x:c>
      <x:c r="AR74" s="40" t="n">
        <x:f>AC74-AQ74</x:f>
        <x:v>650.273685599143</x:v>
      </x:c>
      <x:c r="AS74" s="40" t="n">
        <x:f>AC74+AQ74</x:f>
        <x:v>734.5433485204913</x:v>
      </x:c>
    </x:row>
    <x:row r="75">
      <x:c r="A75" s="40" t="n">
        <x:f>Inputs!$C$7+73*(Inputs!$C$8-Inputs!$C$7)/240</x:f>
        <x:v>-23.5</x:v>
      </x:c>
      <x:c r="B75" s="40" t="n">
        <x:f>Inputs!$C$5+Inputs!$C$9*(A75/Inputs!$C$10)^2</x:f>
        <x:v>400.6136111111111</x:v>
      </x:c>
      <x:c r="C75" s="40" t="n">
        <x:f>B75</x:f>
        <x:v>400.6136111111111</x:v>
      </x:c>
      <x:c r="D75" s="40" t="n">
        <x:f>SQRT(A75^2+Inputs!$C$6^2+B75^2)</x:f>
        <x:v>402.08023503709376</x:v>
      </x:c>
      <x:c r="E75" s="40" t="n">
        <x:f>(D75-C75)*1000</x:f>
        <x:v>1466.6239259826739</x:v>
      </x:c>
      <x:c r="F75" s="40" t="n">
        <x:f>E75/Inputs!$C$12</x:f>
        <x:v>823.9460258329628</x:v>
      </x:c>
      <x:c r="G75" s="40" t="n">
        <x:f>2*E75/Inputs!$C$21*1000000</x:f>
        <x:v>9.784261657327443</x:v>
      </x:c>
      <x:c r="H75" s="40" t="n">
        <x:f>SQRT(A75^2+Inputs!$C$6^2)</x:f>
        <x:v>34.311076928595526</x:v>
      </x:c>
      <x:c r="I75" s="40" t="n">
        <x:f>DEGREES(ATAN(H75/B75))</x:f>
        <x:v>4.8952260304560395</x:v>
      </x:c>
      <x:c r="J75" s="40" t="n">
        <x:f>DEGREES((2*PI()/Inputs!$C$13)*Inputs!$C$15*SIN(RADIANS(I75)))</x:f>
        <x:v>30.72020611297858</x:v>
      </x:c>
      <x:c r="K75" s="40" t="n">
        <x:f>(C75/D75)^4</x:f>
        <x:v>0.9854892747288151</x:v>
      </x:c>
      <x:c r="L75" s="40" t="n">
        <x:f>10*LOG10(K75)</x:f>
        <x:v>-0.0634809787001641</x:v>
      </x:c>
      <x:c r="M75" s="40" t="n">
        <x:f>2*(Inputs!$C$9/(Inputs!$C$10^2))*A75</x:f>
        <x:v>-0.052222222222222225</x:v>
      </x:c>
      <x:c r="N75" s="40" t="n">
        <x:f>M75*Inputs!$C$11</x:f>
        <x:v>-0.2088888888888889</x:v>
      </x:c>
      <x:c r="O75" s="40" t="n">
        <x:f>1000*((A75*Inputs!$C$11)+(B75*N75))/D75</x:f>
        <x:v>-441.9111326931385</x:v>
      </x:c>
      <x:c r="P75" s="40" t="n">
        <x:f>-2*O75/Inputs!$C$13</x:f>
        <x:v>176.76445307725538</x:v>
      </x:c>
      <x:c r="Q75" s="40" t="n">
        <x:f>-2*O75/Inputs!$C$14</x:f>
        <x:v>26.54120917075907</x:v>
      </x:c>
      <x:c r="R75" s="40" t="n">
        <x:f>F75-Inputs!$C$16/2</x:f>
        <x:v>808.9460258329628</x:v>
      </x:c>
      <x:c r="S75" s="40" t="n">
        <x:f>F75+Inputs!$C$16/2</x:f>
        <x:v>838.9460258329628</x:v>
      </x:c>
      <x:c r="T75" s="40" t="n">
        <x:f>F75-Inputs!$C$17/2</x:f>
        <x:v>673.9460258329628</x:v>
      </x:c>
      <x:c r="U75" s="40" t="n">
        <x:f>F75+Inputs!$C$17/2</x:f>
        <x:v>973.9460258329628</x:v>
      </x:c>
      <x:c r="V75" s="40" t="n">
        <x:f>ABS(P75)</x:f>
        <x:v>176.76445307725538</x:v>
      </x:c>
      <x:c r="W75" s="40" t="n">
        <x:f>ABS(Q75)</x:f>
        <x:v>26.54120917075907</x:v>
      </x:c>
      <x:c r="X75" s="40" t="n">
        <x:f>IF(Inputs!$C$27="ON",1,0)*(Inputs!$C$28*EXP(-(((A75)-Inputs!$C$29)^2)/(2*Inputs!$C$31^2))*EXP(-(((0)-Inputs!$C$30)^2)/(2*Inputs!$C$32^2))+-Inputs!$C$33*EXP(-(((((A75)-Inputs!$C$34)^2)+(((0)-Inputs!$C$35)^2))/(2*Inputs!$C$36^2)))+Inputs!$C$37*(0.55*SIN(2*PI()*(A75)/Inputs!$C$39)+0.35*COS(2*PI()*(0)/Inputs!$C$40)+0.2*SIN(2*PI()*((A75)+(0))/(0.5*(Inputs!$C$39+Inputs!$C$40))))+Inputs!$C$38*SIN(2*PI()*(A75)/Inputs!$C$39)*SIN(2*PI()*(0)/Inputs!$C$40)+-Inputs!$C$41*EXP(-(((0)-Inputs!$C$43)^2)/(2*Inputs!$C$44^2))*EXP(-(((A75)-Inputs!$C$42)^2)/(2*Inputs!$C$45^2)))</x:f>
        <x:v>-96.10695810064355</x:v>
      </x:c>
      <x:c r="Y75" s="40" t="n">
        <x:f>IF(Inputs!$C$27="ON",1,0)*(Inputs!$C$28*EXP(-(((A75)-Inputs!$C$29)^2)/(2*Inputs!$C$31^2))*EXP(-(((Inputs!$C$6)-Inputs!$C$30)^2)/(2*Inputs!$C$32^2))+-Inputs!$C$33*EXP(-(((((A75)-Inputs!$C$34)^2)+(((Inputs!$C$6)-Inputs!$C$35)^2))/(2*Inputs!$C$36^2)))+Inputs!$C$37*(0.55*SIN(2*PI()*(A75)/Inputs!$C$39)+0.35*COS(2*PI()*(Inputs!$C$6)/Inputs!$C$40)+0.2*SIN(2*PI()*((A75)+(Inputs!$C$6))/(0.5*(Inputs!$C$39+Inputs!$C$40))))+Inputs!$C$38*SIN(2*PI()*(A75)/Inputs!$C$39)*SIN(2*PI()*(Inputs!$C$6)/Inputs!$C$40)+-Inputs!$C$41*EXP(-(((Inputs!$C$6)-Inputs!$C$43)^2)/(2*Inputs!$C$44^2))*EXP(-(((A75)-Inputs!$C$42)^2)/(2*Inputs!$C$45^2)))</x:f>
        <x:v>179.1502334099341</x:v>
      </x:c>
      <x:c r="Z75" s="40" t="n">
        <x:f>B75-X75/1000</x:f>
        <x:v>400.7097180692117</x:v>
      </x:c>
      <x:c r="AA75" s="40" t="n">
        <x:f>SQRT(A75^2+Inputs!$C$6^2+(B75-Y75/1000)^2)</x:f>
        <x:v>401.9017385610756</x:v>
      </x:c>
      <x:c r="AB75" s="40" t="n">
        <x:f>(AA75-Z75)*1000</x:f>
        <x:v>1192.0204918639001</x:v>
      </x:c>
      <x:c r="AC75" s="40" t="n">
        <x:f>AB75/Inputs!$C$12</x:f>
        <x:v>669.6744336314046</x:v>
      </x:c>
      <x:c r="AD75" s="40" t="n">
        <x:f>2*AB75/Inputs!$C$21*1000000</x:f>
        <x:v>7.952304736524761</x:v>
      </x:c>
      <x:c r="AE75" s="40" t="n">
        <x:f>DEGREES(ATAN(H75/(B75-Y75/1000)))</x:f>
        <x:v>4.8974054545630805</x:v>
      </x:c>
      <x:c r="AF75" s="40" t="n">
        <x:f>DEGREES((2*PI()/Inputs!$C$13)*Inputs!$C$15*SIN(RADIANS(AE75)))</x:f>
        <x:v>30.733849867179167</x:v>
      </x:c>
      <x:c r="AG75" s="40" t="n">
        <x:f>(Z75/AA75)^4</x:f>
        <x:v>0.9881888765699522</x:v>
      </x:c>
      <x:c r="AH75" s="40" t="n">
        <x:f>10*LOG10(AG75)</x:f>
        <x:v>-0.0516003900304645</x:v>
      </x:c>
      <x:c r="AI75" s="40" t="n">
        <x:f>AC75-F75</x:f>
        <x:v>-154.2715922015583</x:v>
      </x:c>
      <x:c r="AJ75" s="40" t="n">
        <x:f>AD75-G75</x:f>
        <x:v>-1.831956920802682</x:v>
      </x:c>
      <x:c r="AK75" s="40" t="n">
        <x:f>Y75-X75</x:f>
        <x:v>275.2571915105776</x:v>
      </x:c>
      <x:c r="AL75" s="40" t="n">
        <x:f>1000*(AA76-AA74)/(A76-A74)*Inputs!$C$11</x:f>
        <x:v>-464.38454864301093</x:v>
      </x:c>
      <x:c r="AM75" s="40" t="n">
        <x:f>-2*AL75/Inputs!$C$13</x:f>
        <x:v>185.75381945720437</x:v>
      </x:c>
      <x:c r="AN75" s="40" t="n">
        <x:f>-2*AL75/Inputs!$C$14</x:f>
        <x:v>27.890963882463122</x:v>
      </x:c>
      <x:c r="AO75" s="40" t="n">
        <x:f>ABS(AM75)</x:f>
        <x:v>185.75381945720437</x:v>
      </x:c>
      <x:c r="AP75" s="40" t="n">
        <x:f>ABS(AN75)</x:f>
        <x:v>27.890963882463122</x:v>
      </x:c>
      <x:c r="AQ75" s="40" t="n">
        <x:f>IF(Inputs!$C$27="ON",Inputs!$C$46/Inputs!$C$12,0)</x:f>
        <x:v>42.13483146067416</x:v>
      </x:c>
      <x:c r="AR75" s="40" t="n">
        <x:f>AC75-AQ75</x:f>
        <x:v>627.5396021707304</x:v>
      </x:c>
      <x:c r="AS75" s="40" t="n">
        <x:f>AC75+AQ75</x:f>
        <x:v>711.8092650920787</x:v>
      </x:c>
    </x:row>
    <x:row r="76">
      <x:c r="A76" s="40" t="n">
        <x:f>Inputs!$C$7+74*(Inputs!$C$8-Inputs!$C$7)/240</x:f>
        <x:v>-23</x:v>
      </x:c>
      <x:c r="B76" s="40" t="n">
        <x:f>Inputs!$C$5+Inputs!$C$9*(A76/Inputs!$C$10)^2</x:f>
        <x:v>400.5877777777778</x:v>
      </x:c>
      <x:c r="C76" s="40" t="n">
        <x:f>B76</x:f>
        <x:v>400.5877777777778</x:v>
      </x:c>
      <x:c r="D76" s="40" t="n">
        <x:f>SQRT(A76^2+Inputs!$C$6^2+B76^2)</x:f>
        <x:v>402.02558090865097</x:v>
      </x:c>
      <x:c r="E76" s="40" t="n">
        <x:f>(D76-C76)*1000</x:f>
        <x:v>1437.803130873192</x:v>
      </x:c>
      <x:c r="F76" s="40" t="n">
        <x:f>E76/Inputs!$C$12</x:f>
        <x:v>807.7545679062877</x:v>
      </x:c>
      <x:c r="G76" s="40" t="n">
        <x:f>2*E76/Inputs!$C$21*1000000</x:f>
        <x:v>9.59199000845573</x:v>
      </x:c>
      <x:c r="H76" s="40" t="n">
        <x:f>SQRT(A76^2+Inputs!$C$6^2)</x:f>
        <x:v>33.97057550292606</x:v>
      </x:c>
      <x:c r="I76" s="40" t="n">
        <x:f>DEGREES(ATAN(H76/B76))</x:f>
        <x:v>4.847189712205752</x:v>
      </x:c>
      <x:c r="J76" s="40" t="n">
        <x:f>DEGREES((2*PI()/Inputs!$C$13)*Inputs!$C$15*SIN(RADIANS(I76)))</x:f>
        <x:v>30.419475182182925</x:v>
      </x:c>
      <x:c r="K76" s="40" t="n">
        <x:f>(C76/D76)^4</x:f>
        <x:v>0.9857709723931932</x:v>
      </x:c>
      <x:c r="L76" s="40" t="n">
        <x:f>10*LOG10(K76)</x:f>
        <x:v>-0.062239744903501905</x:v>
      </x:c>
      <x:c r="M76" s="40" t="n">
        <x:f>2*(Inputs!$C$9/(Inputs!$C$10^2))*A76</x:f>
        <x:v>-0.051111111111111114</x:v>
      </x:c>
      <x:c r="N76" s="40" t="n">
        <x:f>M76*Inputs!$C$11</x:f>
        <x:v>-0.20444444444444446</x:v>
      </x:c>
      <x:c r="O76" s="40" t="n">
        <x:f>1000*((A76*Inputs!$C$11)+(B76*N76))/D76</x:f>
        <x:v>-432.55442921311464</x:v>
      </x:c>
      <x:c r="P76" s="40" t="n">
        <x:f>-2*O76/Inputs!$C$13</x:f>
        <x:v>173.02177168524585</x:v>
      </x:c>
      <x:c r="Q76" s="40" t="n">
        <x:f>-2*O76/Inputs!$C$14</x:f>
        <x:v>25.979244997784665</x:v>
      </x:c>
      <x:c r="R76" s="40" t="n">
        <x:f>F76-Inputs!$C$16/2</x:f>
        <x:v>792.7545679062877</x:v>
      </x:c>
      <x:c r="S76" s="40" t="n">
        <x:f>F76+Inputs!$C$16/2</x:f>
        <x:v>822.7545679062877</x:v>
      </x:c>
      <x:c r="T76" s="40" t="n">
        <x:f>F76-Inputs!$C$17/2</x:f>
        <x:v>657.7545679062877</x:v>
      </x:c>
      <x:c r="U76" s="40" t="n">
        <x:f>F76+Inputs!$C$17/2</x:f>
        <x:v>957.7545679062877</x:v>
      </x:c>
      <x:c r="V76" s="40" t="n">
        <x:f>ABS(P76)</x:f>
        <x:v>173.02177168524585</x:v>
      </x:c>
      <x:c r="W76" s="40" t="n">
        <x:f>ABS(Q76)</x:f>
        <x:v>25.979244997784665</x:v>
      </x:c>
      <x:c r="X76" s="40" t="n">
        <x:f>IF(Inputs!$C$27="ON",1,0)*(Inputs!$C$28*EXP(-(((A76)-Inputs!$C$29)^2)/(2*Inputs!$C$31^2))*EXP(-(((0)-Inputs!$C$30)^2)/(2*Inputs!$C$32^2))+-Inputs!$C$33*EXP(-(((((A76)-Inputs!$C$34)^2)+(((0)-Inputs!$C$35)^2))/(2*Inputs!$C$36^2)))+Inputs!$C$37*(0.55*SIN(2*PI()*(A76)/Inputs!$C$39)+0.35*COS(2*PI()*(0)/Inputs!$C$40)+0.2*SIN(2*PI()*((A76)+(0))/(0.5*(Inputs!$C$39+Inputs!$C$40))))+Inputs!$C$38*SIN(2*PI()*(A76)/Inputs!$C$39)*SIN(2*PI()*(0)/Inputs!$C$40)+-Inputs!$C$41*EXP(-(((0)-Inputs!$C$43)^2)/(2*Inputs!$C$44^2))*EXP(-(((A76)-Inputs!$C$42)^2)/(2*Inputs!$C$45^2)))</x:f>
        <x:v>-103.9669239699354</x:v>
      </x:c>
      <x:c r="Y76" s="40" t="n">
        <x:f>IF(Inputs!$C$27="ON",1,0)*(Inputs!$C$28*EXP(-(((A76)-Inputs!$C$29)^2)/(2*Inputs!$C$31^2))*EXP(-(((Inputs!$C$6)-Inputs!$C$30)^2)/(2*Inputs!$C$32^2))+-Inputs!$C$33*EXP(-(((((A76)-Inputs!$C$34)^2)+(((Inputs!$C$6)-Inputs!$C$35)^2))/(2*Inputs!$C$36^2)))+Inputs!$C$37*(0.55*SIN(2*PI()*(A76)/Inputs!$C$39)+0.35*COS(2*PI()*(Inputs!$C$6)/Inputs!$C$40)+0.2*SIN(2*PI()*((A76)+(Inputs!$C$6))/(0.5*(Inputs!$C$39+Inputs!$C$40))))+Inputs!$C$38*SIN(2*PI()*(A76)/Inputs!$C$39)*SIN(2*PI()*(Inputs!$C$6)/Inputs!$C$40)+-Inputs!$C$41*EXP(-(((Inputs!$C$6)-Inputs!$C$43)^2)/(2*Inputs!$C$44^2))*EXP(-(((A76)-Inputs!$C$42)^2)/(2*Inputs!$C$45^2)))</x:f>
        <x:v>182.56336557830508</x:v>
      </x:c>
      <x:c r="Z76" s="40" t="n">
        <x:f>B76-X76/1000</x:f>
        <x:v>400.6917447017477</x:v>
      </x:c>
      <x:c r="AA76" s="40" t="n">
        <x:f>SQRT(A76^2+Inputs!$C$6^2+(B76-Y76/1000)^2)</x:f>
        <x:v>401.84367075826816</x:v>
      </x:c>
      <x:c r="AB76" s="40" t="n">
        <x:f>(AA76-Z76)*1000</x:f>
        <x:v>1151.9260565204377</x:v>
      </x:c>
      <x:c r="AC76" s="40" t="n">
        <x:f>AB76/Inputs!$C$12</x:f>
        <x:v>647.149469955302</x:v>
      </x:c>
      <x:c r="AD76" s="40" t="n">
        <x:f>2*AB76/Inputs!$C$21*1000000</x:f>
        <x:v>7.684823455568303</x:v>
      </x:c>
      <x:c r="AE76" s="40" t="n">
        <x:f>DEGREES(ATAN(H76/(B76-Y76/1000)))</x:f>
        <x:v>4.849389234406409</x:v>
      </x:c>
      <x:c r="AF76" s="40" t="n">
        <x:f>DEGREES((2*PI()/Inputs!$C$13)*Inputs!$C$15*SIN(RADIANS(AE76)))</x:f>
        <x:v>30.433245739510646</x:v>
      </x:c>
      <x:c r="AG76" s="40" t="n">
        <x:f>(Z76/AA76)^4</x:f>
        <x:v>0.9885828004476095</x:v>
      </x:c>
      <x:c r="AH76" s="40" t="n">
        <x:f>10*LOG10(AG76)</x:f>
        <x:v>-0.049869497478633104</x:v>
      </x:c>
      <x:c r="AI76" s="40" t="n">
        <x:f>AC76-F76</x:f>
        <x:v>-160.60509795098562</x:v>
      </x:c>
      <x:c r="AJ76" s="40" t="n">
        <x:f>AD76-G76</x:f>
        <x:v>-1.9071665528874266</x:v>
      </x:c>
      <x:c r="AK76" s="40" t="n">
        <x:f>Y76-X76</x:f>
        <x:v>286.5302895482405</x:v>
      </x:c>
      <x:c r="AL76" s="40" t="n">
        <x:f>1000*(AA77-AA75)/(A77-A75)*Inputs!$C$11</x:f>
        <x:v>-464.64800471358103</x:v>
      </x:c>
      <x:c r="AM76" s="40" t="n">
        <x:f>-2*AL76/Inputs!$C$13</x:f>
        <x:v>185.8592018854324</x:v>
      </x:c>
      <x:c r="AN76" s="40" t="n">
        <x:f>-2*AL76/Inputs!$C$14</x:f>
        <x:v>27.90678706988475</x:v>
      </x:c>
      <x:c r="AO76" s="40" t="n">
        <x:f>ABS(AM76)</x:f>
        <x:v>185.8592018854324</x:v>
      </x:c>
      <x:c r="AP76" s="40" t="n">
        <x:f>ABS(AN76)</x:f>
        <x:v>27.90678706988475</x:v>
      </x:c>
      <x:c r="AQ76" s="40" t="n">
        <x:f>IF(Inputs!$C$27="ON",Inputs!$C$46/Inputs!$C$12,0)</x:f>
        <x:v>42.13483146067416</x:v>
      </x:c>
      <x:c r="AR76" s="40" t="n">
        <x:f>AC76-AQ76</x:f>
        <x:v>605.0146384946279</x:v>
      </x:c>
      <x:c r="AS76" s="40" t="n">
        <x:f>AC76+AQ76</x:f>
        <x:v>689.2843014159762</x:v>
      </x:c>
    </x:row>
    <x:row r="77">
      <x:c r="A77" s="40" t="n">
        <x:f>Inputs!$C$7+75*(Inputs!$C$8-Inputs!$C$7)/240</x:f>
        <x:v>-22.5</x:v>
      </x:c>
      <x:c r="B77" s="40" t="n">
        <x:f>Inputs!$C$5+Inputs!$C$9*(A77/Inputs!$C$10)^2</x:f>
        <x:v>400.5625</x:v>
      </x:c>
      <x:c r="C77" s="40" t="n">
        <x:f>B77</x:f>
        <x:v>400.5625</x:v>
      </x:c>
      <x:c r="D77" s="40" t="n">
        <x:f>SQRT(A77^2+Inputs!$C$6^2+B77^2)</x:f>
        <x:v>401.97209655180046</x:v>
      </x:c>
      <x:c r="E77" s="40" t="n">
        <x:f>(D77-C77)*1000</x:f>
        <x:v>1409.5965518004618</x:v>
      </x:c>
      <x:c r="F77" s="40" t="n">
        <x:f>E77/Inputs!$C$12</x:f>
        <x:v>791.9081751687987</x:v>
      </x:c>
      <x:c r="G77" s="40" t="n">
        <x:f>2*E77/Inputs!$C$21*1000000</x:f>
        <x:v>9.403815967915122</x:v>
      </x:c>
      <x:c r="H77" s="40" t="n">
        <x:f>SQRT(A77^2+Inputs!$C$6^2)</x:f>
        <x:v>33.63406011768428</x:v>
      </x:c>
      <x:c r="I77" s="40" t="n">
        <x:f>DEGREES(ATAN(H77/B77))</x:f>
        <x:v>4.799699905357918</x:v>
      </x:c>
      <x:c r="J77" s="40" t="n">
        <x:f>DEGREES((2*PI()/Inputs!$C$13)*Inputs!$C$15*SIN(RADIANS(I77)))</x:f>
        <x:v>30.122144661864603</x:v>
      </x:c>
      <x:c r="K77" s="40" t="n">
        <x:f>(C77/D77)^4</x:f>
        <x:v>0.9860467994790504</x:v>
      </x:c>
      <x:c r="L77" s="40" t="n">
        <x:f>10*LOG10(K77)</x:f>
        <x:v>-0.0610247220566916</x:v>
      </x:c>
      <x:c r="M77" s="40" t="n">
        <x:f>2*(Inputs!$C$9/(Inputs!$C$10^2))*A77</x:f>
        <x:v>-0.05</x:v>
      </x:c>
      <x:c r="N77" s="40" t="n">
        <x:f>M77*Inputs!$C$11</x:f>
        <x:v>-0.2</x:v>
      </x:c>
      <x:c r="O77" s="40" t="n">
        <x:f>1000*((A77*Inputs!$C$11)+(B77*N77))/D77</x:f>
        <x:v>-423.1947974977868</x:v>
      </x:c>
      <x:c r="P77" s="40" t="n">
        <x:f>-2*O77/Inputs!$C$13</x:f>
        <x:v>169.27791899911472</x:v>
      </x:c>
      <x:c r="Q77" s="40" t="n">
        <x:f>-2*O77/Inputs!$C$14</x:f>
        <x:v>25.417104954822033</x:v>
      </x:c>
      <x:c r="R77" s="40" t="n">
        <x:f>F77-Inputs!$C$16/2</x:f>
        <x:v>776.9081751687987</x:v>
      </x:c>
      <x:c r="S77" s="40" t="n">
        <x:f>F77+Inputs!$C$16/2</x:f>
        <x:v>806.9081751687987</x:v>
      </x:c>
      <x:c r="T77" s="40" t="n">
        <x:f>F77-Inputs!$C$17/2</x:f>
        <x:v>641.9081751687987</x:v>
      </x:c>
      <x:c r="U77" s="40" t="n">
        <x:f>F77+Inputs!$C$17/2</x:f>
        <x:v>941.9081751687987</x:v>
      </x:c>
      <x:c r="V77" s="40" t="n">
        <x:f>ABS(P77)</x:f>
        <x:v>169.27791899911472</x:v>
      </x:c>
      <x:c r="W77" s="40" t="n">
        <x:f>ABS(Q77)</x:f>
        <x:v>25.417104954822033</x:v>
      </x:c>
      <x:c r="X77" s="40" t="n">
        <x:f>IF(Inputs!$C$27="ON",1,0)*(Inputs!$C$28*EXP(-(((A77)-Inputs!$C$29)^2)/(2*Inputs!$C$31^2))*EXP(-(((0)-Inputs!$C$30)^2)/(2*Inputs!$C$32^2))+-Inputs!$C$33*EXP(-(((((A77)-Inputs!$C$34)^2)+(((0)-Inputs!$C$35)^2))/(2*Inputs!$C$36^2)))+Inputs!$C$37*(0.55*SIN(2*PI()*(A77)/Inputs!$C$39)+0.35*COS(2*PI()*(0)/Inputs!$C$40)+0.2*SIN(2*PI()*((A77)+(0))/(0.5*(Inputs!$C$39+Inputs!$C$40))))+Inputs!$C$38*SIN(2*PI()*(A77)/Inputs!$C$39)*SIN(2*PI()*(0)/Inputs!$C$40)+-Inputs!$C$41*EXP(-(((0)-Inputs!$C$43)^2)/(2*Inputs!$C$44^2))*EXP(-(((A77)-Inputs!$C$42)^2)/(2*Inputs!$C$45^2)))</x:f>
        <x:v>-110.66148089996145</x:v>
      </x:c>
      <x:c r="Y77" s="40" t="n">
        <x:f>IF(Inputs!$C$27="ON",1,0)*(Inputs!$C$28*EXP(-(((A77)-Inputs!$C$29)^2)/(2*Inputs!$C$31^2))*EXP(-(((Inputs!$C$6)-Inputs!$C$30)^2)/(2*Inputs!$C$32^2))+-Inputs!$C$33*EXP(-(((((A77)-Inputs!$C$34)^2)+(((Inputs!$C$6)-Inputs!$C$35)^2))/(2*Inputs!$C$36^2)))+Inputs!$C$37*(0.55*SIN(2*PI()*(A77)/Inputs!$C$39)+0.35*COS(2*PI()*(Inputs!$C$6)/Inputs!$C$40)+0.2*SIN(2*PI()*((A77)+(Inputs!$C$6))/(0.5*(Inputs!$C$39+Inputs!$C$40))))+Inputs!$C$38*SIN(2*PI()*(A77)/Inputs!$C$39)*SIN(2*PI()*(Inputs!$C$6)/Inputs!$C$40)+-Inputs!$C$41*EXP(-(((Inputs!$C$6)-Inputs!$C$43)^2)/(2*Inputs!$C$44^2))*EXP(-(((A77)-Inputs!$C$42)^2)/(2*Inputs!$C$45^2)))</x:f>
        <x:v>187.17667004128123</x:v>
      </x:c>
      <x:c r="Z77" s="40" t="n">
        <x:f>B77-X77/1000</x:f>
        <x:v>400.6731614809</x:v>
      </x:c>
      <x:c r="AA77" s="40" t="n">
        <x:f>SQRT(A77^2+Inputs!$C$6^2+(B77-Y77/1000)^2)</x:f>
        <x:v>401.7855765598972</x:v>
      </x:c>
      <x:c r="AB77" s="40" t="n">
        <x:f>(AA77-Z77)*1000</x:f>
        <x:v>1112.4150789972305</x:v>
      </x:c>
      <x:c r="AC77" s="40" t="n">
        <x:f>AB77/Inputs!$C$12</x:f>
        <x:v>624.9522915714778</x:v>
      </x:c>
      <x:c r="AD77" s="40" t="n">
        <x:f>2*AB77/Inputs!$C$21*1000000</x:f>
        <x:v>7.421234586209841</x:v>
      </x:c>
      <x:c r="AE77" s="40" t="n">
        <x:f>DEGREES(ATAN(H77/(B77-Y77/1000)))</x:f>
        <x:v>4.801933289335297</x:v>
      </x:c>
      <x:c r="AF77" s="40" t="n">
        <x:f>DEGREES((2*PI()/Inputs!$C$13)*Inputs!$C$15*SIN(RADIANS(AE77)))</x:f>
        <x:v>30.136128195635393</x:v>
      </x:c>
      <x:c r="AG77" s="40" t="n">
        <x:f>(Z77/AA77)^4</x:f>
        <x:v>0.9889711947317383</x:v>
      </x:c>
      <x:c r="AH77" s="40" t="n">
        <x:f>10*LOG10(AG77)</x:f>
        <x:v>-0.048163576962885604</x:v>
      </x:c>
      <x:c r="AI77" s="40" t="n">
        <x:f>AC77-F77</x:f>
        <x:v>-166.95588359732096</x:v>
      </x:c>
      <x:c r="AJ77" s="40" t="n">
        <x:f>AD77-G77</x:f>
        <x:v>-1.9825813817052813</x:v>
      </x:c>
      <x:c r="AK77" s="40" t="n">
        <x:f>Y77-X77</x:f>
        <x:v>297.8381509412427</x:v>
      </x:c>
      <x:c r="AL77" s="40" t="n">
        <x:f>1000*(AA78-AA76)/(A78-A76)*Inputs!$C$11</x:f>
        <x:v>-464.68637971702265</x:v>
      </x:c>
      <x:c r="AM77" s="40" t="n">
        <x:f>-2*AL77/Inputs!$C$13</x:f>
        <x:v>185.87455188680906</x:v>
      </x:c>
      <x:c r="AN77" s="40" t="n">
        <x:f>-2*AL77/Inputs!$C$14</x:f>
        <x:v>27.90909187489626</x:v>
      </x:c>
      <x:c r="AO77" s="40" t="n">
        <x:f>ABS(AM77)</x:f>
        <x:v>185.87455188680906</x:v>
      </x:c>
      <x:c r="AP77" s="40" t="n">
        <x:f>ABS(AN77)</x:f>
        <x:v>27.90909187489626</x:v>
      </x:c>
      <x:c r="AQ77" s="40" t="n">
        <x:f>IF(Inputs!$C$27="ON",Inputs!$C$46/Inputs!$C$12,0)</x:f>
        <x:v>42.13483146067416</x:v>
      </x:c>
      <x:c r="AR77" s="40" t="n">
        <x:f>AC77-AQ77</x:f>
        <x:v>582.8174601108036</x:v>
      </x:c>
      <x:c r="AS77" s="40" t="n">
        <x:f>AC77+AQ77</x:f>
        <x:v>667.0871230321519</x:v>
      </x:c>
    </x:row>
    <x:row r="78">
      <x:c r="A78" s="40" t="n">
        <x:f>Inputs!$C$7+76*(Inputs!$C$8-Inputs!$C$7)/240</x:f>
        <x:v>-22</x:v>
      </x:c>
      <x:c r="B78" s="40" t="n">
        <x:f>Inputs!$C$5+Inputs!$C$9*(A78/Inputs!$C$10)^2</x:f>
        <x:v>400.53777777777776</x:v>
      </x:c>
      <x:c r="C78" s="40" t="n">
        <x:f>B78</x:f>
        <x:v>400.53777777777776</x:v>
      </x:c>
      <x:c r="D78" s="40" t="n">
        <x:f>SQRT(A78^2+Inputs!$C$6^2+B78^2)</x:f>
        <x:v>401.91978232871355</x:v>
      </x:c>
      <x:c r="E78" s="40" t="n">
        <x:f>(D78-C78)*1000</x:f>
        <x:v>1382.0045509357897</x:v>
      </x:c>
      <x:c r="F78" s="40" t="n">
        <x:f>E78/Inputs!$C$12</x:f>
        <x:v>776.4070510875223</x:v>
      </x:c>
      <x:c r="G78" s="40" t="n">
        <x:f>2*E78/Inputs!$C$21*1000000</x:f>
        <x:v>9.219741951852502</x:v>
      </x:c>
      <x:c r="H78" s="40" t="n">
        <x:f>SQRT(A78^2+Inputs!$C$6^2)</x:f>
        <x:v>33.301651610693426</x:v>
      </x:c>
      <x:c r="I78" s="40" t="n">
        <x:f>DEGREES(ATAN(H78/B78))</x:f>
        <x:v>4.752774375241167</x:v>
      </x:c>
      <x:c r="J78" s="40" t="n">
        <x:f>DEGREES((2*PI()/Inputs!$C$13)*Inputs!$C$15*SIN(RADIANS(I78)))</x:f>
        <x:v>29.828326713325737</x:v>
      </x:c>
      <x:c r="K78" s="40" t="n">
        <x:f>(C78/D78)^4</x:f>
        <x:v>0.9863167439290446</x:v>
      </x:c>
      <x:c r="L78" s="40" t="n">
        <x:f>10*LOG10(K78)</x:f>
        <x:v>-0.059835941355722996</x:v>
      </x:c>
      <x:c r="M78" s="40" t="n">
        <x:f>2*(Inputs!$C$9/(Inputs!$C$10^2))*A78</x:f>
        <x:v>-0.04888888888888889</x:v>
      </x:c>
      <x:c r="N78" s="40" t="n">
        <x:f>M78*Inputs!$C$11</x:f>
        <x:v>-0.19555555555555557</x:v>
      </x:c>
      <x:c r="O78" s="40" t="n">
        <x:f>1000*((A78*Inputs!$C$11)+(B78*N78))/D78</x:f>
        <x:v>-413.83229929769595</x:v>
      </x:c>
      <x:c r="P78" s="40" t="n">
        <x:f>-2*O78/Inputs!$C$13</x:f>
        <x:v>165.5329197190784</x:v>
      </x:c>
      <x:c r="Q78" s="40" t="n">
        <x:f>-2*O78/Inputs!$C$14</x:f>
        <x:v>24.854792750612372</x:v>
      </x:c>
      <x:c r="R78" s="40" t="n">
        <x:f>F78-Inputs!$C$16/2</x:f>
        <x:v>761.4070510875223</x:v>
      </x:c>
      <x:c r="S78" s="40" t="n">
        <x:f>F78+Inputs!$C$16/2</x:f>
        <x:v>791.4070510875223</x:v>
      </x:c>
      <x:c r="T78" s="40" t="n">
        <x:f>F78-Inputs!$C$17/2</x:f>
        <x:v>626.4070510875223</x:v>
      </x:c>
      <x:c r="U78" s="40" t="n">
        <x:f>F78+Inputs!$C$17/2</x:f>
        <x:v>926.4070510875223</x:v>
      </x:c>
      <x:c r="V78" s="40" t="n">
        <x:f>ABS(P78)</x:f>
        <x:v>165.5329197190784</x:v>
      </x:c>
      <x:c r="W78" s="40" t="n">
        <x:f>ABS(Q78)</x:f>
        <x:v>24.854792750612372</x:v>
      </x:c>
      <x:c r="X78" s="40" t="n">
        <x:f>IF(Inputs!$C$27="ON",1,0)*(Inputs!$C$28*EXP(-(((A78)-Inputs!$C$29)^2)/(2*Inputs!$C$31^2))*EXP(-(((0)-Inputs!$C$30)^2)/(2*Inputs!$C$32^2))+-Inputs!$C$33*EXP(-(((((A78)-Inputs!$C$34)^2)+(((0)-Inputs!$C$35)^2))/(2*Inputs!$C$36^2)))+Inputs!$C$37*(0.55*SIN(2*PI()*(A78)/Inputs!$C$39)+0.35*COS(2*PI()*(0)/Inputs!$C$40)+0.2*SIN(2*PI()*((A78)+(0))/(0.5*(Inputs!$C$39+Inputs!$C$40))))+Inputs!$C$38*SIN(2*PI()*(A78)/Inputs!$C$39)*SIN(2*PI()*(0)/Inputs!$C$40)+-Inputs!$C$41*EXP(-(((0)-Inputs!$C$43)^2)/(2*Inputs!$C$44^2))*EXP(-(((A78)-Inputs!$C$42)^2)/(2*Inputs!$C$45^2)))</x:f>
        <x:v>-116.02092647162435</x:v>
      </x:c>
      <x:c r="Y78" s="40" t="n">
        <x:f>IF(Inputs!$C$27="ON",1,0)*(Inputs!$C$28*EXP(-(((A78)-Inputs!$C$29)^2)/(2*Inputs!$C$31^2))*EXP(-(((Inputs!$C$6)-Inputs!$C$30)^2)/(2*Inputs!$C$32^2))+-Inputs!$C$33*EXP(-(((((A78)-Inputs!$C$34)^2)+(((Inputs!$C$6)-Inputs!$C$35)^2))/(2*Inputs!$C$36^2)))+Inputs!$C$37*(0.55*SIN(2*PI()*(A78)/Inputs!$C$39)+0.35*COS(2*PI()*(Inputs!$C$6)/Inputs!$C$40)+0.2*SIN(2*PI()*((A78)+(Inputs!$C$6))/(0.5*(Inputs!$C$39+Inputs!$C$40))))+Inputs!$C$38*SIN(2*PI()*(A78)/Inputs!$C$39)*SIN(2*PI()*(Inputs!$C$6)/Inputs!$C$40)+-Inputs!$C$41*EXP(-(((Inputs!$C$6)-Inputs!$C$43)^2)/(2*Inputs!$C$44^2))*EXP(-(((A78)-Inputs!$C$42)^2)/(2*Inputs!$C$45^2)))</x:f>
        <x:v>192.94693312894867</x:v>
      </x:c>
      <x:c r="Z78" s="40" t="n">
        <x:f>B78-X78/1000</x:f>
        <x:v>400.65379870424937</x:v>
      </x:c>
      <x:c r="AA78" s="40" t="n">
        <x:f>SQRT(A78^2+Inputs!$C$6^2+(B78-Y78/1000)^2)</x:f>
        <x:v>401.7274991633389</x:v>
      </x:c>
      <x:c r="AB78" s="40" t="n">
        <x:f>(AA78-Z78)*1000</x:f>
        <x:v>1073.7004590895367</x:v>
      </x:c>
      <x:c r="AC78" s="40" t="n">
        <x:f>AB78/Inputs!$C$12</x:f>
        <x:v>603.2025051064813</x:v>
      </x:c>
      <x:c r="AD78" s="40" t="n">
        <x:f>2*AB78/Inputs!$C$21*1000000</x:f>
        <x:v>7.162958443000836</x:v>
      </x:c>
      <x:c r="AE78" s="40" t="n">
        <x:f>DEGREES(ATAN(H78/(B78-Y78/1000)))</x:f>
        <x:v>4.7550544828391414</x:v>
      </x:c>
      <x:c r="AF78" s="40" t="n">
        <x:f>DEGREES((2*PI()/Inputs!$C$13)*Inputs!$C$15*SIN(RADIANS(AE78)))</x:f>
        <x:v>29.842603767025608</x:v>
      </x:c>
      <x:c r="AG78" s="40" t="n">
        <x:f>(Z78/AA78)^4</x:f>
        <x:v>0.989351950327649</x:v>
      </x:c>
      <x:c r="AH78" s="40" t="n">
        <x:f>10*LOG10(AG78)</x:f>
        <x:v>-0.0464918575907241</x:v>
      </x:c>
      <x:c r="AI78" s="40" t="n">
        <x:f>AC78-F78</x:f>
        <x:v>-173.20454598104095</x:v>
      </x:c>
      <x:c r="AJ78" s="40" t="n">
        <x:f>AD78-G78</x:f>
        <x:v>-2.056783508851666</x:v>
      </x:c>
      <x:c r="AK78" s="40" t="n">
        <x:f>Y78-X78</x:f>
        <x:v>308.96785960057304</x:v>
      </x:c>
      <x:c r="AL78" s="40" t="n">
        <x:f>1000*(AA79-AA77)/(A79-A77)*Inputs!$C$11</x:f>
        <x:v>-464.2674362821708</x:v>
      </x:c>
      <x:c r="AM78" s="40" t="n">
        <x:f>-2*AL78/Inputs!$C$13</x:f>
        <x:v>185.70697451286833</x:v>
      </x:c>
      <x:c r="AN78" s="40" t="n">
        <x:f>-2*AL78/Inputs!$C$14</x:f>
        <x:v>27.88393010703729</x:v>
      </x:c>
      <x:c r="AO78" s="40" t="n">
        <x:f>ABS(AM78)</x:f>
        <x:v>185.70697451286833</x:v>
      </x:c>
      <x:c r="AP78" s="40" t="n">
        <x:f>ABS(AN78)</x:f>
        <x:v>27.88393010703729</x:v>
      </x:c>
      <x:c r="AQ78" s="40" t="n">
        <x:f>IF(Inputs!$C$27="ON",Inputs!$C$46/Inputs!$C$12,0)</x:f>
        <x:v>42.13483146067416</x:v>
      </x:c>
      <x:c r="AR78" s="40" t="n">
        <x:f>AC78-AQ78</x:f>
        <x:v>561.0676736458072</x:v>
      </x:c>
      <x:c r="AS78" s="40" t="n">
        <x:f>AC78+AQ78</x:f>
        <x:v>645.3373365671555</x:v>
      </x:c>
    </x:row>
    <x:row r="79">
      <x:c r="A79" s="40" t="n">
        <x:f>Inputs!$C$7+77*(Inputs!$C$8-Inputs!$C$7)/240</x:f>
        <x:v>-21.5</x:v>
      </x:c>
      <x:c r="B79" s="40" t="n">
        <x:f>Inputs!$C$5+Inputs!$C$9*(A79/Inputs!$C$10)^2</x:f>
        <x:v>400.5136111111111</x:v>
      </x:c>
      <x:c r="C79" s="40" t="n">
        <x:f>B79</x:f>
        <x:v>400.5136111111111</x:v>
      </x:c>
      <x:c r="D79" s="40" t="n">
        <x:f>SQRT(A79^2+Inputs!$C$6^2+B79^2)</x:f>
        <x:v>401.868638593835</x:v>
      </x:c>
      <x:c r="E79" s="40" t="n">
        <x:f>(D79-C79)*1000</x:f>
        <x:v>1355.0274827238695</x:v>
      </x:c>
      <x:c r="F79" s="40" t="n">
        <x:f>E79/Inputs!$C$12</x:f>
        <x:v>761.2513947886907</x:v>
      </x:c>
      <x:c r="G79" s="40" t="n">
        <x:f>2*E79/Inputs!$C$21*1000000</x:f>
        <x:v>9.039770324868343</x:v>
      </x:c>
      <x:c r="H79" s="40" t="n">
        <x:f>SQRT(A79^2+Inputs!$C$6^2)</x:f>
        <x:v>32.973474187595095</x:v>
      </x:c>
      <x:c r="I79" s="40" t="n">
        <x:f>DEGREES(ATAN(H79/B79))</x:f>
        <x:v>4.7064313676414065</x:v>
      </x:c>
      <x:c r="J79" s="40" t="n">
        <x:f>DEGREES((2*PI()/Inputs!$C$13)*Inputs!$C$15*SIN(RADIANS(I79)))</x:f>
        <x:v>29.538136514134884</x:v>
      </x:c>
      <x:c r="K79" s="40" t="n">
        <x:f>(C79/D79)^4</x:f>
        <x:v>0.9865807939326916</x:v>
      </x:c>
      <x:c r="L79" s="40" t="n">
        <x:f>10*LOG10(K79)</x:f>
        <x:v>-0.0586734333388145</x:v>
      </x:c>
      <x:c r="M79" s="40" t="n">
        <x:f>2*(Inputs!$C$9/(Inputs!$C$10^2))*A79</x:f>
        <x:v>-0.04777777777777778</x:v>
      </x:c>
      <x:c r="N79" s="40" t="n">
        <x:f>M79*Inputs!$C$11</x:f>
        <x:v>-0.19111111111111112</x:v>
      </x:c>
      <x:c r="O79" s="40" t="n">
        <x:f>1000*((A79*Inputs!$C$11)+(B79*N79))/D79</x:f>
        <x:v>-404.4669964874971</x:v>
      </x:c>
      <x:c r="P79" s="40" t="n">
        <x:f>-2*O79/Inputs!$C$13</x:f>
        <x:v>161.78679859499886</x:v>
      </x:c>
      <x:c r="Q79" s="40" t="n">
        <x:f>-2*O79/Inputs!$C$14</x:f>
        <x:v>24.29231210135118</x:v>
      </x:c>
      <x:c r="R79" s="40" t="n">
        <x:f>F79-Inputs!$C$16/2</x:f>
        <x:v>746.2513947886907</x:v>
      </x:c>
      <x:c r="S79" s="40" t="n">
        <x:f>F79+Inputs!$C$16/2</x:f>
        <x:v>776.2513947886907</x:v>
      </x:c>
      <x:c r="T79" s="40" t="n">
        <x:f>F79-Inputs!$C$17/2</x:f>
        <x:v>611.2513947886907</x:v>
      </x:c>
      <x:c r="U79" s="40" t="n">
        <x:f>F79+Inputs!$C$17/2</x:f>
        <x:v>911.2513947886907</x:v>
      </x:c>
      <x:c r="V79" s="40" t="n">
        <x:f>ABS(P79)</x:f>
        <x:v>161.78679859499886</x:v>
      </x:c>
      <x:c r="W79" s="40" t="n">
        <x:f>ABS(Q79)</x:f>
        <x:v>24.29231210135118</x:v>
      </x:c>
      <x:c r="X79" s="40" t="n">
        <x:f>IF(Inputs!$C$27="ON",1,0)*(Inputs!$C$28*EXP(-(((A79)-Inputs!$C$29)^2)/(2*Inputs!$C$31^2))*EXP(-(((0)-Inputs!$C$30)^2)/(2*Inputs!$C$32^2))+-Inputs!$C$33*EXP(-(((((A79)-Inputs!$C$34)^2)+(((0)-Inputs!$C$35)^2))/(2*Inputs!$C$36^2)))+Inputs!$C$37*(0.55*SIN(2*PI()*(A79)/Inputs!$C$39)+0.35*COS(2*PI()*(0)/Inputs!$C$40)+0.2*SIN(2*PI()*((A79)+(0))/(0.5*(Inputs!$C$39+Inputs!$C$40))))+Inputs!$C$38*SIN(2*PI()*(A79)/Inputs!$C$39)*SIN(2*PI()*(0)/Inputs!$C$40)+-Inputs!$C$41*EXP(-(((0)-Inputs!$C$43)^2)/(2*Inputs!$C$44^2))*EXP(-(((A79)-Inputs!$C$42)^2)/(2*Inputs!$C$45^2)))</x:f>
        <x:v>-119.91026998876406</x:v>
      </x:c>
      <x:c r="Y79" s="40" t="n">
        <x:f>IF(Inputs!$C$27="ON",1,0)*(Inputs!$C$28*EXP(-(((A79)-Inputs!$C$29)^2)/(2*Inputs!$C$31^2))*EXP(-(((Inputs!$C$6)-Inputs!$C$30)^2)/(2*Inputs!$C$32^2))+-Inputs!$C$33*EXP(-(((((A79)-Inputs!$C$34)^2)+(((Inputs!$C$6)-Inputs!$C$35)^2))/(2*Inputs!$C$36^2)))+Inputs!$C$37*(0.55*SIN(2*PI()*(A79)/Inputs!$C$39)+0.35*COS(2*PI()*(Inputs!$C$6)/Inputs!$C$40)+0.2*SIN(2*PI()*((A79)+(Inputs!$C$6))/(0.5*(Inputs!$C$39+Inputs!$C$40))))+Inputs!$C$38*SIN(2*PI()*(A79)/Inputs!$C$39)*SIN(2*PI()*(Inputs!$C$6)/Inputs!$C$40)+-Inputs!$C$41*EXP(-(((Inputs!$C$6)-Inputs!$C$43)^2)/(2*Inputs!$C$44^2))*EXP(-(((A79)-Inputs!$C$42)^2)/(2*Inputs!$C$45^2)))</x:f>
        <x:v>199.80292645394678</x:v>
      </x:c>
      <x:c r="Z79" s="40" t="n">
        <x:f>B79-X79/1000</x:f>
        <x:v>400.63352138109985</x:v>
      </x:c>
      <x:c r="AA79" s="40" t="n">
        <x:f>SQRT(A79^2+Inputs!$C$6^2+(B79-Y79/1000)^2)</x:f>
        <x:v>401.66950970082667</x:v>
      </x:c>
      <x:c r="AB79" s="40" t="n">
        <x:f>(AA79-Z79)*1000</x:f>
        <x:v>1035.9883197268118</x:v>
      </x:c>
      <x:c r="AC79" s="40" t="n">
        <x:f>AB79/Inputs!$C$12</x:f>
        <x:v>582.0159099588831</x:v>
      </x:c>
      <x:c r="AD79" s="40" t="n">
        <x:f>2*AB79/Inputs!$C$21*1000000</x:f>
        <x:v>6.911370130110557</x:v>
      </x:c>
      <x:c r="AE79" s="40" t="n">
        <x:f>DEGREES(ATAN(H79/(B79-Y79/1000)))</x:f>
        <x:v>4.708769861339208</x:v>
      </x:c>
      <x:c r="AF79" s="40" t="n">
        <x:f>DEGREES((2*PI()/Inputs!$C$13)*Inputs!$C$15*SIN(RADIANS(AE79)))</x:f>
        <x:v>29.55278013602685</x:v>
      </x:c>
      <x:c r="AG79" s="40" t="n">
        <x:f>(Z79/AA79)^4</x:f>
        <x:v>0.9897230221216332</x:v>
      </x:c>
      <x:c r="AH79" s="40" t="n">
        <x:f>10*LOG10(AG79)</x:f>
        <x:v>-0.0448632741701948</x:v>
      </x:c>
      <x:c r="AI79" s="40" t="n">
        <x:f>AC79-F79</x:f>
        <x:v>-179.23548482980766</x:v>
      </x:c>
      <x:c r="AJ79" s="40" t="n">
        <x:f>AD79-G79</x:f>
        <x:v>-2.128400194757786</x:v>
      </x:c>
      <x:c r="AK79" s="40" t="n">
        <x:f>Y79-X79</x:f>
        <x:v>319.71319644271085</x:v>
      </x:c>
      <x:c r="AL79" s="40" t="n">
        <x:f>1000*(AA80-AA78)/(A80-A78)*Inputs!$C$11</x:f>
        <x:v>-463.1786780375933</x:v>
      </x:c>
      <x:c r="AM79" s="40" t="n">
        <x:f>-2*AL79/Inputs!$C$13</x:f>
        <x:v>185.2714712150373</x:v>
      </x:c>
      <x:c r="AN79" s="40" t="n">
        <x:f>-2*AL79/Inputs!$C$14</x:f>
        <x:v>27.818539221477074</x:v>
      </x:c>
      <x:c r="AO79" s="40" t="n">
        <x:f>ABS(AM79)</x:f>
        <x:v>185.2714712150373</x:v>
      </x:c>
      <x:c r="AP79" s="40" t="n">
        <x:f>ABS(AN79)</x:f>
        <x:v>27.818539221477074</x:v>
      </x:c>
      <x:c r="AQ79" s="40" t="n">
        <x:f>IF(Inputs!$C$27="ON",Inputs!$C$46/Inputs!$C$12,0)</x:f>
        <x:v>42.13483146067416</x:v>
      </x:c>
      <x:c r="AR79" s="40" t="n">
        <x:f>AC79-AQ79</x:f>
        <x:v>539.8810784982089</x:v>
      </x:c>
      <x:c r="AS79" s="40" t="n">
        <x:f>AC79+AQ79</x:f>
        <x:v>624.1507414195572</x:v>
      </x:c>
    </x:row>
    <x:row r="80">
      <x:c r="A80" s="40" t="n">
        <x:f>Inputs!$C$7+78*(Inputs!$C$8-Inputs!$C$7)/240</x:f>
        <x:v>-21</x:v>
      </x:c>
      <x:c r="B80" s="40" t="n">
        <x:f>Inputs!$C$5+Inputs!$C$9*(A80/Inputs!$C$10)^2</x:f>
        <x:v>400.49</x:v>
      </x:c>
      <x:c r="C80" s="40" t="n">
        <x:f>B80</x:f>
        <x:v>400.49</x:v>
      </x:c>
      <x:c r="D80" s="40" t="n">
        <x:f>SQRT(A80^2+Inputs!$C$6^2+B80^2)</x:f>
        <x:v>401.81866569386744</x:v>
      </x:c>
      <x:c r="E80" s="40" t="n">
        <x:f>(D80-C80)*1000</x:f>
        <x:v>1328.6656938674355</x:v>
      </x:c>
      <x:c r="F80" s="40" t="n">
        <x:f>E80/Inputs!$C$12</x:f>
        <x:v>746.441401049121</x:v>
      </x:c>
      <x:c r="G80" s="40" t="n">
        <x:f>2*E80/Inputs!$C$21*1000000</x:f>
        <x:v>8.86390339991432</x:v>
      </x:c>
      <x:c r="H80" s="40" t="n">
        <x:f>SQRT(A80^2+Inputs!$C$6^2)</x:f>
        <x:v>32.64965543462902</x:v>
      </x:c>
      <x:c r="I80" s="40" t="n">
        <x:f>DEGREES(ATAN(H80/B80))</x:f>
        <x:v>4.660689610438978</x:v>
      </x:c>
      <x:c r="J80" s="40" t="n">
        <x:f>DEGREES((2*PI()/Inputs!$C$13)*Inputs!$C$15*SIN(RADIANS(I80)))</x:f>
        <x:v>29.251692268127087</x:v>
      </x:c>
      <x:c r="K80" s="40" t="n">
        <x:f>(C80/D80)^4</x:f>
        <x:v>0.9868389379275482</x:v>
      </x:c>
      <x:c r="L80" s="40" t="n">
        <x:f>10*LOG10(K80)</x:f>
        <x:v>-0.057537227884575506</x:v>
      </x:c>
      <x:c r="M80" s="40" t="n">
        <x:f>2*(Inputs!$C$9/(Inputs!$C$10^2))*A80</x:f>
        <x:v>-0.04666666666666667</x:v>
      </x:c>
      <x:c r="N80" s="40" t="n">
        <x:f>M80*Inputs!$C$11</x:f>
        <x:v>-0.18666666666666668</x:v>
      </x:c>
      <x:c r="O80" s="40" t="n">
        <x:f>1000*((A80*Inputs!$C$11)+(B80*N80))/D80</x:f>
        <x:v>-395.09895106337837</x:v>
      </x:c>
      <x:c r="P80" s="40" t="n">
        <x:f>-2*O80/Inputs!$C$13</x:f>
        <x:v>158.03958042535135</x:v>
      </x:c>
      <x:c r="Q80" s="40" t="n">
        <x:f>-2*O80/Inputs!$C$14</x:f>
        <x:v>23.729666730533236</x:v>
      </x:c>
      <x:c r="R80" s="40" t="n">
        <x:f>F80-Inputs!$C$16/2</x:f>
        <x:v>731.441401049121</x:v>
      </x:c>
      <x:c r="S80" s="40" t="n">
        <x:f>F80+Inputs!$C$16/2</x:f>
        <x:v>761.441401049121</x:v>
      </x:c>
      <x:c r="T80" s="40" t="n">
        <x:f>F80-Inputs!$C$17/2</x:f>
        <x:v>596.441401049121</x:v>
      </x:c>
      <x:c r="U80" s="40" t="n">
        <x:f>F80+Inputs!$C$17/2</x:f>
        <x:v>896.441401049121</x:v>
      </x:c>
      <x:c r="V80" s="40" t="n">
        <x:f>ABS(P80)</x:f>
        <x:v>158.03958042535135</x:v>
      </x:c>
      <x:c r="W80" s="40" t="n">
        <x:f>ABS(Q80)</x:f>
        <x:v>23.729666730533236</x:v>
      </x:c>
      <x:c r="X80" s="40" t="n">
        <x:f>IF(Inputs!$C$27="ON",1,0)*(Inputs!$C$28*EXP(-(((A80)-Inputs!$C$29)^2)/(2*Inputs!$C$31^2))*EXP(-(((0)-Inputs!$C$30)^2)/(2*Inputs!$C$32^2))+-Inputs!$C$33*EXP(-(((((A80)-Inputs!$C$34)^2)+(((0)-Inputs!$C$35)^2))/(2*Inputs!$C$36^2)))+Inputs!$C$37*(0.55*SIN(2*PI()*(A80)/Inputs!$C$39)+0.35*COS(2*PI()*(0)/Inputs!$C$40)+0.2*SIN(2*PI()*((A80)+(0))/(0.5*(Inputs!$C$39+Inputs!$C$40))))+Inputs!$C$38*SIN(2*PI()*(A80)/Inputs!$C$39)*SIN(2*PI()*(0)/Inputs!$C$40)+-Inputs!$C$41*EXP(-(((0)-Inputs!$C$43)^2)/(2*Inputs!$C$44^2))*EXP(-(((A80)-Inputs!$C$42)^2)/(2*Inputs!$C$45^2)))</x:f>
        <x:v>-122.23447957006273</x:v>
      </x:c>
      <x:c r="Y80" s="40" t="n">
        <x:f>IF(Inputs!$C$27="ON",1,0)*(Inputs!$C$28*EXP(-(((A80)-Inputs!$C$29)^2)/(2*Inputs!$C$31^2))*EXP(-(((Inputs!$C$6)-Inputs!$C$30)^2)/(2*Inputs!$C$32^2))+-Inputs!$C$33*EXP(-(((((A80)-Inputs!$C$34)^2)+(((Inputs!$C$6)-Inputs!$C$35)^2))/(2*Inputs!$C$36^2)))+Inputs!$C$37*(0.55*SIN(2*PI()*(A80)/Inputs!$C$39)+0.35*COS(2*PI()*(Inputs!$C$6)/Inputs!$C$40)+0.2*SIN(2*PI()*((A80)+(Inputs!$C$6))/(0.5*(Inputs!$C$39+Inputs!$C$40))))+Inputs!$C$38*SIN(2*PI()*(A80)/Inputs!$C$39)*SIN(2*PI()*(Inputs!$C$6)/Inputs!$C$40)+-Inputs!$C$41*EXP(-(((Inputs!$C$6)-Inputs!$C$43)^2)/(2*Inputs!$C$44^2))*EXP(-(((A80)-Inputs!$C$42)^2)/(2*Inputs!$C$45^2)))</x:f>
        <x:v>207.64817014599328</x:v>
      </x:c>
      <x:c r="Z80" s="40" t="n">
        <x:f>B80-X80/1000</x:f>
        <x:v>400.6122344795701</x:v>
      </x:c>
      <x:c r="AA80" s="40" t="n">
        <x:f>SQRT(A80^2+Inputs!$C$6^2+(B80-Y80/1000)^2)</x:f>
        <x:v>401.6117044938295</x:v>
      </x:c>
      <x:c r="AB80" s="40" t="n">
        <x:f>(AA80-Z80)*1000</x:f>
        <x:v>999.4700142594297</x:v>
      </x:c>
      <x:c r="AC80" s="40" t="n">
        <x:f>AB80/Inputs!$C$12</x:f>
        <x:v>561.5000080109155</x:v>
      </x:c>
      <x:c r="AD80" s="40" t="n">
        <x:f>2*AB80/Inputs!$C$21*1000000</x:f>
        <x:v>6.667746219682616</x:v>
      </x:c>
      <x:c r="AE80" s="40" t="n">
        <x:f>DEGREES(ATAN(H80/(B80-Y80/1000)))</x:f>
        <x:v>4.663096703465632</x:v>
      </x:c>
      <x:c r="AF80" s="40" t="n">
        <x:f>DEGREES((2*PI()/Inputs!$C$13)*Inputs!$C$15*SIN(RADIANS(AE80)))</x:f>
        <x:v>29.266766443673294</x:v>
      </x:c>
      <x:c r="AG80" s="40" t="n">
        <x:f>(Z80/AA80)^4</x:f>
        <x:v>0.9900825080909128</x:v>
      </x:c>
      <x:c r="AH80" s="40" t="n">
        <x:f>10*LOG10(AG80)</x:f>
        <x:v>-0.0432861215447165</x:v>
      </x:c>
      <x:c r="AI80" s="40" t="n">
        <x:f>AC80-F80</x:f>
        <x:v>-184.94139303820555</x:v>
      </x:c>
      <x:c r="AJ80" s="40" t="n">
        <x:f>AD80-G80</x:f>
        <x:v>-2.1961571802317046</x:v>
      </x:c>
      <x:c r="AK80" s="40" t="n">
        <x:f>Y80-X80</x:f>
        <x:v>329.882649716056</x:v>
      </x:c>
      <x:c r="AL80" s="40" t="n">
        <x:f>1000*(AA81-AA79)/(A81-A79)*Inputs!$C$11</x:f>
        <x:v>-461.2313496581919</x:v>
      </x:c>
      <x:c r="AM80" s="40" t="n">
        <x:f>-2*AL80/Inputs!$C$13</x:f>
        <x:v>184.49253986327676</x:v>
      </x:c>
      <x:c r="AN80" s="40" t="n">
        <x:f>-2*AL80/Inputs!$C$14</x:f>
        <x:v>27.70158256205357</x:v>
      </x:c>
      <x:c r="AO80" s="40" t="n">
        <x:f>ABS(AM80)</x:f>
        <x:v>184.49253986327676</x:v>
      </x:c>
      <x:c r="AP80" s="40" t="n">
        <x:f>ABS(AN80)</x:f>
        <x:v>27.70158256205357</x:v>
      </x:c>
      <x:c r="AQ80" s="40" t="n">
        <x:f>IF(Inputs!$C$27="ON",Inputs!$C$46/Inputs!$C$12,0)</x:f>
        <x:v>42.13483146067416</x:v>
      </x:c>
      <x:c r="AR80" s="40" t="n">
        <x:f>AC80-AQ80</x:f>
        <x:v>519.3651765502414</x:v>
      </x:c>
      <x:c r="AS80" s="40" t="n">
        <x:f>AC80+AQ80</x:f>
        <x:v>603.6348394715897</x:v>
      </x:c>
    </x:row>
    <x:row r="81">
      <x:c r="A81" s="40" t="n">
        <x:f>Inputs!$C$7+79*(Inputs!$C$8-Inputs!$C$7)/240</x:f>
        <x:v>-20.5</x:v>
      </x:c>
      <x:c r="B81" s="40" t="n">
        <x:f>Inputs!$C$5+Inputs!$C$9*(A81/Inputs!$C$10)^2</x:f>
        <x:v>400.46694444444444</x:v>
      </x:c>
      <x:c r="C81" s="40" t="n">
        <x:f>B81</x:f>
        <x:v>400.46694444444444</x:v>
      </x:c>
      <x:c r="D81" s="40" t="n">
        <x:f>SQRT(A81^2+Inputs!$C$6^2+B81^2)</x:f>
        <x:v>401.76986396775675</x:v>
      </x:c>
      <x:c r="E81" s="40" t="n">
        <x:f>(D81-C81)*1000</x:f>
        <x:v>1302.9195233123119</x:v>
      </x:c>
      <x:c r="F81" s="40" t="n">
        <x:f>E81/Inputs!$C$12</x:f>
        <x:v>731.9772602878156</x:v>
      </x:c>
      <x:c r="G81" s="40" t="n">
        <x:f>2*E81/Inputs!$C$21*1000000</x:f>
        <x:v>8.692143438193577</x:v>
      </x:c>
      <x:c r="H81" s="40" t="n">
        <x:f>SQRT(A81^2+Inputs!$C$6^2)</x:f>
        <x:v>32.33032632065442</x:v>
      </x:c>
      <x:c r="I81" s="40" t="n">
        <x:f>DEGREES(ATAN(H81/B81))</x:f>
        <x:v>4.61556831369344</x:v>
      </x:c>
      <x:c r="J81" s="40" t="n">
        <x:f>DEGREES((2*PI()/Inputs!$C$13)*Inputs!$C$15*SIN(RADIANS(I81)))</x:f>
        <x:v>28.96911520563834</x:v>
      </x:c>
      <x:c r="K81" s="40" t="n">
        <x:f>(C81/D81)^4</x:f>
        <x:v>0.9870911646003662</x:v>
      </x:c>
      <x:c r="L81" s="40" t="n">
        <x:f>10*LOG10(K81)</x:f>
        <x:v>-0.0564273542102285</x:v>
      </x:c>
      <x:c r="M81" s="40" t="n">
        <x:f>2*(Inputs!$C$9/(Inputs!$C$10^2))*A81</x:f>
        <x:v>-0.04555555555555556</x:v>
      </x:c>
      <x:c r="N81" s="40" t="n">
        <x:f>M81*Inputs!$C$11</x:f>
        <x:v>-0.18222222222222223</x:v>
      </x:c>
      <x:c r="O81" s="40" t="n">
        <x:f>1000*((A81*Inputs!$C$11)+(B81*N81))/D81</x:f>
        <x:v>-385.7282251404675</x:v>
      </x:c>
      <x:c r="P81" s="40" t="n">
        <x:f>-2*O81/Inputs!$C$13</x:f>
        <x:v>154.291290056187</x:v>
      </x:c>
      <x:c r="Q81" s="40" t="n">
        <x:f>-2*O81/Inputs!$C$14</x:f>
        <x:v>23.166860368796847</x:v>
      </x:c>
      <x:c r="R81" s="40" t="n">
        <x:f>F81-Inputs!$C$16/2</x:f>
        <x:v>716.9772602878156</x:v>
      </x:c>
      <x:c r="S81" s="40" t="n">
        <x:f>F81+Inputs!$C$16/2</x:f>
        <x:v>746.9772602878156</x:v>
      </x:c>
      <x:c r="T81" s="40" t="n">
        <x:f>F81-Inputs!$C$17/2</x:f>
        <x:v>581.9772602878156</x:v>
      </x:c>
      <x:c r="U81" s="40" t="n">
        <x:f>F81+Inputs!$C$17/2</x:f>
        <x:v>881.9772602878156</x:v>
      </x:c>
      <x:c r="V81" s="40" t="n">
        <x:f>ABS(P81)</x:f>
        <x:v>154.291290056187</x:v>
      </x:c>
      <x:c r="W81" s="40" t="n">
        <x:f>ABS(Q81)</x:f>
        <x:v>23.166860368796847</x:v>
      </x:c>
      <x:c r="X81" s="40" t="n">
        <x:f>IF(Inputs!$C$27="ON",1,0)*(Inputs!$C$28*EXP(-(((A81)-Inputs!$C$29)^2)/(2*Inputs!$C$31^2))*EXP(-(((0)-Inputs!$C$30)^2)/(2*Inputs!$C$32^2))+-Inputs!$C$33*EXP(-(((((A81)-Inputs!$C$34)^2)+(((0)-Inputs!$C$35)^2))/(2*Inputs!$C$36^2)))+Inputs!$C$37*(0.55*SIN(2*PI()*(A81)/Inputs!$C$39)+0.35*COS(2*PI()*(0)/Inputs!$C$40)+0.2*SIN(2*PI()*((A81)+(0))/(0.5*(Inputs!$C$39+Inputs!$C$40))))+Inputs!$C$38*SIN(2*PI()*(A81)/Inputs!$C$39)*SIN(2*PI()*(0)/Inputs!$C$40)+-Inputs!$C$41*EXP(-(((0)-Inputs!$C$43)^2)/(2*Inputs!$C$44^2))*EXP(-(((A81)-Inputs!$C$42)^2)/(2*Inputs!$C$45^2)))</x:f>
        <x:v>-122.94248924099132</x:v>
      </x:c>
      <x:c r="Y81" s="40" t="n">
        <x:f>IF(Inputs!$C$27="ON",1,0)*(Inputs!$C$28*EXP(-(((A81)-Inputs!$C$29)^2)/(2*Inputs!$C$31^2))*EXP(-(((Inputs!$C$6)-Inputs!$C$30)^2)/(2*Inputs!$C$32^2))+-Inputs!$C$33*EXP(-(((((A81)-Inputs!$C$34)^2)+(((Inputs!$C$6)-Inputs!$C$35)^2))/(2*Inputs!$C$36^2)))+Inputs!$C$37*(0.55*SIN(2*PI()*(A81)/Inputs!$C$39)+0.35*COS(2*PI()*(Inputs!$C$6)/Inputs!$C$40)+0.2*SIN(2*PI()*((A81)+(Inputs!$C$6))/(0.5*(Inputs!$C$39+Inputs!$C$40))))+Inputs!$C$38*SIN(2*PI()*(A81)/Inputs!$C$39)*SIN(2*PI()*(Inputs!$C$6)/Inputs!$C$40)+-Inputs!$C$41*EXP(-(((Inputs!$C$6)-Inputs!$C$43)^2)/(2*Inputs!$C$44^2))*EXP(-(((A81)-Inputs!$C$42)^2)/(2*Inputs!$C$45^2)))</x:f>
        <x:v>216.36413985331973</x:v>
      </x:c>
      <x:c r="Z81" s="40" t="n">
        <x:f>B81-X81/1000</x:f>
        <x:v>400.5898869336854</x:v>
      </x:c>
      <x:c r="AA81" s="40" t="n">
        <x:f>SQRT(A81^2+Inputs!$C$6^2+(B81-Y81/1000)^2)</x:f>
        <x:v>401.5542018634121</x:v>
      </x:c>
      <x:c r="AB81" s="40" t="n">
        <x:f>(AA81-Z81)*1000</x:f>
        <x:v>964.3149297266973</x:v>
      </x:c>
      <x:c r="AC81" s="40" t="n">
        <x:f>AB81/Inputs!$C$12</x:f>
        <x:v>541.7499605206165</x:v>
      </x:c>
      <x:c r="AD81" s="40" t="n">
        <x:f>2*AB81/Inputs!$C$21*1000000</x:f>
        <x:v>6.433216740407108</x:v>
      </x:c>
      <x:c r="AE81" s="40" t="n">
        <x:f>DEGREES(ATAN(H81/(B81-Y81/1000)))</x:f>
        <x:v>4.618052570397378</x:v>
      </x:c>
      <x:c r="AF81" s="40" t="n">
        <x:f>DEGREES((2*PI()/Inputs!$C$13)*Inputs!$C$15*SIN(RADIANS(AE81)))</x:f>
        <x:v>28.98467360427359</x:v>
      </x:c>
      <x:c r="AG81" s="40" t="n">
        <x:f>(Z81/AA81)^4</x:f>
        <x:v>0.9904287207788233</x:v>
      </x:c>
      <x:c r="AH81" s="40" t="n">
        <x:f>10*LOG10(AG81)</x:f>
        <x:v>-0.0417677432667829</x:v>
      </x:c>
      <x:c r="AI81" s="40" t="n">
        <x:f>AC81-F81</x:f>
        <x:v>-190.22729976719916</x:v>
      </x:c>
      <x:c r="AJ81" s="40" t="n">
        <x:f>AD81-G81</x:f>
        <x:v>-2.2589266977864693</x:v>
      </x:c>
      <x:c r="AK81" s="40" t="n">
        <x:f>Y81-X81</x:f>
        <x:v>339.30662909431106</x:v>
      </x:c>
      <x:c r="AL81" s="40" t="n">
        <x:f>1000*(AA82-AA80)/(A82-A80)*Inputs!$C$11</x:f>
        <x:v>-458.2635422509611</x:v>
      </x:c>
      <x:c r="AM81" s="40" t="n">
        <x:f>-2*AL81/Inputs!$C$13</x:f>
        <x:v>183.30541690038444</x:v>
      </x:c>
      <x:c r="AN81" s="40" t="n">
        <x:f>-2*AL81/Inputs!$C$14</x:f>
        <x:v>27.523335870928598</x:v>
      </x:c>
      <x:c r="AO81" s="40" t="n">
        <x:f>ABS(AM81)</x:f>
        <x:v>183.30541690038444</x:v>
      </x:c>
      <x:c r="AP81" s="40" t="n">
        <x:f>ABS(AN81)</x:f>
        <x:v>27.523335870928598</x:v>
      </x:c>
      <x:c r="AQ81" s="40" t="n">
        <x:f>IF(Inputs!$C$27="ON",Inputs!$C$46/Inputs!$C$12,0)</x:f>
        <x:v>42.13483146067416</x:v>
      </x:c>
      <x:c r="AR81" s="40" t="n">
        <x:f>AC81-AQ81</x:f>
        <x:v>499.6151290599423</x:v>
      </x:c>
      <x:c r="AS81" s="40" t="n">
        <x:f>AC81+AQ81</x:f>
        <x:v>583.8847919812906</x:v>
      </x:c>
    </x:row>
    <x:row r="82">
      <x:c r="A82" s="40" t="n">
        <x:f>Inputs!$C$7+80*(Inputs!$C$8-Inputs!$C$7)/240</x:f>
        <x:v>-20</x:v>
      </x:c>
      <x:c r="B82" s="40" t="n">
        <x:f>Inputs!$C$5+Inputs!$C$9*(A82/Inputs!$C$10)^2</x:f>
        <x:v>400.44444444444446</x:v>
      </x:c>
      <x:c r="C82" s="40" t="n">
        <x:f>B82</x:f>
        <x:v>400.44444444444446</x:v>
      </x:c>
      <x:c r="D82" s="40" t="n">
        <x:f>SQRT(A82^2+Inputs!$C$6^2+B82^2)</x:f>
        <x:v>401.722233746677</x:v>
      </x:c>
      <x:c r="E82" s="40" t="n">
        <x:f>(D82-C82)*1000</x:f>
        <x:v>1277.7893022325202</x:v>
      </x:c>
      <x:c r="F82" s="40" t="n">
        <x:f>E82/Inputs!$C$12</x:f>
        <x:v>717.8591585575956</x:v>
      </x:c>
      <x:c r="G82" s="40" t="n">
        <x:f>2*E82/Inputs!$C$21*1000000</x:f>
        <x:v>8.524492649061374</x:v>
      </x:c>
      <x:c r="H82" s="40" t="n">
        <x:f>SQRT(A82^2+Inputs!$C$6^2)</x:f>
        <x:v>32.01562118716424</x:v>
      </x:c>
      <x:c r="I82" s="40" t="n">
        <x:f>DEGREES(ATAN(H82/B82))</x:f>
        <x:v>4.571087167996556</x:v>
      </x:c>
      <x:c r="J82" s="40" t="n">
        <x:f>DEGREES((2*PI()/Inputs!$C$13)*Inputs!$C$15*SIN(RADIANS(I82)))</x:f>
        <x:v>28.69052957284685</x:v>
      </x:c>
      <x:c r="K82" s="40" t="n">
        <x:f>(C82/D82)^4</x:f>
        <x:v>0.98733746288823</x:v>
      </x:c>
      <x:c r="L82" s="40" t="n">
        <x:f>10*LOG10(K82)</x:f>
        <x:v>-0.0553438408698413</x:v>
      </x:c>
      <x:c r="M82" s="40" t="n">
        <x:f>2*(Inputs!$C$9/(Inputs!$C$10^2))*A82</x:f>
        <x:v>-0.044444444444444446</x:v>
      </x:c>
      <x:c r="N82" s="40" t="n">
        <x:f>M82*Inputs!$C$11</x:f>
        <x:v>-0.17777777777777778</x:v>
      </x:c>
      <x:c r="O82" s="40" t="n">
        <x:f>1000*((A82*Inputs!$C$11)+(B82*N82))/D82</x:f>
        <x:v>-376.35488095022765</x:v>
      </x:c>
      <x:c r="P82" s="40" t="n">
        <x:f>-2*O82/Inputs!$C$13</x:f>
        <x:v>150.54195238009106</x:v>
      </x:c>
      <x:c r="Q82" s="40" t="n">
        <x:f>-2*O82/Inputs!$C$14</x:f>
        <x:v>22.60389675376743</x:v>
      </x:c>
      <x:c r="R82" s="40" t="n">
        <x:f>F82-Inputs!$C$16/2</x:f>
        <x:v>702.8591585575956</x:v>
      </x:c>
      <x:c r="S82" s="40" t="n">
        <x:f>F82+Inputs!$C$16/2</x:f>
        <x:v>732.8591585575956</x:v>
      </x:c>
      <x:c r="T82" s="40" t="n">
        <x:f>F82-Inputs!$C$17/2</x:f>
        <x:v>567.8591585575956</x:v>
      </x:c>
      <x:c r="U82" s="40" t="n">
        <x:f>F82+Inputs!$C$17/2</x:f>
        <x:v>867.8591585575956</x:v>
      </x:c>
      <x:c r="V82" s="40" t="n">
        <x:f>ABS(P82)</x:f>
        <x:v>150.54195238009106</x:v>
      </x:c>
      <x:c r="W82" s="40" t="n">
        <x:f>ABS(Q82)</x:f>
        <x:v>22.60389675376743</x:v>
      </x:c>
      <x:c r="X82" s="40" t="n">
        <x:f>IF(Inputs!$C$27="ON",1,0)*(Inputs!$C$28*EXP(-(((A82)-Inputs!$C$29)^2)/(2*Inputs!$C$31^2))*EXP(-(((0)-Inputs!$C$30)^2)/(2*Inputs!$C$32^2))+-Inputs!$C$33*EXP(-(((((A82)-Inputs!$C$34)^2)+(((0)-Inputs!$C$35)^2))/(2*Inputs!$C$36^2)))+Inputs!$C$37*(0.55*SIN(2*PI()*(A82)/Inputs!$C$39)+0.35*COS(2*PI()*(0)/Inputs!$C$40)+0.2*SIN(2*PI()*((A82)+(0))/(0.5*(Inputs!$C$39+Inputs!$C$40))))+Inputs!$C$38*SIN(2*PI()*(A82)/Inputs!$C$39)*SIN(2*PI()*(0)/Inputs!$C$40)+-Inputs!$C$41*EXP(-(((0)-Inputs!$C$43)^2)/(2*Inputs!$C$44^2))*EXP(-(((A82)-Inputs!$C$42)^2)/(2*Inputs!$C$45^2)))</x:f>
        <x:v>-122.02978146101407</x:v>
      </x:c>
      <x:c r="Y82" s="40" t="n">
        <x:f>IF(Inputs!$C$27="ON",1,0)*(Inputs!$C$28*EXP(-(((A82)-Inputs!$C$29)^2)/(2*Inputs!$C$31^2))*EXP(-(((Inputs!$C$6)-Inputs!$C$30)^2)/(2*Inputs!$C$32^2))+-Inputs!$C$33*EXP(-(((((A82)-Inputs!$C$34)^2)+(((Inputs!$C$6)-Inputs!$C$35)^2))/(2*Inputs!$C$36^2)))+Inputs!$C$37*(0.55*SIN(2*PI()*(A82)/Inputs!$C$39)+0.35*COS(2*PI()*(Inputs!$C$6)/Inputs!$C$40)+0.2*SIN(2*PI()*((A82)+(Inputs!$C$6))/(0.5*(Inputs!$C$39+Inputs!$C$40))))+Inputs!$C$38*SIN(2*PI()*(A82)/Inputs!$C$39)*SIN(2*PI()*(Inputs!$C$6)/Inputs!$C$40)+-Inputs!$C$41*EXP(-(((Inputs!$C$6)-Inputs!$C$43)^2)/(2*Inputs!$C$44^2))*EXP(-(((A82)-Inputs!$C$42)^2)/(2*Inputs!$C$45^2)))</x:f>
        <x:v>225.81380535771012</x:v>
      </x:c>
      <x:c r="Z82" s="40" t="n">
        <x:f>B82-X82/1000</x:f>
        <x:v>400.5664742259055</x:v>
      </x:c>
      <x:c r="AA82" s="40" t="n">
        <x:f>SQRT(A82^2+Inputs!$C$6^2+(B82-Y82/1000)^2)</x:f>
        <x:v>401.49713860826677</x:v>
      </x:c>
      <x:c r="AB82" s="40" t="n">
        <x:f>(AA82-Z82)*1000</x:f>
        <x:v>930.6643823612717</x:v>
      </x:c>
      <x:c r="AC82" s="40" t="n">
        <x:f>AB82/Inputs!$C$12</x:f>
        <x:v>522.8451586299279</x:v>
      </x:c>
      <x:c r="AD82" s="40" t="n">
        <x:f>2*AB82/Inputs!$C$21*1000000</x:f>
        <x:v>6.208724452709692</x:v>
      </x:c>
      <x:c r="AE82" s="40" t="n">
        <x:f>DEGREES(ATAN(H82/(B82-Y82/1000)))</x:f>
        <x:v>4.573655355517134</x:v>
      </x:c>
      <x:c r="AF82" s="40" t="n">
        <x:f>DEGREES((2*PI()/Inputs!$C$13)*Inputs!$C$15*SIN(RADIANS(AE82)))</x:f>
        <x:v>28.7066146158129</x:v>
      </x:c>
      <x:c r="AG82" s="40" t="n">
        <x:f>(Z82/AA82)^4</x:f>
        <x:v>0.9907602481657416</x:v>
      </x:c>
      <x:c r="AH82" s="40" t="n">
        <x:f>10*LOG10(AG82)</x:f>
        <x:v>-0.0403142674162784</x:v>
      </x:c>
      <x:c r="AI82" s="40" t="n">
        <x:f>AC82-F82</x:f>
        <x:v>-195.01399992766767</x:v>
      </x:c>
      <x:c r="AJ82" s="40" t="n">
        <x:f>AD82-G82</x:f>
        <x:v>-2.315768196351682</x:v>
      </x:c>
      <x:c r="AK82" s="40" t="n">
        <x:f>Y82-X82</x:f>
        <x:v>347.8435868187242</x:v>
      </x:c>
      <x:c r="AL82" s="40" t="n">
        <x:f>1000*(AA83-AA81)/(A83-A81)*Inputs!$C$11</x:f>
        <x:v>-454.1424224419188</x:v>
      </x:c>
      <x:c r="AM82" s="40" t="n">
        <x:f>-2*AL82/Inputs!$C$13</x:f>
        <x:v>181.65696897676753</x:v>
      </x:c>
      <x:c r="AN82" s="40" t="n">
        <x:f>-2*AL82/Inputs!$C$14</x:f>
        <x:v>27.275821167682814</x:v>
      </x:c>
      <x:c r="AO82" s="40" t="n">
        <x:f>ABS(AM82)</x:f>
        <x:v>181.65696897676753</x:v>
      </x:c>
      <x:c r="AP82" s="40" t="n">
        <x:f>ABS(AN82)</x:f>
        <x:v>27.275821167682814</x:v>
      </x:c>
      <x:c r="AQ82" s="40" t="n">
        <x:f>IF(Inputs!$C$27="ON",Inputs!$C$46/Inputs!$C$12,0)</x:f>
        <x:v>42.13483146067416</x:v>
      </x:c>
      <x:c r="AR82" s="40" t="n">
        <x:f>AC82-AQ82</x:f>
        <x:v>480.7103271692538</x:v>
      </x:c>
      <x:c r="AS82" s="40" t="n">
        <x:f>AC82+AQ82</x:f>
        <x:v>564.9799900906021</x:v>
      </x:c>
    </x:row>
    <x:row r="83">
      <x:c r="A83" s="40" t="n">
        <x:f>Inputs!$C$7+81*(Inputs!$C$8-Inputs!$C$7)/240</x:f>
        <x:v>-19.5</x:v>
      </x:c>
      <x:c r="B83" s="40" t="n">
        <x:f>Inputs!$C$5+Inputs!$C$9*(A83/Inputs!$C$10)^2</x:f>
        <x:v>400.4225</x:v>
      </x:c>
      <x:c r="C83" s="40" t="n">
        <x:f>B83</x:f>
        <x:v>400.4225</x:v>
      </x:c>
      <x:c r="D83" s="40" t="n">
        <x:f>SQRT(A83^2+Inputs!$C$6^2+B83^2)</x:f>
        <x:v>401.6757753540161</x:v>
      </x:c>
      <x:c r="E83" s="40" t="n">
        <x:f>(D83-C83)*1000</x:f>
        <x:v>1253.2753540160684</x:v>
      </x:c>
      <x:c r="F83" s="40" t="n">
        <x:f>E83/Inputs!$C$12</x:f>
        <x:v>704.0872775371171</x:v>
      </x:c>
      <x:c r="G83" s="40" t="n">
        <x:f>2*E83/Inputs!$C$21*1000000</x:f>
        <x:v>8.360953189930271</x:v>
      </x:c>
      <x:c r="H83" s="40" t="n">
        <x:f>SQRT(A83^2+Inputs!$C$6^2)</x:f>
        <x:v>31.70567772497538</x:v>
      </x:c>
      <x:c r="I83" s="40" t="n">
        <x:f>DEGREES(ATAN(H83/B83))</x:f>
        <x:v>4.527266340904271</x:v>
      </x:c>
      <x:c r="J83" s="40" t="n">
        <x:f>DEGREES((2*PI()/Inputs!$C$13)*Inputs!$C$15*SIN(RADIANS(I83)))</x:f>
        <x:v>28.416062609031858</x:v>
      </x:c>
      <x:c r="K83" s="40" t="n">
        <x:f>(C83/D83)^4</x:f>
        <x:v>0.9875778219796632</x:v>
      </x:c>
      <x:c r="L83" s="40" t="n">
        <x:f>10*LOG10(K83)</x:f>
        <x:v>-0.0542867157526281</x:v>
      </x:c>
      <x:c r="M83" s="40" t="n">
        <x:f>2*(Inputs!$C$9/(Inputs!$C$10^2))*A83</x:f>
        <x:v>-0.043333333333333335</x:v>
      </x:c>
      <x:c r="N83" s="40" t="n">
        <x:f>M83*Inputs!$C$11</x:f>
        <x:v>-0.17333333333333334</x:v>
      </x:c>
      <x:c r="O83" s="40" t="n">
        <x:f>1000*((A83*Inputs!$C$11)+(B83*N83))/D83</x:f>
        <x:v>-366.9789808378416</x:v>
      </x:c>
      <x:c r="P83" s="40" t="n">
        <x:f>-2*O83/Inputs!$C$13</x:f>
        <x:v>146.79159233513664</x:v>
      </x:c>
      <x:c r="Q83" s="40" t="n">
        <x:f>-2*O83/Inputs!$C$14</x:f>
        <x:v>22.0407796299004</x:v>
      </x:c>
      <x:c r="R83" s="40" t="n">
        <x:f>F83-Inputs!$C$16/2</x:f>
        <x:v>689.0872775371171</x:v>
      </x:c>
      <x:c r="S83" s="40" t="n">
        <x:f>F83+Inputs!$C$16/2</x:f>
        <x:v>719.0872775371171</x:v>
      </x:c>
      <x:c r="T83" s="40" t="n">
        <x:f>F83-Inputs!$C$17/2</x:f>
        <x:v>554.0872775371171</x:v>
      </x:c>
      <x:c r="U83" s="40" t="n">
        <x:f>F83+Inputs!$C$17/2</x:f>
        <x:v>854.0872775371171</x:v>
      </x:c>
      <x:c r="V83" s="40" t="n">
        <x:f>ABS(P83)</x:f>
        <x:v>146.79159233513664</x:v>
      </x:c>
      <x:c r="W83" s="40" t="n">
        <x:f>ABS(Q83)</x:f>
        <x:v>22.0407796299004</x:v>
      </x:c>
      <x:c r="X83" s="40" t="n">
        <x:f>IF(Inputs!$C$27="ON",1,0)*(Inputs!$C$28*EXP(-(((A83)-Inputs!$C$29)^2)/(2*Inputs!$C$31^2))*EXP(-(((0)-Inputs!$C$30)^2)/(2*Inputs!$C$32^2))+-Inputs!$C$33*EXP(-(((((A83)-Inputs!$C$34)^2)+(((0)-Inputs!$C$35)^2))/(2*Inputs!$C$36^2)))+Inputs!$C$37*(0.55*SIN(2*PI()*(A83)/Inputs!$C$39)+0.35*COS(2*PI()*(0)/Inputs!$C$40)+0.2*SIN(2*PI()*((A83)+(0))/(0.5*(Inputs!$C$39+Inputs!$C$40))))+Inputs!$C$38*SIN(2*PI()*(A83)/Inputs!$C$39)*SIN(2*PI()*(0)/Inputs!$C$40)+-Inputs!$C$41*EXP(-(((0)-Inputs!$C$43)^2)/(2*Inputs!$C$44^2))*EXP(-(((A83)-Inputs!$C$42)^2)/(2*Inputs!$C$45^2)))</x:f>
        <x:v>-119.5394091834048</x:v>
      </x:c>
      <x:c r="Y83" s="40" t="n">
        <x:f>IF(Inputs!$C$27="ON",1,0)*(Inputs!$C$28*EXP(-(((A83)-Inputs!$C$29)^2)/(2*Inputs!$C$31^2))*EXP(-(((Inputs!$C$6)-Inputs!$C$30)^2)/(2*Inputs!$C$32^2))+-Inputs!$C$33*EXP(-(((((A83)-Inputs!$C$34)^2)+(((Inputs!$C$6)-Inputs!$C$35)^2))/(2*Inputs!$C$36^2)))+Inputs!$C$37*(0.55*SIN(2*PI()*(A83)/Inputs!$C$39)+0.35*COS(2*PI()*(Inputs!$C$6)/Inputs!$C$40)+0.2*SIN(2*PI()*((A83)+(Inputs!$C$6))/(0.5*(Inputs!$C$39+Inputs!$C$40))))+Inputs!$C$38*SIN(2*PI()*(A83)/Inputs!$C$39)*SIN(2*PI()*(Inputs!$C$6)/Inputs!$C$40)+-Inputs!$C$41*EXP(-(((Inputs!$C$6)-Inputs!$C$43)^2)/(2*Inputs!$C$44^2))*EXP(-(((A83)-Inputs!$C$42)^2)/(2*Inputs!$C$45^2)))</x:f>
        <x:v>235.84539304326952</x:v>
      </x:c>
      <x:c r="Z83" s="40" t="n">
        <x:f>B83-X83/1000</x:f>
        <x:v>400.5420394091834</x:v>
      </x:c>
      <x:c r="AA83" s="40" t="n">
        <x:f>SQRT(A83^2+Inputs!$C$6^2+(B83-Y83/1000)^2)</x:f>
        <x:v>401.44066625780164</x:v>
      </x:c>
      <x:c r="AB83" s="40" t="n">
        <x:f>(AA83-Z83)*1000</x:f>
        <x:v>898.6268486182212</x:v>
      </x:c>
      <x:c r="AC83" s="40" t="n">
        <x:f>AB83/Inputs!$C$12</x:f>
        <x:v>504.84654416754</x:v>
      </x:c>
      <x:c r="AD83" s="40" t="n">
        <x:f>2*AB83/Inputs!$C$21*1000000</x:f>
        <x:v>5.994993033602074</x:v>
      </x:c>
      <x:c r="AE83" s="40" t="n">
        <x:f>DEGREES(ATAN(H83/(B83-Y83/1000)))</x:f>
        <x:v>4.52992333179374</x:v>
      </x:c>
      <x:c r="AF83" s="40" t="n">
        <x:f>DEGREES((2*PI()/Inputs!$C$13)*Inputs!$C$15*SIN(RADIANS(AE83)))</x:f>
        <x:v>28.43270485621688</x:v>
      </x:c>
      <x:c r="AG83" s="40" t="n">
        <x:f>(Z83/AA83)^4</x:f>
        <x:v>0.9910760014759722</x:v>
      </x:c>
      <x:c r="AH83" s="40" t="n">
        <x:f>10*LOG10(AG83)</x:f>
        <x:v>-0.038930400091609904</x:v>
      </x:c>
      <x:c r="AI83" s="40" t="n">
        <x:f>AC83-F83</x:f>
        <x:v>-199.24073336957707</x:v>
      </x:c>
      <x:c r="AJ83" s="40" t="n">
        <x:f>AD83-G83</x:f>
        <x:v>-2.365960156328197</x:v>
      </x:c>
      <x:c r="AK83" s="40" t="n">
        <x:f>Y83-X83</x:f>
        <x:v>355.3848022266743</x:v>
      </x:c>
      <x:c r="AL83" s="40" t="n">
        <x:f>1000*(AA84-AA82)/(A84-A82)*Inputs!$C$11</x:f>
        <x:v>-448.7656326684828</x:v>
      </x:c>
      <x:c r="AM83" s="40" t="n">
        <x:f>-2*AL83/Inputs!$C$13</x:f>
        <x:v>179.50625306739312</x:v>
      </x:c>
      <x:c r="AN83" s="40" t="n">
        <x:f>-2*AL83/Inputs!$C$14</x:f>
        <x:v>26.95289085095993</x:v>
      </x:c>
      <x:c r="AO83" s="40" t="n">
        <x:f>ABS(AM83)</x:f>
        <x:v>179.50625306739312</x:v>
      </x:c>
      <x:c r="AP83" s="40" t="n">
        <x:f>ABS(AN83)</x:f>
        <x:v>26.95289085095993</x:v>
      </x:c>
      <x:c r="AQ83" s="40" t="n">
        <x:f>IF(Inputs!$C$27="ON",Inputs!$C$46/Inputs!$C$12,0)</x:f>
        <x:v>42.13483146067416</x:v>
      </x:c>
      <x:c r="AR83" s="40" t="n">
        <x:f>AC83-AQ83</x:f>
        <x:v>462.71171270686585</x:v>
      </x:c>
      <x:c r="AS83" s="40" t="n">
        <x:f>AC83+AQ83</x:f>
        <x:v>546.9813756282142</x:v>
      </x:c>
    </x:row>
    <x:row r="84">
      <x:c r="A84" s="40" t="n">
        <x:f>Inputs!$C$7+82*(Inputs!$C$8-Inputs!$C$7)/240</x:f>
        <x:v>-19</x:v>
      </x:c>
      <x:c r="B84" s="40" t="n">
        <x:f>Inputs!$C$5+Inputs!$C$9*(A84/Inputs!$C$10)^2</x:f>
        <x:v>400.4011111111111</x:v>
      </x:c>
      <x:c r="C84" s="40" t="n">
        <x:f>B84</x:f>
        <x:v>400.4011111111111</x:v>
      </x:c>
      <x:c r="D84" s="40" t="n">
        <x:f>SQRT(A84^2+Inputs!$C$6^2+B84^2)</x:f>
        <x:v>401.630489105362</x:v>
      </x:c>
      <x:c r="E84" s="40" t="n">
        <x:f>(D84-C84)*1000</x:f>
        <x:v>1229.3779942509104</x:v>
      </x:c>
      <x:c r="F84" s="40" t="n">
        <x:f>E84/Inputs!$C$12</x:f>
        <x:v>690.6617945229834</x:v>
      </x:c>
      <x:c r="G84" s="40" t="n">
        <x:f>2*E84/Inputs!$C$21*1000000</x:f>
        <x:v>8.201527166176477</x:v>
      </x:c>
      <x:c r="H84" s="40" t="n">
        <x:f>SQRT(A84^2+Inputs!$C$6^2)</x:f>
        <x:v>31.400636936215164</x:v>
      </x:c>
      <x:c r="I84" s="40" t="n">
        <x:f>DEGREES(ATAN(H84/B84))</x:f>
        <x:v>4.484126471249511</x:v>
      </x:c>
      <x:c r="J84" s="40" t="n">
        <x:f>DEGREES((2*PI()/Inputs!$C$13)*Inputs!$C$15*SIN(RADIANS(I84)))</x:f>
        <x:v>28.14584451050467</x:v>
      </x:c>
      <x:c r="K84" s="40" t="n">
        <x:f>(C84/D84)^4</x:f>
        <x:v>0.9878122313157164</x:v>
      </x:c>
      <x:c r="L84" s="40" t="n">
        <x:f>10*LOG10(K84)</x:f>
        <x:v>-0.05325600608126439</x:v>
      </x:c>
      <x:c r="M84" s="40" t="n">
        <x:f>2*(Inputs!$C$9/(Inputs!$C$10^2))*A84</x:f>
        <x:v>-0.042222222222222223</x:v>
      </x:c>
      <x:c r="N84" s="40" t="n">
        <x:f>M84*Inputs!$C$11</x:f>
        <x:v>-0.1688888888888889</x:v>
      </x:c>
      <x:c r="O84" s="40" t="n">
        <x:f>1000*((A84*Inputs!$C$11)+(B84*N84))/D84</x:f>
        <x:v>-357.60058725958567</x:v>
      </x:c>
      <x:c r="P84" s="40" t="n">
        <x:f>-2*O84/Inputs!$C$13</x:f>
        <x:v>143.04023490383426</x:v>
      </x:c>
      <x:c r="Q84" s="40" t="n">
        <x:f>-2*O84/Inputs!$C$14</x:f>
        <x:v>21.477512748323466</x:v>
      </x:c>
      <x:c r="R84" s="40" t="n">
        <x:f>F84-Inputs!$C$16/2</x:f>
        <x:v>675.6617945229834</x:v>
      </x:c>
      <x:c r="S84" s="40" t="n">
        <x:f>F84+Inputs!$C$16/2</x:f>
        <x:v>705.6617945229834</x:v>
      </x:c>
      <x:c r="T84" s="40" t="n">
        <x:f>F84-Inputs!$C$17/2</x:f>
        <x:v>540.6617945229834</x:v>
      </x:c>
      <x:c r="U84" s="40" t="n">
        <x:f>F84+Inputs!$C$17/2</x:f>
        <x:v>840.6617945229834</x:v>
      </x:c>
      <x:c r="V84" s="40" t="n">
        <x:f>ABS(P84)</x:f>
        <x:v>143.04023490383426</x:v>
      </x:c>
      <x:c r="W84" s="40" t="n">
        <x:f>ABS(Q84)</x:f>
        <x:v>21.477512748323466</x:v>
      </x:c>
      <x:c r="X84" s="40" t="n">
        <x:f>IF(Inputs!$C$27="ON",1,0)*(Inputs!$C$28*EXP(-(((A84)-Inputs!$C$29)^2)/(2*Inputs!$C$31^2))*EXP(-(((0)-Inputs!$C$30)^2)/(2*Inputs!$C$32^2))+-Inputs!$C$33*EXP(-(((((A84)-Inputs!$C$34)^2)+(((0)-Inputs!$C$35)^2))/(2*Inputs!$C$36^2)))+Inputs!$C$37*(0.55*SIN(2*PI()*(A84)/Inputs!$C$39)+0.35*COS(2*PI()*(0)/Inputs!$C$40)+0.2*SIN(2*PI()*((A84)+(0))/(0.5*(Inputs!$C$39+Inputs!$C$40))))+Inputs!$C$38*SIN(2*PI()*(A84)/Inputs!$C$39)*SIN(2*PI()*(0)/Inputs!$C$40)+-Inputs!$C$41*EXP(-(((0)-Inputs!$C$43)^2)/(2*Inputs!$C$44^2))*EXP(-(((A84)-Inputs!$C$42)^2)/(2*Inputs!$C$45^2)))</x:f>
        <x:v>-115.56137698712307</x:v>
      </x:c>
      <x:c r="Y84" s="40" t="n">
        <x:f>IF(Inputs!$C$27="ON",1,0)*(Inputs!$C$28*EXP(-(((A84)-Inputs!$C$29)^2)/(2*Inputs!$C$31^2))*EXP(-(((Inputs!$C$6)-Inputs!$C$30)^2)/(2*Inputs!$C$32^2))+-Inputs!$C$33*EXP(-(((((A84)-Inputs!$C$34)^2)+(((Inputs!$C$6)-Inputs!$C$35)^2))/(2*Inputs!$C$36^2)))+Inputs!$C$37*(0.55*SIN(2*PI()*(A84)/Inputs!$C$39)+0.35*COS(2*PI()*(Inputs!$C$6)/Inputs!$C$40)+0.2*SIN(2*PI()*((A84)+(Inputs!$C$6))/(0.5*(Inputs!$C$39+Inputs!$C$40))))+Inputs!$C$38*SIN(2*PI()*(A84)/Inputs!$C$39)*SIN(2*PI()*(Inputs!$C$6)/Inputs!$C$40)+-Inputs!$C$41*EXP(-(((Inputs!$C$6)-Inputs!$C$43)^2)/(2*Inputs!$C$44^2))*EXP(-(((A84)-Inputs!$C$42)^2)/(2*Inputs!$C$45^2)))</x:f>
        <x:v>246.29627212060018</x:v>
      </x:c>
      <x:c r="Z84" s="40" t="n">
        <x:f>B84-X84/1000</x:f>
        <x:v>400.5166724880982</x:v>
      </x:c>
      <x:c r="AA84" s="40" t="n">
        <x:f>SQRT(A84^2+Inputs!$C$6^2+(B84-Y84/1000)^2)</x:f>
        <x:v>401.38494720009965</x:v>
      </x:c>
      <x:c r="AB84" s="40" t="n">
        <x:f>(AA84-Z84)*1000</x:f>
        <x:v>868.2747120014369</x:v>
      </x:c>
      <x:c r="AC84" s="40" t="n">
        <x:f>AB84/Inputs!$C$12</x:f>
        <x:v>487.79478202327914</x:v>
      </x:c>
      <x:c r="AD84" s="40" t="n">
        <x:f>2*AB84/Inputs!$C$21*1000000</x:f>
        <x:v>5.792505373843907</x:v>
      </x:c>
      <x:c r="AE84" s="40" t="n">
        <x:f>DEGREES(ATAN(H84/(B84-Y84/1000)))</x:f>
        <x:v>4.486875195493385</x:v>
      </x:c>
      <x:c r="AF84" s="40" t="n">
        <x:f>DEGREES((2*PI()/Inputs!$C$13)*Inputs!$C$15*SIN(RADIANS(AE84)))</x:f>
        <x:v>28.16306235670079</x:v>
      </x:c>
      <x:c r="AG84" s="40" t="n">
        <x:f>(Z84/AA84)^4</x:f>
        <x:v>0.9913752480755303</x:v>
      </x:c>
      <x:c r="AH84" s="40" t="n">
        <x:f>10*LOG10(AG84)</x:f>
        <x:v>-0.0376192843914595</x:v>
      </x:c>
      <x:c r="AI84" s="40" t="n">
        <x:f>AC84-F84</x:f>
        <x:v>-202.8670124997043</x:v>
      </x:c>
      <x:c r="AJ84" s="40" t="n">
        <x:f>AD84-G84</x:f>
        <x:v>-2.4090217923325703</x:v>
      </x:c>
      <x:c r="AK84" s="40" t="n">
        <x:f>Y84-X84</x:f>
        <x:v>361.85764910772326</x:v>
      </x:c>
      <x:c r="AL84" s="40" t="n">
        <x:f>1000*(AA85-AA83)/(A85-A83)*Inputs!$C$11</x:f>
        <x:v>-442.0619329087003</x:v>
      </x:c>
      <x:c r="AM84" s="40" t="n">
        <x:f>-2*AL84/Inputs!$C$13</x:f>
        <x:v>176.82477316348013</x:v>
      </x:c>
      <x:c r="AN84" s="40" t="n">
        <x:f>-2*AL84/Inputs!$C$14</x:f>
        <x:v>26.550266240762785</x:v>
      </x:c>
      <x:c r="AO84" s="40" t="n">
        <x:f>ABS(AM84)</x:f>
        <x:v>176.82477316348013</x:v>
      </x:c>
      <x:c r="AP84" s="40" t="n">
        <x:f>ABS(AN84)</x:f>
        <x:v>26.550266240762785</x:v>
      </x:c>
      <x:c r="AQ84" s="40" t="n">
        <x:f>IF(Inputs!$C$27="ON",Inputs!$C$46/Inputs!$C$12,0)</x:f>
        <x:v>42.13483146067416</x:v>
      </x:c>
      <x:c r="AR84" s="40" t="n">
        <x:f>AC84-AQ84</x:f>
        <x:v>445.659950562605</x:v>
      </x:c>
      <x:c r="AS84" s="40" t="n">
        <x:f>AC84+AQ84</x:f>
        <x:v>529.9296134839533</x:v>
      </x:c>
    </x:row>
    <x:row r="85">
      <x:c r="A85" s="40" t="n">
        <x:f>Inputs!$C$7+83*(Inputs!$C$8-Inputs!$C$7)/240</x:f>
        <x:v>-18.5</x:v>
      </x:c>
      <x:c r="B85" s="40" t="n">
        <x:f>Inputs!$C$5+Inputs!$C$9*(A85/Inputs!$C$10)^2</x:f>
        <x:v>400.3802777777778</x:v>
      </x:c>
      <x:c r="C85" s="40" t="n">
        <x:f>B85</x:f>
        <x:v>400.3802777777778</x:v>
      </x:c>
      <x:c r="D85" s="40" t="n">
        <x:f>SQRT(A85^2+Inputs!$C$6^2+B85^2)</x:f>
        <x:v>401.5863753084889</x:v>
      </x:c>
      <x:c r="E85" s="40" t="n">
        <x:f>(D85-C85)*1000</x:f>
        <x:v>1206.0975307111335</x:v>
      </x:c>
      <x:c r="F85" s="40" t="n">
        <x:f>E85/Inputs!$C$12</x:f>
        <x:v>677.5828824219851</x:v>
      </x:c>
      <x:c r="G85" s="40" t="n">
        <x:f>2*E85/Inputs!$C$21*1000000</x:f>
        <x:v>8.046216631047692</x:v>
      </x:c>
      <x:c r="H85" s="40" t="n">
        <x:f>SQRT(A85^2+Inputs!$C$6^2)</x:f>
        <x:v>31.100643080167973</x:v>
      </x:c>
      <x:c r="I85" s="40" t="n">
        <x:f>DEGREES(ATAN(H85/B85))</x:f>
        <x:v>4.441688661129496</x:v>
      </x:c>
      <x:c r="J85" s="40" t="n">
        <x:f>DEGREES((2*PI()/Inputs!$C$13)*Inputs!$C$15*SIN(RADIANS(I85)))</x:f>
        <x:v>27.88000837991527</x:v>
      </x:c>
      <x:c r="K85" s="40" t="n">
        <x:f>(C85/D85)^4</x:f>
        <x:v>0.9880406805910283</x:v>
      </x:c>
      <x:c r="L85" s="40" t="n">
        <x:f>10*LOG10(K85)</x:f>
        <x:v>-0.052251738410254996</x:v>
      </x:c>
      <x:c r="M85" s="40" t="n">
        <x:f>2*(Inputs!$C$9/(Inputs!$C$10^2))*A85</x:f>
        <x:v>-0.04111111111111111</x:v>
      </x:c>
      <x:c r="N85" s="40" t="n">
        <x:f>M85*Inputs!$C$11</x:f>
        <x:v>-0.16444444444444445</x:v>
      </x:c>
      <x:c r="O85" s="40" t="n">
        <x:f>1000*((A85*Inputs!$C$11)+(B85*N85))/D85</x:f>
        <x:v>-348.2197627801917</x:v>
      </x:c>
      <x:c r="P85" s="40" t="n">
        <x:f>-2*O85/Inputs!$C$13</x:f>
        <x:v>139.28790511207666</x:v>
      </x:c>
      <x:c r="Q85" s="40" t="n">
        <x:f>-2*O85/Inputs!$C$14</x:f>
        <x:v>20.914099866678182</x:v>
      </x:c>
      <x:c r="R85" s="40" t="n">
        <x:f>F85-Inputs!$C$16/2</x:f>
        <x:v>662.5828824219851</x:v>
      </x:c>
      <x:c r="S85" s="40" t="n">
        <x:f>F85+Inputs!$C$16/2</x:f>
        <x:v>692.5828824219851</x:v>
      </x:c>
      <x:c r="T85" s="40" t="n">
        <x:f>F85-Inputs!$C$17/2</x:f>
        <x:v>527.5828824219851</x:v>
      </x:c>
      <x:c r="U85" s="40" t="n">
        <x:f>F85+Inputs!$C$17/2</x:f>
        <x:v>827.5828824219851</x:v>
      </x:c>
      <x:c r="V85" s="40" t="n">
        <x:f>ABS(P85)</x:f>
        <x:v>139.28790511207666</x:v>
      </x:c>
      <x:c r="W85" s="40" t="n">
        <x:f>ABS(Q85)</x:f>
        <x:v>20.914099866678182</x:v>
      </x:c>
      <x:c r="X85" s="40" t="n">
        <x:f>IF(Inputs!$C$27="ON",1,0)*(Inputs!$C$28*EXP(-(((A85)-Inputs!$C$29)^2)/(2*Inputs!$C$31^2))*EXP(-(((0)-Inputs!$C$30)^2)/(2*Inputs!$C$32^2))+-Inputs!$C$33*EXP(-(((((A85)-Inputs!$C$34)^2)+(((0)-Inputs!$C$35)^2))/(2*Inputs!$C$36^2)))+Inputs!$C$37*(0.55*SIN(2*PI()*(A85)/Inputs!$C$39)+0.35*COS(2*PI()*(0)/Inputs!$C$40)+0.2*SIN(2*PI()*((A85)+(0))/(0.5*(Inputs!$C$39+Inputs!$C$40))))+Inputs!$C$38*SIN(2*PI()*(A85)/Inputs!$C$39)*SIN(2*PI()*(0)/Inputs!$C$40)+-Inputs!$C$41*EXP(-(((0)-Inputs!$C$43)^2)/(2*Inputs!$C$44^2))*EXP(-(((A85)-Inputs!$C$42)^2)/(2*Inputs!$C$45^2)))</x:f>
        <x:v>-110.23036099080758</x:v>
      </x:c>
      <x:c r="Y85" s="40" t="n">
        <x:f>IF(Inputs!$C$27="ON",1,0)*(Inputs!$C$28*EXP(-(((A85)-Inputs!$C$29)^2)/(2*Inputs!$C$31^2))*EXP(-(((Inputs!$C$6)-Inputs!$C$30)^2)/(2*Inputs!$C$32^2))+-Inputs!$C$33*EXP(-(((((A85)-Inputs!$C$34)^2)+(((Inputs!$C$6)-Inputs!$C$35)^2))/(2*Inputs!$C$36^2)))+Inputs!$C$37*(0.55*SIN(2*PI()*(A85)/Inputs!$C$39)+0.35*COS(2*PI()*(Inputs!$C$6)/Inputs!$C$40)+0.2*SIN(2*PI()*((A85)+(Inputs!$C$6))/(0.5*(Inputs!$C$39+Inputs!$C$40))))+Inputs!$C$38*SIN(2*PI()*(A85)/Inputs!$C$39)*SIN(2*PI()*(Inputs!$C$6)/Inputs!$C$40)+-Inputs!$C$41*EXP(-(((Inputs!$C$6)-Inputs!$C$43)^2)/(2*Inputs!$C$44^2))*EXP(-(((A85)-Inputs!$C$42)^2)/(2*Inputs!$C$45^2)))</x:f>
        <x:v>256.99687457580757</x:v>
      </x:c>
      <x:c r="Z85" s="40" t="n">
        <x:f>B85-X85/1000</x:f>
        <x:v>400.4905081387686</x:v>
      </x:c>
      <x:c r="AA85" s="40" t="n">
        <x:f>SQRT(A85^2+Inputs!$C$6^2+(B85-Y85/1000)^2)</x:f>
        <x:v>401.33015077457446</x:v>
      </x:c>
      <x:c r="AB85" s="40" t="n">
        <x:f>(AA85-Z85)*1000</x:f>
        <x:v>839.6426358058875</x:v>
      </x:c>
      <x:c r="AC85" s="40" t="n">
        <x:f>AB85/Inputs!$C$12</x:f>
        <x:v>471.70934595836377</x:v>
      </x:c>
      <x:c r="AD85" s="40" t="n">
        <x:f>2*AB85/Inputs!$C$21*1000000</x:f>
        <x:v>5.601492722047648</x:v>
      </x:c>
      <x:c r="AE85" s="40" t="n">
        <x:f>DEGREES(ATAN(H85/(B85-Y85/1000)))</x:f>
        <x:v>4.4445301050250325</x:v>
      </x:c>
      <x:c r="AF85" s="40" t="n">
        <x:f>DEGREES((2*PI()/Inputs!$C$13)*Inputs!$C$15*SIN(RADIANS(AE85)))</x:f>
        <x:v>27.897808044702202</x:v>
      </x:c>
      <x:c r="AG85" s="40" t="n">
        <x:f>(Z85/AA85)^4</x:f>
        <x:v>0.9916576283072823</x:v>
      </x:c>
      <x:c r="AH85" s="40" t="n">
        <x:f>10*LOG10(AG85)</x:f>
        <x:v>-0.0363824296853383</x:v>
      </x:c>
      <x:c r="AI85" s="40" t="n">
        <x:f>AC85-F85</x:f>
        <x:v>-205.87353646362135</x:v>
      </x:c>
      <x:c r="AJ85" s="40" t="n">
        <x:f>AD85-G85</x:f>
        <x:v>-2.444723909000044</x:v>
      </x:c>
      <x:c r="AK85" s="40" t="n">
        <x:f>Y85-X85</x:f>
        <x:v>367.22723556661515</x:v>
      </x:c>
      <x:c r="AL85" s="40" t="n">
        <x:f>1000*(AA86-AA84)/(A86-A84)*Inputs!$C$11</x:f>
        <x:v>-433.9911697243224</x:v>
      </x:c>
      <x:c r="AM85" s="40" t="n">
        <x:f>-2*AL85/Inputs!$C$13</x:f>
        <x:v>173.59646788972896</x:v>
      </x:c>
      <x:c r="AN85" s="40" t="n">
        <x:f>-2*AL85/Inputs!$C$14</x:f>
        <x:v>26.065535719178524</x:v>
      </x:c>
      <x:c r="AO85" s="40" t="n">
        <x:f>ABS(AM85)</x:f>
        <x:v>173.59646788972896</x:v>
      </x:c>
      <x:c r="AP85" s="40" t="n">
        <x:f>ABS(AN85)</x:f>
        <x:v>26.065535719178524</x:v>
      </x:c>
      <x:c r="AQ85" s="40" t="n">
        <x:f>IF(Inputs!$C$27="ON",Inputs!$C$46/Inputs!$C$12,0)</x:f>
        <x:v>42.13483146067416</x:v>
      </x:c>
      <x:c r="AR85" s="40" t="n">
        <x:f>AC85-AQ85</x:f>
        <x:v>429.5745144976896</x:v>
      </x:c>
      <x:c r="AS85" s="40" t="n">
        <x:f>AC85+AQ85</x:f>
        <x:v>513.8441774190379</x:v>
      </x:c>
    </x:row>
    <x:row r="86">
      <x:c r="A86" s="40" t="n">
        <x:f>Inputs!$C$7+84*(Inputs!$C$8-Inputs!$C$7)/240</x:f>
        <x:v>-18</x:v>
      </x:c>
      <x:c r="B86" s="40" t="n">
        <x:f>Inputs!$C$5+Inputs!$C$9*(A86/Inputs!$C$10)^2</x:f>
        <x:v>400.36</x:v>
      </x:c>
      <x:c r="C86" s="40" t="n">
        <x:f>B86</x:f>
        <x:v>400.36</x:v>
      </x:c>
      <x:c r="D86" s="40" t="n">
        <x:f>SQRT(A86^2+Inputs!$C$6^2+B86^2)</x:f>
        <x:v>401.54343426334344</x:v>
      </x:c>
      <x:c r="E86" s="40" t="n">
        <x:f>(D86-C86)*1000</x:f>
        <x:v>1183.434263343429</x:v>
      </x:c>
      <x:c r="F86" s="40" t="n">
        <x:f>E86/Inputs!$C$12</x:f>
        <x:v>664.8507097434994</x:v>
      </x:c>
      <x:c r="G86" s="40" t="n">
        <x:f>2*E86/Inputs!$C$21*1000000</x:f>
        <x:v>7.895023585572849</x:v>
      </x:c>
      <x:c r="H86" s="40" t="n">
        <x:f>SQRT(A86^2+Inputs!$C$6^2)</x:f>
        <x:v>30.805843601498726</x:v>
      </x:c>
      <x:c r="I86" s="40" t="n">
        <x:f>DEGREES(ATAN(H86/B86))</x:f>
        <x:v>4.3999744653546005</x:v>
      </x:c>
      <x:c r="J86" s="40" t="n">
        <x:f>DEGREES((2*PI()/Inputs!$C$13)*Inputs!$C$15*SIN(RADIANS(I86)))</x:f>
        <x:v>27.618690159596383</x:v>
      </x:c>
      <x:c r="K86" s="40" t="n">
        <x:f>(C86/D86)^4</x:f>
        <x:v>0.9882631597548657</x:v>
      </x:c>
      <x:c r="L86" s="40" t="n">
        <x:f>10*LOG10(K86)</x:f>
        <x:v>-0.0512739386243249</x:v>
      </x:c>
      <x:c r="M86" s="40" t="n">
        <x:f>2*(Inputs!$C$9/(Inputs!$C$10^2))*A86</x:f>
        <x:v>-0.04</x:v>
      </x:c>
      <x:c r="N86" s="40" t="n">
        <x:f>M86*Inputs!$C$11</x:f>
        <x:v>-0.16</x:v>
      </x:c>
      <x:c r="O86" s="40" t="n">
        <x:f>1000*((A86*Inputs!$C$11)+(B86*N86))/D86</x:f>
        <x:v>-338.83657007019974</x:v>
      </x:c>
      <x:c r="P86" s="40" t="n">
        <x:f>-2*O86/Inputs!$C$13</x:f>
        <x:v>135.5346280280799</x:v>
      </x:c>
      <x:c r="Q86" s="40" t="n">
        <x:f>-2*O86/Inputs!$C$14</x:f>
        <x:v>20.350544748960946</x:v>
      </x:c>
      <x:c r="R86" s="40" t="n">
        <x:f>F86-Inputs!$C$16/2</x:f>
        <x:v>649.8507097434994</x:v>
      </x:c>
      <x:c r="S86" s="40" t="n">
        <x:f>F86+Inputs!$C$16/2</x:f>
        <x:v>679.8507097434994</x:v>
      </x:c>
      <x:c r="T86" s="40" t="n">
        <x:f>F86-Inputs!$C$17/2</x:f>
        <x:v>514.8507097434994</x:v>
      </x:c>
      <x:c r="U86" s="40" t="n">
        <x:f>F86+Inputs!$C$17/2</x:f>
        <x:v>814.8507097434994</x:v>
      </x:c>
      <x:c r="V86" s="40" t="n">
        <x:f>ABS(P86)</x:f>
        <x:v>135.5346280280799</x:v>
      </x:c>
      <x:c r="W86" s="40" t="n">
        <x:f>ABS(Q86)</x:f>
        <x:v>20.350544748960946</x:v>
      </x:c>
      <x:c r="X86" s="40" t="n">
        <x:f>IF(Inputs!$C$27="ON",1,0)*(Inputs!$C$28*EXP(-(((A86)-Inputs!$C$29)^2)/(2*Inputs!$C$31^2))*EXP(-(((0)-Inputs!$C$30)^2)/(2*Inputs!$C$32^2))+-Inputs!$C$33*EXP(-(((((A86)-Inputs!$C$34)^2)+(((0)-Inputs!$C$35)^2))/(2*Inputs!$C$36^2)))+Inputs!$C$37*(0.55*SIN(2*PI()*(A86)/Inputs!$C$39)+0.35*COS(2*PI()*(0)/Inputs!$C$40)+0.2*SIN(2*PI()*((A86)+(0))/(0.5*(Inputs!$C$39+Inputs!$C$40))))+Inputs!$C$38*SIN(2*PI()*(A86)/Inputs!$C$39)*SIN(2*PI()*(0)/Inputs!$C$40)+-Inputs!$C$41*EXP(-(((0)-Inputs!$C$43)^2)/(2*Inputs!$C$44^2))*EXP(-(((A86)-Inputs!$C$42)^2)/(2*Inputs!$C$45^2)))</x:f>
        <x:v>-103.72180986056385</x:v>
      </x:c>
      <x:c r="Y86" s="40" t="n">
        <x:f>IF(Inputs!$C$27="ON",1,0)*(Inputs!$C$28*EXP(-(((A86)-Inputs!$C$29)^2)/(2*Inputs!$C$31^2))*EXP(-(((Inputs!$C$6)-Inputs!$C$30)^2)/(2*Inputs!$C$32^2))+-Inputs!$C$33*EXP(-(((((A86)-Inputs!$C$34)^2)+(((Inputs!$C$6)-Inputs!$C$35)^2))/(2*Inputs!$C$36^2)))+Inputs!$C$37*(0.55*SIN(2*PI()*(A86)/Inputs!$C$39)+0.35*COS(2*PI()*(Inputs!$C$6)/Inputs!$C$40)+0.2*SIN(2*PI()*((A86)+(Inputs!$C$6))/(0.5*(Inputs!$C$39+Inputs!$C$40))))+Inputs!$C$38*SIN(2*PI()*(A86)/Inputs!$C$39)*SIN(2*PI()*(Inputs!$C$6)/Inputs!$C$40)+-Inputs!$C$41*EXP(-(((Inputs!$C$6)-Inputs!$C$43)^2)/(2*Inputs!$C$44^2))*EXP(-(((A86)-Inputs!$C$42)^2)/(2*Inputs!$C$45^2)))</x:f>
        <x:v>267.7745703808592</x:v>
      </x:c>
      <x:c r="Z86" s="40" t="n">
        <x:f>B86-X86/1000</x:f>
        <x:v>400.4637218098606</x:v>
      </x:c>
      <x:c r="AA86" s="40" t="n">
        <x:f>SQRT(A86^2+Inputs!$C$6^2+(B86-Y86/1000)^2)</x:f>
        <x:v>401.27644940766857</x:v>
      </x:c>
      <x:c r="AB86" s="40" t="n">
        <x:f>(AA86-Z86)*1000</x:f>
        <x:v>812.7275978079638</x:v>
      </x:c>
      <x:c r="AC86" s="40" t="n">
        <x:f>AB86/Inputs!$C$12</x:f>
        <x:v>456.58853809436164</x:v>
      </x:c>
      <x:c r="AD86" s="40" t="n">
        <x:f>2*AB86/Inputs!$C$21*1000000</x:f>
        <x:v>5.421934916107621</x:v>
      </x:c>
      <x:c r="AE86" s="40" t="n">
        <x:f>DEGREES(ATAN(H86/(B86-Y86/1000)))</x:f>
        <x:v>4.402907713933116</x:v>
      </x:c>
      <x:c r="AF86" s="40" t="n">
        <x:f>DEGREES((2*PI()/Inputs!$C$13)*Inputs!$C$15*SIN(RADIANS(AE86)))</x:f>
        <x:v>27.6370659501943</x:v>
      </x:c>
      <x:c r="AG86" s="40" t="n">
        <x:f>(Z86/AA86)^4</x:f>
        <x:v>0.9919231558462398</x:v>
      </x:c>
      <x:c r="AH86" s="40" t="n">
        <x:f>10*LOG10(AG86)</x:f>
        <x:v>-0.0352197127788969</x:v>
      </x:c>
      <x:c r="AI86" s="40" t="n">
        <x:f>AC86-F86</x:f>
        <x:v>-208.2621716491377</x:v>
      </x:c>
      <x:c r="AJ86" s="40" t="n">
        <x:f>AD86-G86</x:f>
        <x:v>-2.473088669465228</x:v>
      </x:c>
      <x:c r="AK86" s="40" t="n">
        <x:f>Y86-X86</x:f>
        <x:v>371.496380241423</x:v>
      </x:c>
      <x:c r="AL86" s="40" t="n">
        <x:f>1000*(AA87-AA85)/(A87-A85)*Inputs!$C$11</x:f>
        <x:v>-424.5436669530136</x:v>
      </x:c>
      <x:c r="AM86" s="40" t="n">
        <x:f>-2*AL86/Inputs!$C$13</x:f>
        <x:v>169.81746678120544</x:v>
      </x:c>
      <x:c r="AN86" s="40" t="n">
        <x:f>-2*AL86/Inputs!$C$14</x:f>
        <x:v>25.498118135316133</x:v>
      </x:c>
      <x:c r="AO86" s="40" t="n">
        <x:f>ABS(AM86)</x:f>
        <x:v>169.81746678120544</x:v>
      </x:c>
      <x:c r="AP86" s="40" t="n">
        <x:f>ABS(AN86)</x:f>
        <x:v>25.498118135316133</x:v>
      </x:c>
      <x:c r="AQ86" s="40" t="n">
        <x:f>IF(Inputs!$C$27="ON",Inputs!$C$46/Inputs!$C$12,0)</x:f>
        <x:v>42.13483146067416</x:v>
      </x:c>
      <x:c r="AR86" s="40" t="n">
        <x:f>AC86-AQ86</x:f>
        <x:v>414.4537066336875</x:v>
      </x:c>
      <x:c r="AS86" s="40" t="n">
        <x:f>AC86+AQ86</x:f>
        <x:v>498.7233695550358</x:v>
      </x:c>
    </x:row>
    <x:row r="87">
      <x:c r="A87" s="40" t="n">
        <x:f>Inputs!$C$7+85*(Inputs!$C$8-Inputs!$C$7)/240</x:f>
        <x:v>-17.5</x:v>
      </x:c>
      <x:c r="B87" s="40" t="n">
        <x:f>Inputs!$C$5+Inputs!$C$9*(A87/Inputs!$C$10)^2</x:f>
        <x:v>400.34027777777777</x:v>
      </x:c>
      <x:c r="C87" s="40" t="n">
        <x:f>B87</x:f>
        <x:v>400.34027777777777</x:v>
      </x:c>
      <x:c r="D87" s="40" t="n">
        <x:f>SQRT(A87^2+Inputs!$C$6^2+B87^2)</x:f>
        <x:v>401.5016662620322</x:v>
      </x:c>
      <x:c r="E87" s="40" t="n">
        <x:f>(D87-C87)*1000</x:f>
        <x:v>1161.3884842544167</x:v>
      </x:c>
      <x:c r="F87" s="40" t="n">
        <x:f>E87/Inputs!$C$12</x:f>
        <x:v>652.4654405923689</x:v>
      </x:c>
      <x:c r="G87" s="40" t="n">
        <x:f>2*E87/Inputs!$C$21*1000000</x:f>
        <x:v>7.747949978477554</x:v>
      </x:c>
      <x:c r="H87" s="40" t="n">
        <x:f>SQRT(A87^2+Inputs!$C$6^2)</x:f>
        <x:v>30.516389039334257</x:v>
      </x:c>
      <x:c r="I87" s="40" t="n">
        <x:f>DEGREES(ATAN(H87/B87))</x:f>
        <x:v>4.359005878140658</x:v>
      </x:c>
      <x:c r="J87" s="40" t="n">
        <x:f>DEGREES((2*PI()/Inputs!$C$13)*Inputs!$C$15*SIN(RADIANS(I87)))</x:f>
        <x:v>27.3620285475742</x:v>
      </x:c>
      <x:c r="K87" s="40" t="n">
        <x:f>(C87/D87)^4</x:f>
        <x:v>0.988479659012131</x:v>
      </x:c>
      <x:c r="L87" s="40" t="n">
        <x:f>10*LOG10(K87)</x:f>
        <x:v>-0.05032263193688159</x:v>
      </x:c>
      <x:c r="M87" s="40" t="n">
        <x:f>2*(Inputs!$C$9/(Inputs!$C$10^2))*A87</x:f>
        <x:v>-0.03888888888888889</x:v>
      </x:c>
      <x:c r="N87" s="40" t="n">
        <x:f>M87*Inputs!$C$11</x:f>
        <x:v>-0.15555555555555556</x:v>
      </x:c>
      <x:c r="O87" s="40" t="n">
        <x:f>1000*((A87*Inputs!$C$11)+(B87*N87))/D87</x:f>
        <x:v>-329.4510719033004</x:v>
      </x:c>
      <x:c r="P87" s="40" t="n">
        <x:f>-2*O87/Inputs!$C$13</x:f>
        <x:v>131.78042876132014</x:v>
      </x:c>
      <x:c r="Q87" s="40" t="n">
        <x:f>-2*O87/Inputs!$C$14</x:f>
        <x:v>19.786851165363387</x:v>
      </x:c>
      <x:c r="R87" s="40" t="n">
        <x:f>F87-Inputs!$C$16/2</x:f>
        <x:v>637.4654405923689</x:v>
      </x:c>
      <x:c r="S87" s="40" t="n">
        <x:f>F87+Inputs!$C$16/2</x:f>
        <x:v>667.4654405923689</x:v>
      </x:c>
      <x:c r="T87" s="40" t="n">
        <x:f>F87-Inputs!$C$17/2</x:f>
        <x:v>502.46544059236885</x:v>
      </x:c>
      <x:c r="U87" s="40" t="n">
        <x:f>F87+Inputs!$C$17/2</x:f>
        <x:v>802.4654405923689</x:v>
      </x:c>
      <x:c r="V87" s="40" t="n">
        <x:f>ABS(P87)</x:f>
        <x:v>131.78042876132014</x:v>
      </x:c>
      <x:c r="W87" s="40" t="n">
        <x:f>ABS(Q87)</x:f>
        <x:v>19.786851165363387</x:v>
      </x:c>
      <x:c r="X87" s="40" t="n">
        <x:f>IF(Inputs!$C$27="ON",1,0)*(Inputs!$C$28*EXP(-(((A87)-Inputs!$C$29)^2)/(2*Inputs!$C$31^2))*EXP(-(((0)-Inputs!$C$30)^2)/(2*Inputs!$C$32^2))+-Inputs!$C$33*EXP(-(((((A87)-Inputs!$C$34)^2)+(((0)-Inputs!$C$35)^2))/(2*Inputs!$C$36^2)))+Inputs!$C$37*(0.55*SIN(2*PI()*(A87)/Inputs!$C$39)+0.35*COS(2*PI()*(0)/Inputs!$C$40)+0.2*SIN(2*PI()*((A87)+(0))/(0.5*(Inputs!$C$39+Inputs!$C$40))))+Inputs!$C$38*SIN(2*PI()*(A87)/Inputs!$C$39)*SIN(2*PI()*(0)/Inputs!$C$40)+-Inputs!$C$41*EXP(-(((0)-Inputs!$C$43)^2)/(2*Inputs!$C$44^2))*EXP(-(((A87)-Inputs!$C$42)^2)/(2*Inputs!$C$45^2)))</x:f>
        <x:v>-96.24653180283534</x:v>
      </x:c>
      <x:c r="Y87" s="40" t="n">
        <x:f>IF(Inputs!$C$27="ON",1,0)*(Inputs!$C$28*EXP(-(((A87)-Inputs!$C$29)^2)/(2*Inputs!$C$31^2))*EXP(-(((Inputs!$C$6)-Inputs!$C$30)^2)/(2*Inputs!$C$32^2))+-Inputs!$C$33*EXP(-(((((A87)-Inputs!$C$34)^2)+(((Inputs!$C$6)-Inputs!$C$35)^2))/(2*Inputs!$C$36^2)))+Inputs!$C$37*(0.55*SIN(2*PI()*(A87)/Inputs!$C$39)+0.35*COS(2*PI()*(Inputs!$C$6)/Inputs!$C$40)+0.2*SIN(2*PI()*((A87)+(Inputs!$C$6))/(0.5*(Inputs!$C$39+Inputs!$C$40))))+Inputs!$C$38*SIN(2*PI()*(A87)/Inputs!$C$39)*SIN(2*PI()*(Inputs!$C$6)/Inputs!$C$40)+-Inputs!$C$41*EXP(-(((Inputs!$C$6)-Inputs!$C$43)^2)/(2*Inputs!$C$44^2))*EXP(-(((A87)-Inputs!$C$42)^2)/(2*Inputs!$C$45^2)))</x:f>
        <x:v>278.45743167028553</x:v>
      </x:c>
      <x:c r="Z87" s="40" t="n">
        <x:f>B87-X87/1000</x:f>
        <x:v>400.4365243095806</x:v>
      </x:c>
      <x:c r="AA87" s="40" t="n">
        <x:f>SQRT(A87^2+Inputs!$C$6^2+(B87-Y87/1000)^2)</x:f>
        <x:v>401.2240148578362</x:v>
      </x:c>
      <x:c r="AB87" s="40" t="n">
        <x:f>(AA87-Z87)*1000</x:f>
        <x:v>787.4905482556187</x:v>
      </x:c>
      <x:c r="AC87" s="40" t="n">
        <x:f>AB87/Inputs!$C$12</x:f>
        <x:v>442.4104203683251</x:v>
      </x:c>
      <x:c r="AD87" s="40" t="n">
        <x:f>2*AB87/Inputs!$C$21*1000000</x:f>
        <x:v>5.253571444119642</x:v>
      </x:c>
      <x:c r="AE87" s="40" t="n">
        <x:f>DEGREES(ATAN(H87/(B87-Y87/1000)))</x:f>
        <x:v>4.36202819725129</x:v>
      </x:c>
      <x:c r="AF87" s="40" t="n">
        <x:f>DEGREES((2*PI()/Inputs!$C$13)*Inputs!$C$15*SIN(RADIANS(AE87)))</x:f>
        <x:v>27.38096337043263</x:v>
      </x:c>
      <x:c r="AG87" s="40" t="n">
        <x:f>(Z87/AA87)^4</x:f>
        <x:v>0.9921722019051313</x:v>
      </x:c>
      <x:c r="AH87" s="40" t="n">
        <x:f>10*LOG10(AG87)</x:f>
        <x:v>-0.0341294493572138</x:v>
      </x:c>
      <x:c r="AI87" s="40" t="n">
        <x:f>AC87-F87</x:f>
        <x:v>-210.05502022404374</x:v>
      </x:c>
      <x:c r="AJ87" s="40" t="n">
        <x:f>AD87-G87</x:f>
        <x:v>-2.494378534357912</x:v>
      </x:c>
      <x:c r="AK87" s="40" t="n">
        <x:f>Y87-X87</x:f>
        <x:v>374.7039634731209</x:v>
      </x:c>
      <x:c r="AL87" s="40" t="n">
        <x:f>1000*(AA88-AA86)/(A88-A86)*Inputs!$C$11</x:f>
        <x:v>-413.73913393499606</x:v>
      </x:c>
      <x:c r="AM87" s="40" t="n">
        <x:f>-2*AL87/Inputs!$C$13</x:f>
        <x:v>165.49565357399842</x:v>
      </x:c>
      <x:c r="AN87" s="40" t="n">
        <x:f>-2*AL87/Inputs!$C$14</x:f>
        <x:v>24.8491972333331</x:v>
      </x:c>
      <x:c r="AO87" s="40" t="n">
        <x:f>ABS(AM87)</x:f>
        <x:v>165.49565357399842</x:v>
      </x:c>
      <x:c r="AP87" s="40" t="n">
        <x:f>ABS(AN87)</x:f>
        <x:v>24.8491972333331</x:v>
      </x:c>
      <x:c r="AQ87" s="40" t="n">
        <x:f>IF(Inputs!$C$27="ON",Inputs!$C$46/Inputs!$C$12,0)</x:f>
        <x:v>42.13483146067416</x:v>
      </x:c>
      <x:c r="AR87" s="40" t="n">
        <x:f>AC87-AQ87</x:f>
        <x:v>400.27558890765096</x:v>
      </x:c>
      <x:c r="AS87" s="40" t="n">
        <x:f>AC87+AQ87</x:f>
        <x:v>484.54525182899926</x:v>
      </x:c>
    </x:row>
    <x:row r="88">
      <x:c r="A88" s="40" t="n">
        <x:f>Inputs!$C$7+86*(Inputs!$C$8-Inputs!$C$7)/240</x:f>
        <x:v>-17</x:v>
      </x:c>
      <x:c r="B88" s="40" t="n">
        <x:f>Inputs!$C$5+Inputs!$C$9*(A88/Inputs!$C$10)^2</x:f>
        <x:v>400.3211111111111</x:v>
      </x:c>
      <x:c r="C88" s="40" t="n">
        <x:f>B88</x:f>
        <x:v>400.3211111111111</x:v>
      </x:c>
      <x:c r="D88" s="40" t="n">
        <x:f>SQRT(A88^2+Inputs!$C$6^2+B88^2)</x:f>
        <x:v>401.4610715888087</x:v>
      </x:c>
      <x:c r="E88" s="40" t="n">
        <x:f>(D88-C88)*1000</x:f>
        <x:v>1139.9604776975707</x:v>
      </x:c>
      <x:c r="F88" s="40" t="n">
        <x:f>E88/Inputs!$C$12</x:f>
        <x:v>640.4272346615566</x:v>
      </x:c>
      <x:c r="G88" s="40" t="n">
        <x:f>2*E88/Inputs!$C$21*1000000</x:f>
        <x:v>7.604997706096867</x:v>
      </x:c>
      <x:c r="H88" s="40" t="n">
        <x:f>SQRT(A88^2+Inputs!$C$6^2)</x:f>
        <x:v>30.23243291566195</x:v>
      </x:c>
      <x:c r="I88" s="40" t="n">
        <x:f>DEGREES(ATAN(H88/B88))</x:f>
        <x:v>4.3188053168235525</x:v>
      </x:c>
      <x:c r="J88" s="40" t="n">
        <x:f>DEGREES((2*PI()/Inputs!$C$13)*Inputs!$C$15*SIN(RADIANS(I88)))</x:f>
        <x:v>27.110164894856272</x:v>
      </x:c>
      <x:c r="K88" s="40" t="n">
        <x:f>(C88/D88)^4</x:f>
        <x:v>0.9886901688243562</x:v>
      </x:c>
      <x:c r="L88" s="40" t="n">
        <x:f>10*LOG10(K88)</x:f>
        <x:v>-0.04939784288847281</x:v>
      </x:c>
      <x:c r="M88" s="40" t="n">
        <x:f>2*(Inputs!$C$9/(Inputs!$C$10^2))*A88</x:f>
        <x:v>-0.03777777777777778</x:v>
      </x:c>
      <x:c r="N88" s="40" t="n">
        <x:f>M88*Inputs!$C$11</x:f>
        <x:v>-0.1511111111111111</x:v>
      </x:c>
      <x:c r="O88" s="40" t="n">
        <x:f>1000*((A88*Inputs!$C$11)+(B88*N88))/D88</x:f>
        <x:v>-320.0633311536662</x:v>
      </x:c>
      <x:c r="P88" s="40" t="n">
        <x:f>-2*O88/Inputs!$C$13</x:f>
        <x:v>128.02533246146646</x:v>
      </x:c>
      <x:c r="Q88" s="40" t="n">
        <x:f>-2*O88/Inputs!$C$14</x:f>
        <x:v>19.223022892112084</x:v>
      </x:c>
      <x:c r="R88" s="40" t="n">
        <x:f>F88-Inputs!$C$16/2</x:f>
        <x:v>625.4272346615566</x:v>
      </x:c>
      <x:c r="S88" s="40" t="n">
        <x:f>F88+Inputs!$C$16/2</x:f>
        <x:v>655.4272346615566</x:v>
      </x:c>
      <x:c r="T88" s="40" t="n">
        <x:f>F88-Inputs!$C$17/2</x:f>
        <x:v>490.42723466155655</x:v>
      </x:c>
      <x:c r="U88" s="40" t="n">
        <x:f>F88+Inputs!$C$17/2</x:f>
        <x:v>790.4272346615566</x:v>
      </x:c>
      <x:c r="V88" s="40" t="n">
        <x:f>ABS(P88)</x:f>
        <x:v>128.02533246146646</x:v>
      </x:c>
      <x:c r="W88" s="40" t="n">
        <x:f>ABS(Q88)</x:f>
        <x:v>19.223022892112084</x:v>
      </x:c>
      <x:c r="X88" s="40" t="n">
        <x:f>IF(Inputs!$C$27="ON",1,0)*(Inputs!$C$28*EXP(-(((A88)-Inputs!$C$29)^2)/(2*Inputs!$C$31^2))*EXP(-(((0)-Inputs!$C$30)^2)/(2*Inputs!$C$32^2))+-Inputs!$C$33*EXP(-(((((A88)-Inputs!$C$34)^2)+(((0)-Inputs!$C$35)^2))/(2*Inputs!$C$36^2)))+Inputs!$C$37*(0.55*SIN(2*PI()*(A88)/Inputs!$C$39)+0.35*COS(2*PI()*(0)/Inputs!$C$40)+0.2*SIN(2*PI()*((A88)+(0))/(0.5*(Inputs!$C$39+Inputs!$C$40))))+Inputs!$C$38*SIN(2*PI()*(A88)/Inputs!$C$39)*SIN(2*PI()*(0)/Inputs!$C$40)+-Inputs!$C$41*EXP(-(((0)-Inputs!$C$43)^2)/(2*Inputs!$C$44^2))*EXP(-(((A88)-Inputs!$C$42)^2)/(2*Inputs!$C$45^2)))</x:f>
        <x:v>-88.04393248177936</x:v>
      </x:c>
      <x:c r="Y88" s="40" t="n">
        <x:f>IF(Inputs!$C$27="ON",1,0)*(Inputs!$C$28*EXP(-(((A88)-Inputs!$C$29)^2)/(2*Inputs!$C$31^2))*EXP(-(((Inputs!$C$6)-Inputs!$C$30)^2)/(2*Inputs!$C$32^2))+-Inputs!$C$33*EXP(-(((((A88)-Inputs!$C$34)^2)+(((Inputs!$C$6)-Inputs!$C$35)^2))/(2*Inputs!$C$36^2)))+Inputs!$C$37*(0.55*SIN(2*PI()*(A88)/Inputs!$C$39)+0.35*COS(2*PI()*(Inputs!$C$6)/Inputs!$C$40)+0.2*SIN(2*PI()*((A88)+(Inputs!$C$6))/(0.5*(Inputs!$C$39+Inputs!$C$40))))+Inputs!$C$38*SIN(2*PI()*(A88)/Inputs!$C$39)*SIN(2*PI()*(Inputs!$C$6)/Inputs!$C$40)+-Inputs!$C$41*EXP(-(((Inputs!$C$6)-Inputs!$C$43)^2)/(2*Inputs!$C$44^2))*EXP(-(((A88)-Inputs!$C$42)^2)/(2*Inputs!$C$45^2)))</x:f>
        <x:v>288.8778315210269</x:v>
      </x:c>
      <x:c r="Z88" s="40" t="n">
        <x:f>B88-X88/1000</x:f>
        <x:v>400.4091550435929</x:v>
      </x:c>
      <x:c r="AA88" s="40" t="n">
        <x:f>SQRT(A88^2+Inputs!$C$6^2+(B88-Y88/1000)^2)</x:f>
        <x:v>401.1730146241848</x:v>
      </x:c>
      <x:c r="AB88" s="40" t="n">
        <x:f>(AA88-Z88)*1000</x:f>
        <x:v>763.8595805919408</x:v>
      </x:c>
      <x:c r="AC88" s="40" t="n">
        <x:f>AB88/Inputs!$C$12</x:f>
        <x:v>429.134595838169</x:v>
      </x:c>
      <x:c r="AD88" s="40" t="n">
        <x:f>2*AB88/Inputs!$C$21*1000000</x:f>
        <x:v>5.095922597171812</x:v>
      </x:c>
      <x:c r="AE88" s="40" t="n">
        <x:f>DEGREES(ATAN(H88/(B88-Y88/1000)))</x:f>
        <x:v>4.32191227061617</x:v>
      </x:c>
      <x:c r="AF88" s="40" t="n">
        <x:f>DEGREES((2*PI()/Inputs!$C$13)*Inputs!$C$15*SIN(RADIANS(AE88)))</x:f>
        <x:v>27.12963098934765</x:v>
      </x:c>
      <x:c r="AG88" s="40" t="n">
        <x:f>(Z88/AA88)^4</x:f>
        <x:v>0.9924054643440756</x:v>
      </x:c>
      <x:c r="AH88" s="40" t="n">
        <x:f>10*LOG10(AG88)</x:f>
        <x:v>-0.033108530979887</x:v>
      </x:c>
      <x:c r="AI88" s="40" t="n">
        <x:f>AC88-F88</x:f>
        <x:v>-211.29263882338756</x:v>
      </x:c>
      <x:c r="AJ88" s="40" t="n">
        <x:f>AD88-G88</x:f>
        <x:v>-2.509075108925055</x:v>
      </x:c>
      <x:c r="AK88" s="40" t="n">
        <x:f>Y88-X88</x:f>
        <x:v>376.9217640028063</x:v>
      </x:c>
      <x:c r="AL88" s="40" t="n">
        <x:f>1000*(AA89-AA87)/(A89-A87)*Inputs!$C$11</x:f>
        <x:v>-401.6251824180017</x:v>
      </x:c>
      <x:c r="AM88" s="40" t="n">
        <x:f>-2*AL88/Inputs!$C$13</x:f>
        <x:v>160.65007296720069</x:v>
      </x:c>
      <x:c r="AN88" s="40" t="n">
        <x:f>-2*AL88/Inputs!$C$14</x:f>
        <x:v>24.121632577657763</x:v>
      </x:c>
      <x:c r="AO88" s="40" t="n">
        <x:f>ABS(AM88)</x:f>
        <x:v>160.65007296720069</x:v>
      </x:c>
      <x:c r="AP88" s="40" t="n">
        <x:f>ABS(AN88)</x:f>
        <x:v>24.121632577657763</x:v>
      </x:c>
      <x:c r="AQ88" s="40" t="n">
        <x:f>IF(Inputs!$C$27="ON",Inputs!$C$46/Inputs!$C$12,0)</x:f>
        <x:v>42.13483146067416</x:v>
      </x:c>
      <x:c r="AR88" s="40" t="n">
        <x:f>AC88-AQ88</x:f>
        <x:v>386.99976437749484</x:v>
      </x:c>
      <x:c r="AS88" s="40" t="n">
        <x:f>AC88+AQ88</x:f>
        <x:v>471.26942729884314</x:v>
      </x:c>
    </x:row>
    <x:row r="89">
      <x:c r="A89" s="40" t="n">
        <x:f>Inputs!$C$7+87*(Inputs!$C$8-Inputs!$C$7)/240</x:f>
        <x:v>-16.5</x:v>
      </x:c>
      <x:c r="B89" s="40" t="n">
        <x:f>Inputs!$C$5+Inputs!$C$9*(A89/Inputs!$C$10)^2</x:f>
        <x:v>400.3025</x:v>
      </x:c>
      <x:c r="C89" s="40" t="n">
        <x:f>B89</x:f>
        <x:v>400.3025</x:v>
      </x:c>
      <x:c r="D89" s="40" t="n">
        <x:f>SQRT(A89^2+Inputs!$C$6^2+B89^2)</x:f>
        <x:v>401.421650520061</x:v>
      </x:c>
      <x:c r="E89" s="40" t="n">
        <x:f>(D89-C89)*1000</x:f>
        <x:v>1119.1505200609981</x:v>
      </x:c>
      <x:c r="F89" s="40" t="n">
        <x:f>E89/Inputs!$C$12</x:f>
        <x:v>628.7362472252798</x:v>
      </x:c>
      <x:c r="G89" s="40" t="n">
        <x:f>2*E89/Inputs!$C$21*1000000</x:f>
        <x:v>7.466168612293763</x:v>
      </x:c>
      <x:c r="H89" s="40" t="n">
        <x:f>SQRT(A89^2+Inputs!$C$6^2)</x:f>
        <x:v>29.95413160150032</x:v>
      </x:c>
      <x:c r="I89" s="40" t="n">
        <x:f>DEGREES(ATAN(H89/B89))</x:f>
        <x:v>4.2793956023743185</x:v>
      </x:c>
      <x:c r="J89" s="40" t="n">
        <x:f>DEGREES((2*PI()/Inputs!$C$13)*Inputs!$C$15*SIN(RADIANS(I89)))</x:f>
        <x:v>26.863243082603024</x:v>
      </x:c>
      <x:c r="K89" s="40" t="n">
        <x:f>(C89/D89)^4</x:f>
        <x:v>0.988894679910662</x:v>
      </x:c>
      <x:c r="L89" s="40" t="n">
        <x:f>10*LOG10(K89)</x:f>
        <x:v>-0.0484995953453235</x:v>
      </x:c>
      <x:c r="M89" s="40" t="n">
        <x:f>2*(Inputs!$C$9/(Inputs!$C$10^2))*A89</x:f>
        <x:v>-0.03666666666666667</x:v>
      </x:c>
      <x:c r="N89" s="40" t="n">
        <x:f>M89*Inputs!$C$11</x:f>
        <x:v>-0.14666666666666667</x:v>
      </x:c>
      <x:c r="O89" s="40" t="n">
        <x:f>1000*((A89*Inputs!$C$11)+(B89*N89))/D89</x:f>
        <x:v>-310.6734107932749</x:v>
      </x:c>
      <x:c r="P89" s="40" t="n">
        <x:f>-2*O89/Inputs!$C$13</x:f>
        <x:v>124.26936431730996</x:v>
      </x:c>
      <x:c r="Q89" s="40" t="n">
        <x:f>-2*O89/Inputs!$C$14</x:f>
        <x:v>18.659063711307805</x:v>
      </x:c>
      <x:c r="R89" s="40" t="n">
        <x:f>F89-Inputs!$C$16/2</x:f>
        <x:v>613.7362472252798</x:v>
      </x:c>
      <x:c r="S89" s="40" t="n">
        <x:f>F89+Inputs!$C$16/2</x:f>
        <x:v>643.7362472252798</x:v>
      </x:c>
      <x:c r="T89" s="40" t="n">
        <x:f>F89-Inputs!$C$17/2</x:f>
        <x:v>478.73624722527984</x:v>
      </x:c>
      <x:c r="U89" s="40" t="n">
        <x:f>F89+Inputs!$C$17/2</x:f>
        <x:v>778.7362472252798</x:v>
      </x:c>
      <x:c r="V89" s="40" t="n">
        <x:f>ABS(P89)</x:f>
        <x:v>124.26936431730996</x:v>
      </x:c>
      <x:c r="W89" s="40" t="n">
        <x:f>ABS(Q89)</x:f>
        <x:v>18.659063711307805</x:v>
      </x:c>
      <x:c r="X89" s="40" t="n">
        <x:f>IF(Inputs!$C$27="ON",1,0)*(Inputs!$C$28*EXP(-(((A89)-Inputs!$C$29)^2)/(2*Inputs!$C$31^2))*EXP(-(((0)-Inputs!$C$30)^2)/(2*Inputs!$C$32^2))+-Inputs!$C$33*EXP(-(((((A89)-Inputs!$C$34)^2)+(((0)-Inputs!$C$35)^2))/(2*Inputs!$C$36^2)))+Inputs!$C$37*(0.55*SIN(2*PI()*(A89)/Inputs!$C$39)+0.35*COS(2*PI()*(0)/Inputs!$C$40)+0.2*SIN(2*PI()*((A89)+(0))/(0.5*(Inputs!$C$39+Inputs!$C$40))))+Inputs!$C$38*SIN(2*PI()*(A89)/Inputs!$C$39)*SIN(2*PI()*(0)/Inputs!$C$40)+-Inputs!$C$41*EXP(-(((0)-Inputs!$C$43)^2)/(2*Inputs!$C$44^2))*EXP(-(((A89)-Inputs!$C$42)^2)/(2*Inputs!$C$45^2)))</x:f>
        <x:v>-79.37412385456129</x:v>
      </x:c>
      <x:c r="Y89" s="40" t="n">
        <x:f>IF(Inputs!$C$27="ON",1,0)*(Inputs!$C$28*EXP(-(((A89)-Inputs!$C$29)^2)/(2*Inputs!$C$31^2))*EXP(-(((Inputs!$C$6)-Inputs!$C$30)^2)/(2*Inputs!$C$32^2))+-Inputs!$C$33*EXP(-(((((A89)-Inputs!$C$34)^2)+(((Inputs!$C$6)-Inputs!$C$35)^2))/(2*Inputs!$C$36^2)))+Inputs!$C$37*(0.55*SIN(2*PI()*(A89)/Inputs!$C$39)+0.35*COS(2*PI()*(Inputs!$C$6)/Inputs!$C$40)+0.2*SIN(2*PI()*((A89)+(Inputs!$C$6))/(0.5*(Inputs!$C$39+Inputs!$C$40))))+Inputs!$C$38*SIN(2*PI()*(A89)/Inputs!$C$39)*SIN(2*PI()*(Inputs!$C$6)/Inputs!$C$40)+-Inputs!$C$41*EXP(-(((Inputs!$C$6)-Inputs!$C$43)^2)/(2*Inputs!$C$44^2))*EXP(-(((A89)-Inputs!$C$42)^2)/(2*Inputs!$C$45^2)))</x:f>
        <x:v>298.8758339351423</x:v>
      </x:c>
      <x:c r="Z89" s="40" t="n">
        <x:f>B89-X89/1000</x:f>
        <x:v>400.3818741238546</x:v>
      </x:c>
      <x:c r="AA89" s="40" t="n">
        <x:f>SQRT(A89^2+Inputs!$C$6^2+(B89-Y89/1000)^2)</x:f>
        <x:v>401.1236085622317</x:v>
      </x:c>
      <x:c r="AB89" s="40" t="n">
        <x:f>(AA89-Z89)*1000</x:f>
        <x:v>741.7344383771365</x:v>
      </x:c>
      <x:c r="AC89" s="40" t="n">
        <x:f>AB89/Inputs!$C$12</x:f>
        <x:v>416.7047406613126</x:v>
      </x:c>
      <x:c r="AD89" s="40" t="n">
        <x:f>2*AB89/Inputs!$C$21*1000000</x:f>
        <x:v>4.948319536291581</x:v>
      </x:c>
      <x:c r="AE89" s="40" t="n">
        <x:f>DEGREES(ATAN(H89/(B89-Y89/1000)))</x:f>
        <x:v>4.282581201702959</x:v>
      </x:c>
      <x:c r="AF89" s="40" t="n">
        <x:f>DEGREES((2*PI()/Inputs!$C$13)*Inputs!$C$15*SIN(RADIANS(AE89)))</x:f>
        <x:v>26.883202948816532</x:v>
      </x:c>
      <x:c r="AG89" s="40" t="n">
        <x:f>(Z89/AA89)^4</x:f>
        <x:v>0.9926239234051896</x:v>
      </x:c>
      <x:c r="AH89" s="40" t="n">
        <x:f>10*LOG10(AG89)</x:f>
        <x:v>-0.0321526200424256</x:v>
      </x:c>
      <x:c r="AI89" s="40" t="n">
        <x:f>AC89-F89</x:f>
        <x:v>-212.03150656396724</x:v>
      </x:c>
      <x:c r="AJ89" s="40" t="n">
        <x:f>AD89-G89</x:f>
        <x:v>-2.5178490760021823</x:v>
      </x:c>
      <x:c r="AK89" s="40" t="n">
        <x:f>Y89-X89</x:f>
        <x:v>378.24995778970356</x:v>
      </x:c>
      <x:c r="AL89" s="40" t="n">
        <x:f>1000*(AA90-AA88)/(A90-A88)*Inputs!$C$11</x:f>
        <x:v>-388.275533275646</x:v>
      </x:c>
      <x:c r="AM89" s="40" t="n">
        <x:f>-2*AL89/Inputs!$C$13</x:f>
        <x:v>155.3102133102584</x:v>
      </x:c>
      <x:c r="AN89" s="40" t="n">
        <x:f>-2*AL89/Inputs!$C$14</x:f>
        <x:v>23.31985184838715</x:v>
      </x:c>
      <x:c r="AO89" s="40" t="n">
        <x:f>ABS(AM89)</x:f>
        <x:v>155.3102133102584</x:v>
      </x:c>
      <x:c r="AP89" s="40" t="n">
        <x:f>ABS(AN89)</x:f>
        <x:v>23.31985184838715</x:v>
      </x:c>
      <x:c r="AQ89" s="40" t="n">
        <x:f>IF(Inputs!$C$27="ON",Inputs!$C$46/Inputs!$C$12,0)</x:f>
        <x:v>42.13483146067416</x:v>
      </x:c>
      <x:c r="AR89" s="40" t="n">
        <x:f>AC89-AQ89</x:f>
        <x:v>374.56990920063845</x:v>
      </x:c>
      <x:c r="AS89" s="40" t="n">
        <x:f>AC89+AQ89</x:f>
        <x:v>458.83957212198675</x:v>
      </x:c>
    </x:row>
    <x:row r="90">
      <x:c r="A90" s="40" t="n">
        <x:f>Inputs!$C$7+88*(Inputs!$C$8-Inputs!$C$7)/240</x:f>
        <x:v>-16</x:v>
      </x:c>
      <x:c r="B90" s="40" t="n">
        <x:f>Inputs!$C$5+Inputs!$C$9*(A90/Inputs!$C$10)^2</x:f>
        <x:v>400.28444444444443</x:v>
      </x:c>
      <x:c r="C90" s="40" t="n">
        <x:f>B90</x:f>
        <x:v>400.28444444444443</x:v>
      </x:c>
      <x:c r="D90" s="40" t="n">
        <x:f>SQRT(A90^2+Inputs!$C$6^2+B90^2)</x:f>
        <x:v>401.38340332429976</x:v>
      </x:c>
      <x:c r="E90" s="40" t="n">
        <x:f>(D90-C90)*1000</x:f>
        <x:v>1098.9588798553314</x:v>
      </x:c>
      <x:c r="F90" s="40" t="n">
        <x:f>E90/Inputs!$C$12</x:f>
        <x:v>617.3926291322086</x:v>
      </x:c>
      <x:c r="G90" s="40" t="n">
        <x:f>2*E90/Inputs!$C$21*1000000</x:f>
        <x:v>7.331464488378367</x:v>
      </x:c>
      <x:c r="H90" s="40" t="n">
        <x:f>SQRT(A90^2+Inputs!$C$6^2)</x:f>
        <x:v>29.68164415931166</x:v>
      </x:c>
      <x:c r="I90" s="40" t="n">
        <x:f>DEGREES(ATAN(H90/B90))</x:f>
        <x:v>4.240799936495226</x:v>
      </x:c>
      <x:c r="J90" s="40" t="n">
        <x:f>DEGREES((2*PI()/Inputs!$C$13)*Inputs!$C$15*SIN(RADIANS(I90)))</x:f>
        <x:v>26.621409377803502</x:v>
      </x:c>
      <x:c r="K90" s="40" t="n">
        <x:f>(C90/D90)^4</x:f>
        <x:v>0.9890931832486968</x:v>
      </x:c>
      <x:c r="L90" s="40" t="n">
        <x:f>10*LOG10(K90)</x:f>
        <x:v>-0.0476279124978911</x:v>
      </x:c>
      <x:c r="M90" s="40" t="n">
        <x:f>2*(Inputs!$C$9/(Inputs!$C$10^2))*A90</x:f>
        <x:v>-0.035555555555555556</x:v>
      </x:c>
      <x:c r="N90" s="40" t="n">
        <x:f>M90*Inputs!$C$11</x:f>
        <x:v>-0.14222222222222222</x:v>
      </x:c>
      <x:c r="O90" s="40" t="n">
        <x:f>1000*((A90*Inputs!$C$11)+(B90*N90))/D90</x:f>
        <x:v>-301.28137388922147</x:v>
      </x:c>
      <x:c r="P90" s="40" t="n">
        <x:f>-2*O90/Inputs!$C$13</x:f>
        <x:v>120.5125495556886</x:v>
      </x:c>
      <x:c r="Q90" s="40" t="n">
        <x:f>-2*O90/Inputs!$C$14</x:f>
        <x:v>18.094977410764052</x:v>
      </x:c>
      <x:c r="R90" s="40" t="n">
        <x:f>F90-Inputs!$C$16/2</x:f>
        <x:v>602.3926291322086</x:v>
      </x:c>
      <x:c r="S90" s="40" t="n">
        <x:f>F90+Inputs!$C$16/2</x:f>
        <x:v>632.3926291322086</x:v>
      </x:c>
      <x:c r="T90" s="40" t="n">
        <x:f>F90-Inputs!$C$17/2</x:f>
        <x:v>467.39262913220864</x:v>
      </x:c>
      <x:c r="U90" s="40" t="n">
        <x:f>F90+Inputs!$C$17/2</x:f>
        <x:v>767.3926291322086</x:v>
      </x:c>
      <x:c r="V90" s="40" t="n">
        <x:f>ABS(P90)</x:f>
        <x:v>120.5125495556886</x:v>
      </x:c>
      <x:c r="W90" s="40" t="n">
        <x:f>ABS(Q90)</x:f>
        <x:v>18.094977410764052</x:v>
      </x:c>
      <x:c r="X90" s="40" t="n">
        <x:f>IF(Inputs!$C$27="ON",1,0)*(Inputs!$C$28*EXP(-(((A90)-Inputs!$C$29)^2)/(2*Inputs!$C$31^2))*EXP(-(((0)-Inputs!$C$30)^2)/(2*Inputs!$C$32^2))+-Inputs!$C$33*EXP(-(((((A90)-Inputs!$C$34)^2)+(((0)-Inputs!$C$35)^2))/(2*Inputs!$C$36^2)))+Inputs!$C$37*(0.55*SIN(2*PI()*(A90)/Inputs!$C$39)+0.35*COS(2*PI()*(0)/Inputs!$C$40)+0.2*SIN(2*PI()*((A90)+(0))/(0.5*(Inputs!$C$39+Inputs!$C$40))))+Inputs!$C$38*SIN(2*PI()*(A90)/Inputs!$C$39)*SIN(2*PI()*(0)/Inputs!$C$40)+-Inputs!$C$41*EXP(-(((0)-Inputs!$C$43)^2)/(2*Inputs!$C$44^2))*EXP(-(((A90)-Inputs!$C$42)^2)/(2*Inputs!$C$45^2)))</x:f>
        <x:v>-70.50917166525848</x:v>
      </x:c>
      <x:c r="Y90" s="40" t="n">
        <x:f>IF(Inputs!$C$27="ON",1,0)*(Inputs!$C$28*EXP(-(((A90)-Inputs!$C$29)^2)/(2*Inputs!$C$31^2))*EXP(-(((Inputs!$C$6)-Inputs!$C$30)^2)/(2*Inputs!$C$32^2))+-Inputs!$C$33*EXP(-(((((A90)-Inputs!$C$34)^2)+(((Inputs!$C$6)-Inputs!$C$35)^2))/(2*Inputs!$C$36^2)))+Inputs!$C$37*(0.55*SIN(2*PI()*(A90)/Inputs!$C$39)+0.35*COS(2*PI()*(Inputs!$C$6)/Inputs!$C$40)+0.2*SIN(2*PI()*((A90)+(Inputs!$C$6))/(0.5*(Inputs!$C$39+Inputs!$C$40))))+Inputs!$C$38*SIN(2*PI()*(A90)/Inputs!$C$39)*SIN(2*PI()*(Inputs!$C$6)/Inputs!$C$40)+-Inputs!$C$41*EXP(-(((Inputs!$C$6)-Inputs!$C$43)^2)/(2*Inputs!$C$44^2))*EXP(-(((A90)-Inputs!$C$42)^2)/(2*Inputs!$C$45^2)))</x:f>
        <x:v>308.3023410310089</x:v>
      </x:c>
      <x:c r="Z90" s="40" t="n">
        <x:f>B90-X90/1000</x:f>
        <x:v>400.3549536161097</x:v>
      </x:c>
      <x:c r="AA90" s="40" t="n">
        <x:f>SQRT(A90^2+Inputs!$C$6^2+(B90-Y90/1000)^2)</x:f>
        <x:v>401.0759457408659</x:v>
      </x:c>
      <x:c r="AB90" s="40" t="n">
        <x:f>(AA90-Z90)*1000</x:f>
        <x:v>720.9921247562079</x:v>
      </x:c>
      <x:c r="AC90" s="40" t="n">
        <x:f>AB90/Inputs!$C$12</x:f>
        <x:v>405.0517554810157</x:v>
      </x:c>
      <x:c r="AD90" s="40" t="n">
        <x:f>2*AB90/Inputs!$C$21*1000000</x:f>
        <x:v>4.809941714785953</x:v>
      </x:c>
      <x:c r="AE90" s="40" t="n">
        <x:f>DEGREES(ATAN(H90/(B90-Y90/1000)))</x:f>
        <x:v>4.244056813681571</x:v>
      </x:c>
      <x:c r="AF90" s="40" t="n">
        <x:f>DEGREES((2*PI()/Inputs!$C$13)*Inputs!$C$15*SIN(RADIANS(AE90)))</x:f>
        <x:v>26.641816869905234</x:v>
      </x:c>
      <x:c r="AG90" s="40" t="n">
        <x:f>(Z90/AA90)^4</x:f>
        <x:v>0.9928287863728923</x:v>
      </x:c>
      <x:c r="AH90" s="40" t="n">
        <x:f>10*LOG10(AG90)</x:f>
        <x:v>-0.0312563926349715</x:v>
      </x:c>
      <x:c r="AI90" s="40" t="n">
        <x:f>AC90-F90</x:f>
        <x:v>-212.34087365119296</x:v>
      </x:c>
      <x:c r="AJ90" s="40" t="n">
        <x:f>AD90-G90</x:f>
        <x:v>-2.5215227735924133</x:v>
      </x:c>
      <x:c r="AK90" s="40" t="n">
        <x:f>Y90-X90</x:f>
        <x:v>378.81151269626736</x:v>
      </x:c>
      <x:c r="AL90" s="40" t="n">
        <x:f>1000*(AA91-AA89)/(A91-A89)*Inputs!$C$11</x:f>
        <x:v>-373.787980158113</x:v>
      </x:c>
      <x:c r="AM90" s="40" t="n">
        <x:f>-2*AL90/Inputs!$C$13</x:f>
        <x:v>149.5151920632452</x:v>
      </x:c>
      <x:c r="AN90" s="40" t="n">
        <x:f>-2*AL90/Inputs!$C$14</x:f>
        <x:v>22.449728538024807</x:v>
      </x:c>
      <x:c r="AO90" s="40" t="n">
        <x:f>ABS(AM90)</x:f>
        <x:v>149.5151920632452</x:v>
      </x:c>
      <x:c r="AP90" s="40" t="n">
        <x:f>ABS(AN90)</x:f>
        <x:v>22.449728538024807</x:v>
      </x:c>
      <x:c r="AQ90" s="40" t="n">
        <x:f>IF(Inputs!$C$27="ON",Inputs!$C$46/Inputs!$C$12,0)</x:f>
        <x:v>42.13483146067416</x:v>
      </x:c>
      <x:c r="AR90" s="40" t="n">
        <x:f>AC90-AQ90</x:f>
        <x:v>362.9169240203415</x:v>
      </x:c>
      <x:c r="AS90" s="40" t="n">
        <x:f>AC90+AQ90</x:f>
        <x:v>447.1865869416898</x:v>
      </x:c>
    </x:row>
    <x:row r="91">
      <x:c r="A91" s="40" t="n">
        <x:f>Inputs!$C$7+89*(Inputs!$C$8-Inputs!$C$7)/240</x:f>
        <x:v>-15.5</x:v>
      </x:c>
      <x:c r="B91" s="40" t="n">
        <x:f>Inputs!$C$5+Inputs!$C$9*(A91/Inputs!$C$10)^2</x:f>
        <x:v>400.26694444444445</x:v>
      </x:c>
      <x:c r="C91" s="40" t="n">
        <x:f>B91</x:f>
        <x:v>400.26694444444445</x:v>
      </x:c>
      <x:c r="D91" s="40" t="n">
        <x:f>SQRT(A91^2+Inputs!$C$6^2+B91^2)</x:f>
        <x:v>401.3463302621465</x:v>
      </x:c>
      <x:c r="E91" s="40" t="n">
        <x:f>(D91-C91)*1000</x:f>
        <x:v>1079.3858177020752</x:v>
      </x:c>
      <x:c r="F91" s="40" t="n">
        <x:f>E91/Inputs!$C$12</x:f>
        <x:v>606.3965267989187</x:v>
      </x:c>
      <x:c r="G91" s="40" t="n">
        <x:f>2*E91/Inputs!$C$21*1000000</x:f>
        <x:v>7.200887073030204</x:v>
      </x:c>
      <x:c r="H91" s="40" t="n">
        <x:f>SQRT(A91^2+Inputs!$C$6^2)</x:f>
        <x:v>29.415132160165456</x:v>
      </x:c>
      <x:c r="I91" s="40" t="n">
        <x:f>DEGREES(ATAN(H91/B91))</x:f>
        <x:v>4.203041875082947</x:v>
      </x:c>
      <x:c r="J91" s="40" t="n">
        <x:f>DEGREES((2*PI()/Inputs!$C$13)*Inputs!$C$15*SIN(RADIANS(I91)))</x:f>
        <x:v>26.38481226611161</x:v>
      </x:c>
      <x:c r="K91" s="40" t="n">
        <x:f>(C91/D91)^4</x:f>
        <x:v>0.9892856700755499</x:v>
      </x:c>
      <x:c r="L91" s="40" t="n">
        <x:f>10*LOG10(K91)</x:f>
        <x:v>-0.0467828168594627</x:v>
      </x:c>
      <x:c r="M91" s="40" t="n">
        <x:f>2*(Inputs!$C$9/(Inputs!$C$10^2))*A91</x:f>
        <x:v>-0.034444444444444444</x:v>
      </x:c>
      <x:c r="N91" s="40" t="n">
        <x:f>M91*Inputs!$C$11</x:f>
        <x:v>-0.13777777777777778</x:v>
      </x:c>
      <x:c r="O91" s="40" t="n">
        <x:f>1000*((A91*Inputs!$C$11)+(B91*N91))/D91</x:f>
        <x:v>-291.8872836010225</x:v>
      </x:c>
      <x:c r="P91" s="40" t="n">
        <x:f>-2*O91/Inputs!$C$13</x:f>
        <x:v>116.754913440409</x:v>
      </x:c>
      <x:c r="Q91" s="40" t="n">
        <x:f>-2*O91/Inputs!$C$14</x:f>
        <x:v>17.530767783845196</x:v>
      </x:c>
      <x:c r="R91" s="40" t="n">
        <x:f>F91-Inputs!$C$16/2</x:f>
        <x:v>591.3965267989187</x:v>
      </x:c>
      <x:c r="S91" s="40" t="n">
        <x:f>F91+Inputs!$C$16/2</x:f>
        <x:v>621.3965267989187</x:v>
      </x:c>
      <x:c r="T91" s="40" t="n">
        <x:f>F91-Inputs!$C$17/2</x:f>
        <x:v>456.39652679891867</x:v>
      </x:c>
      <x:c r="U91" s="40" t="n">
        <x:f>F91+Inputs!$C$17/2</x:f>
        <x:v>756.3965267989187</x:v>
      </x:c>
      <x:c r="V91" s="40" t="n">
        <x:f>ABS(P91)</x:f>
        <x:v>116.754913440409</x:v>
      </x:c>
      <x:c r="W91" s="40" t="n">
        <x:f>ABS(Q91)</x:f>
        <x:v>17.530767783845196</x:v>
      </x:c>
      <x:c r="X91" s="40" t="n">
        <x:f>IF(Inputs!$C$27="ON",1,0)*(Inputs!$C$28*EXP(-(((A91)-Inputs!$C$29)^2)/(2*Inputs!$C$31^2))*EXP(-(((0)-Inputs!$C$30)^2)/(2*Inputs!$C$32^2))+-Inputs!$C$33*EXP(-(((((A91)-Inputs!$C$34)^2)+(((0)-Inputs!$C$35)^2))/(2*Inputs!$C$36^2)))+Inputs!$C$37*(0.55*SIN(2*PI()*(A91)/Inputs!$C$39)+0.35*COS(2*PI()*(0)/Inputs!$C$40)+0.2*SIN(2*PI()*((A91)+(0))/(0.5*(Inputs!$C$39+Inputs!$C$40))))+Inputs!$C$38*SIN(2*PI()*(A91)/Inputs!$C$39)*SIN(2*PI()*(0)/Inputs!$C$40)+-Inputs!$C$41*EXP(-(((0)-Inputs!$C$43)^2)/(2*Inputs!$C$44^2))*EXP(-(((A91)-Inputs!$C$42)^2)/(2*Inputs!$C$45^2)))</x:f>
        <x:v>-61.72378771497137</x:v>
      </x:c>
      <x:c r="Y91" s="40" t="n">
        <x:f>IF(Inputs!$C$27="ON",1,0)*(Inputs!$C$28*EXP(-(((A91)-Inputs!$C$29)^2)/(2*Inputs!$C$31^2))*EXP(-(((Inputs!$C$6)-Inputs!$C$30)^2)/(2*Inputs!$C$32^2))+-Inputs!$C$33*EXP(-(((((A91)-Inputs!$C$34)^2)+(((Inputs!$C$6)-Inputs!$C$35)^2))/(2*Inputs!$C$36^2)))+Inputs!$C$37*(0.55*SIN(2*PI()*(A91)/Inputs!$C$39)+0.35*COS(2*PI()*(Inputs!$C$6)/Inputs!$C$40)+0.2*SIN(2*PI()*((A91)+(Inputs!$C$6))/(0.5*(Inputs!$C$39+Inputs!$C$40))))+Inputs!$C$38*SIN(2*PI()*(A91)/Inputs!$C$39)*SIN(2*PI()*(Inputs!$C$6)/Inputs!$C$40)+-Inputs!$C$41*EXP(-(((Inputs!$C$6)-Inputs!$C$43)^2)/(2*Inputs!$C$44^2))*EXP(-(((A91)-Inputs!$C$42)^2)/(2*Inputs!$C$45^2)))</x:f>
        <x:v>317.0219708824435</x:v>
      </x:c>
      <x:c r="Z91" s="40" t="n">
        <x:f>B91-X91/1000</x:f>
        <x:v>400.32866823215943</x:v>
      </x:c>
      <x:c r="AA91" s="40" t="n">
        <x:f>SQRT(A91^2+Inputs!$C$6^2+(B91-Y91/1000)^2)</x:f>
        <x:v>401.0301615671922</x:v>
      </x:c>
      <x:c r="AB91" s="40" t="n">
        <x:f>(AA91-Z91)*1000</x:f>
        <x:v>701.493335032751</x:v>
      </x:c>
      <x:c r="AC91" s="40" t="n">
        <x:f>AB91/Inputs!$C$12</x:f>
        <x:v>394.0973792318826</x:v>
      </x:c>
      <x:c r="AD91" s="40" t="n">
        <x:f>2*AB91/Inputs!$C$21*1000000</x:f>
        <x:v>4.679859791754675</x:v>
      </x:c>
      <x:c r="AE91" s="40" t="n">
        <x:f>DEGREES(ATAN(H91/(B91-Y91/1000)))</x:f>
        <x:v>4.206361480500413</x:v>
      </x:c>
      <x:c r="AF91" s="40" t="n">
        <x:f>DEGREES((2*PI()/Inputs!$C$13)*Inputs!$C$15*SIN(RADIANS(AE91)))</x:f>
        <x:v>26.405613822852857</x:v>
      </x:c>
      <x:c r="AG91" s="40" t="n">
        <x:f>(Z91/AA91)^4</x:f>
        <x:v>0.9930214239275496</x:v>
      </x:c>
      <x:c r="AH91" s="40" t="n">
        <x:f>10*LOG10(AG91)</x:f>
        <x:v>-0.0304138172300043</x:v>
      </x:c>
      <x:c r="AI91" s="40" t="n">
        <x:f>AC91-F91</x:f>
        <x:v>-212.29914756703607</x:v>
      </x:c>
      <x:c r="AJ91" s="40" t="n">
        <x:f>AD91-G91</x:f>
        <x:v>-2.521027281275529</x:v>
      </x:c>
      <x:c r="AK91" s="40" t="n">
        <x:f>Y91-X91</x:f>
        <x:v>378.74575859741486</x:v>
      </x:c>
      <x:c r="AL91" s="40" t="n">
        <x:f>1000*(AA92-AA90)/(A92-A90)*Inputs!$C$11</x:f>
        <x:v>-358.2821606091784</x:v>
      </x:c>
      <x:c r="AM91" s="40" t="n">
        <x:f>-2*AL91/Inputs!$C$13</x:f>
        <x:v>143.31286424367136</x:v>
      </x:c>
      <x:c r="AN91" s="40" t="n">
        <x:f>-2*AL91/Inputs!$C$14</x:f>
        <x:v>21.51844808463534</x:v>
      </x:c>
      <x:c r="AO91" s="40" t="n">
        <x:f>ABS(AM91)</x:f>
        <x:v>143.31286424367136</x:v>
      </x:c>
      <x:c r="AP91" s="40" t="n">
        <x:f>ABS(AN91)</x:f>
        <x:v>21.51844808463534</x:v>
      </x:c>
      <x:c r="AQ91" s="40" t="n">
        <x:f>IF(Inputs!$C$27="ON",Inputs!$C$46/Inputs!$C$12,0)</x:f>
        <x:v>42.13483146067416</x:v>
      </x:c>
      <x:c r="AR91" s="40" t="n">
        <x:f>AC91-AQ91</x:f>
        <x:v>351.96254777120845</x:v>
      </x:c>
      <x:c r="AS91" s="40" t="n">
        <x:f>AC91+AQ91</x:f>
        <x:v>436.23221069255675</x:v>
      </x:c>
    </x:row>
    <x:row r="92">
      <x:c r="A92" s="40" t="n">
        <x:f>Inputs!$C$7+90*(Inputs!$C$8-Inputs!$C$7)/240</x:f>
        <x:v>-15</x:v>
      </x:c>
      <x:c r="B92" s="40" t="n">
        <x:f>Inputs!$C$5+Inputs!$C$9*(A92/Inputs!$C$10)^2</x:f>
        <x:v>400.25</x:v>
      </x:c>
      <x:c r="C92" s="40" t="n">
        <x:f>B92</x:f>
        <x:v>400.25</x:v>
      </x:c>
      <x:c r="D92" s="40" t="n">
        <x:f>SQRT(A92^2+Inputs!$C$6^2+B92^2)</x:f>
        <x:v>401.31043158632195</x:v>
      </x:c>
      <x:c r="E92" s="40" t="n">
        <x:f>(D92-C92)*1000</x:f>
        <x:v>1060.431586321954</x:v>
      </x:c>
      <x:c r="F92" s="40" t="n">
        <x:f>E92/Inputs!$C$12</x:f>
        <x:v>595.7480822033449</x:v>
      </x:c>
      <x:c r="G92" s="40" t="n">
        <x:f>2*E92/Inputs!$C$21*1000000</x:f>
        <x:v>7.074438052220473</x:v>
      </x:c>
      <x:c r="H92" s="40" t="n">
        <x:f>SQRT(A92^2+Inputs!$C$6^2)</x:f>
        <x:v>29.154759474226502</x:v>
      </x:c>
      <x:c r="I92" s="40" t="n">
        <x:f>DEGREES(ATAN(H92/B92))</x:f>
        <x:v>4.1661452978543005</x:v>
      </x:c>
      <x:c r="J92" s="40" t="n">
        <x:f>DEGREES((2*PI()/Inputs!$C$13)*Inputs!$C$15*SIN(RADIANS(I92)))</x:f>
        <x:v>26.153602260558017</x:v>
      </x:c>
      <x:c r="K92" s="40" t="n">
        <x:f>(C92/D92)^4</x:f>
        <x:v>0.9894721318886404</x:v>
      </x:c>
      <x:c r="L92" s="40" t="n">
        <x:f>10*LOG10(K92)</x:f>
        <x:v>-0.045964330264790396</x:v>
      </x:c>
      <x:c r="M92" s="40" t="n">
        <x:f>2*(Inputs!$C$9/(Inputs!$C$10^2))*A92</x:f>
        <x:v>-0.03333333333333333</x:v>
      </x:c>
      <x:c r="N92" s="40" t="n">
        <x:f>M92*Inputs!$C$11</x:f>
        <x:v>-0.13333333333333333</x:v>
      </x:c>
      <x:c r="O92" s="40" t="n">
        <x:f>1000*((A92*Inputs!$C$11)+(B92*N92))/D92</x:f>
        <x:v>-282.4912031779106</x:v>
      </x:c>
      <x:c r="P92" s="40" t="n">
        <x:f>-2*O92/Inputs!$C$13</x:f>
        <x:v>112.99648127116424</x:v>
      </x:c>
      <x:c r="Q92" s="40" t="n">
        <x:f>-2*O92/Inputs!$C$14</x:f>
        <x:v>16.966438629303944</x:v>
      </x:c>
      <x:c r="R92" s="40" t="n">
        <x:f>F92-Inputs!$C$16/2</x:f>
        <x:v>580.7480822033449</x:v>
      </x:c>
      <x:c r="S92" s="40" t="n">
        <x:f>F92+Inputs!$C$16/2</x:f>
        <x:v>610.7480822033449</x:v>
      </x:c>
      <x:c r="T92" s="40" t="n">
        <x:f>F92-Inputs!$C$17/2</x:f>
        <x:v>445.7480822033449</x:v>
      </x:c>
      <x:c r="U92" s="40" t="n">
        <x:f>F92+Inputs!$C$17/2</x:f>
        <x:v>745.7480822033449</x:v>
      </x:c>
      <x:c r="V92" s="40" t="n">
        <x:f>ABS(P92)</x:f>
        <x:v>112.99648127116424</x:v>
      </x:c>
      <x:c r="W92" s="40" t="n">
        <x:f>ABS(Q92)</x:f>
        <x:v>16.966438629303944</x:v>
      </x:c>
      <x:c r="X92" s="40" t="n">
        <x:f>IF(Inputs!$C$27="ON",1,0)*(Inputs!$C$28*EXP(-(((A92)-Inputs!$C$29)^2)/(2*Inputs!$C$31^2))*EXP(-(((0)-Inputs!$C$30)^2)/(2*Inputs!$C$32^2))+-Inputs!$C$33*EXP(-(((((A92)-Inputs!$C$34)^2)+(((0)-Inputs!$C$35)^2))/(2*Inputs!$C$36^2)))+Inputs!$C$37*(0.55*SIN(2*PI()*(A92)/Inputs!$C$39)+0.35*COS(2*PI()*(0)/Inputs!$C$40)+0.2*SIN(2*PI()*((A92)+(0))/(0.5*(Inputs!$C$39+Inputs!$C$40))))+Inputs!$C$38*SIN(2*PI()*(A92)/Inputs!$C$39)*SIN(2*PI()*(0)/Inputs!$C$40)+-Inputs!$C$41*EXP(-(((0)-Inputs!$C$43)^2)/(2*Inputs!$C$44^2))*EXP(-(((A92)-Inputs!$C$42)^2)/(2*Inputs!$C$45^2)))</x:f>
        <x:v>-53.28580030760595</x:v>
      </x:c>
      <x:c r="Y92" s="40" t="n">
        <x:f>IF(Inputs!$C$27="ON",1,0)*(Inputs!$C$28*EXP(-(((A92)-Inputs!$C$29)^2)/(2*Inputs!$C$31^2))*EXP(-(((Inputs!$C$6)-Inputs!$C$30)^2)/(2*Inputs!$C$32^2))+-Inputs!$C$33*EXP(-(((((A92)-Inputs!$C$34)^2)+(((Inputs!$C$6)-Inputs!$C$35)^2))/(2*Inputs!$C$36^2)))+Inputs!$C$37*(0.55*SIN(2*PI()*(A92)/Inputs!$C$39)+0.35*COS(2*PI()*(Inputs!$C$6)/Inputs!$C$40)+0.2*SIN(2*PI()*((A92)+(Inputs!$C$6))/(0.5*(Inputs!$C$39+Inputs!$C$40))))+Inputs!$C$38*SIN(2*PI()*(A92)/Inputs!$C$39)*SIN(2*PI()*(Inputs!$C$6)/Inputs!$C$40)+-Inputs!$C$41*EXP(-(((Inputs!$C$6)-Inputs!$C$43)^2)/(2*Inputs!$C$44^2))*EXP(-(((A92)-Inputs!$C$42)^2)/(2*Inputs!$C$45^2)))</x:f>
        <x:v>324.91564468296156</x:v>
      </x:c>
      <x:c r="Z92" s="40" t="n">
        <x:f>B92-X92/1000</x:f>
        <x:v>400.3032858003076</x:v>
      </x:c>
      <x:c r="AA92" s="40" t="n">
        <x:f>SQRT(A92^2+Inputs!$C$6^2+(B92-Y92/1000)^2)</x:f>
        <x:v>400.9863752007136</x:v>
      </x:c>
      <x:c r="AB92" s="40" t="n">
        <x:f>(AA92-Z92)*1000</x:f>
        <x:v>683.0894004060042</x:v>
      </x:c>
      <x:c r="AC92" s="40" t="n">
        <x:f>AB92/Inputs!$C$12</x:f>
        <x:v>383.75809011573267</x:v>
      </x:c>
      <x:c r="AD92" s="40" t="n">
        <x:f>2*AB92/Inputs!$C$21*1000000</x:f>
        <x:v>4.55708195571754</x:v>
      </x:c>
      <x:c r="AE92" s="40" t="n">
        <x:f>DEGREES(ATAN(H92/(B92-Y92/1000)))</x:f>
        <x:v>4.1695181138857995</x:v>
      </x:c>
      <x:c r="AF92" s="40" t="n">
        <x:f>DEGREES((2*PI()/Inputs!$C$13)*Inputs!$C$15*SIN(RADIANS(AE92)))</x:f>
        <x:v>26.17473824507856</x:v>
      </x:c>
      <x:c r="AG92" s="40" t="n">
        <x:f>(Z92/AA92)^4</x:f>
        <x:v>0.9932033012935222</x:v>
      </x:c>
      <x:c r="AH92" s="40" t="n">
        <x:f>10*LOG10(AG92)</x:f>
        <x:v>-0.029618455701746302</x:v>
      </x:c>
      <x:c r="AI92" s="40" t="n">
        <x:f>AC92-F92</x:f>
        <x:v>-211.98999208761222</x:v>
      </x:c>
      <x:c r="AJ92" s="40" t="n">
        <x:f>AD92-G92</x:f>
        <x:v>-2.517356096502933</x:v>
      </x:c>
      <x:c r="AK92" s="40" t="n">
        <x:f>Y92-X92</x:f>
        <x:v>378.2014449905675</x:v>
      </x:c>
      <x:c r="AL92" s="40" t="n">
        <x:f>1000*(AA93-AA91)/(A93-A91)*Inputs!$C$11</x:f>
        <x:v>-341.8971675891953</x:v>
      </x:c>
      <x:c r="AM92" s="40" t="n">
        <x:f>-2*AL92/Inputs!$C$13</x:f>
        <x:v>136.75886703567812</x:v>
      </x:c>
      <x:c r="AN92" s="40" t="n">
        <x:f>-2*AL92/Inputs!$C$14</x:f>
        <x:v>20.534364419771492</x:v>
      </x:c>
      <x:c r="AO92" s="40" t="n">
        <x:f>ABS(AM92)</x:f>
        <x:v>136.75886703567812</x:v>
      </x:c>
      <x:c r="AP92" s="40" t="n">
        <x:f>ABS(AN92)</x:f>
        <x:v>20.534364419771492</x:v>
      </x:c>
      <x:c r="AQ92" s="40" t="n">
        <x:f>IF(Inputs!$C$27="ON",Inputs!$C$46/Inputs!$C$12,0)</x:f>
        <x:v>42.13483146067416</x:v>
      </x:c>
      <x:c r="AR92" s="40" t="n">
        <x:f>AC92-AQ92</x:f>
        <x:v>341.6232586550585</x:v>
      </x:c>
      <x:c r="AS92" s="40" t="n">
        <x:f>AC92+AQ92</x:f>
        <x:v>425.8929215764068</x:v>
      </x:c>
    </x:row>
    <x:row r="93">
      <x:c r="A93" s="40" t="n">
        <x:f>Inputs!$C$7+91*(Inputs!$C$8-Inputs!$C$7)/240</x:f>
        <x:v>-14.5</x:v>
      </x:c>
      <x:c r="B93" s="40" t="n">
        <x:f>Inputs!$C$5+Inputs!$C$9*(A93/Inputs!$C$10)^2</x:f>
        <x:v>400.2336111111111</x:v>
      </x:c>
      <x:c r="C93" s="40" t="n">
        <x:f>B93</x:f>
        <x:v>400.2336111111111</x:v>
      </x:c>
      <x:c r="D93" s="40" t="n">
        <x:f>SQRT(A93^2+Inputs!$C$6^2+B93^2)</x:f>
        <x:v>401.2757075416354</x:v>
      </x:c>
      <x:c r="E93" s="40" t="n">
        <x:f>(D93-C93)*1000</x:f>
        <x:v>1042.0964305243388</x:v>
      </x:c>
      <x:c r="F93" s="40" t="n">
        <x:f>E93/Inputs!$C$12</x:f>
        <x:v>585.4474328788419</x:v>
      </x:c>
      <x:c r="G93" s="40" t="n">
        <x:f>2*E93/Inputs!$C$21*1000000</x:f>
        <x:v>6.9521190591415</x:v>
      </x:c>
      <x:c r="H93" s="40" t="n">
        <x:f>SQRT(A93^2+Inputs!$C$6^2)</x:f>
        <x:v>28.90069203323685</x:v>
      </x:c>
      <x:c r="I93" s="40" t="n">
        <x:f>DEGREES(ATAN(H93/B93))</x:f>
        <x:v>4.130134373943814</x:v>
      </x:c>
      <x:c r="J93" s="40" t="n">
        <x:f>DEGREES((2*PI()/Inputs!$C$13)*Inputs!$C$15*SIN(RADIANS(I93)))</x:f>
        <x:v>25.927931684939455</x:v>
      </x:c>
      <x:c r="K93" s="40" t="n">
        <x:f>(C93/D93)^4</x:f>
        <x:v>0.9896525604465756</x:v>
      </x:c>
      <x:c r="L93" s="40" t="n">
        <x:f>10*LOG10(K93)</x:f>
        <x:v>-0.0451724738687828</x:v>
      </x:c>
      <x:c r="M93" s="40" t="n">
        <x:f>2*(Inputs!$C$9/(Inputs!$C$10^2))*A93</x:f>
        <x:v>-0.03222222222222222</x:v>
      </x:c>
      <x:c r="N93" s="40" t="n">
        <x:f>M93*Inputs!$C$11</x:f>
        <x:v>-0.1288888888888889</x:v>
      </x:c>
      <x:c r="O93" s="40" t="n">
        <x:f>1000*((A93*Inputs!$C$11)+(B93*N93))/D93</x:f>
        <x:v>-273.09319595612055</x:v>
      </x:c>
      <x:c r="P93" s="40" t="n">
        <x:f>-2*O93/Inputs!$C$13</x:f>
        <x:v>109.23727838244822</x:v>
      </x:c>
      <x:c r="Q93" s="40" t="n">
        <x:f>-2*O93/Inputs!$C$14</x:f>
        <x:v>16.401993751118354</x:v>
      </x:c>
      <x:c r="R93" s="40" t="n">
        <x:f>F93-Inputs!$C$16/2</x:f>
        <x:v>570.4474328788419</x:v>
      </x:c>
      <x:c r="S93" s="40" t="n">
        <x:f>F93+Inputs!$C$16/2</x:f>
        <x:v>600.4474328788419</x:v>
      </x:c>
      <x:c r="T93" s="40" t="n">
        <x:f>F93-Inputs!$C$17/2</x:f>
        <x:v>435.44743287884194</x:v>
      </x:c>
      <x:c r="U93" s="40" t="n">
        <x:f>F93+Inputs!$C$17/2</x:f>
        <x:v>735.4474328788419</x:v>
      </x:c>
      <x:c r="V93" s="40" t="n">
        <x:f>ABS(P93)</x:f>
        <x:v>109.23727838244822</x:v>
      </x:c>
      <x:c r="W93" s="40" t="n">
        <x:f>ABS(Q93)</x:f>
        <x:v>16.401993751118354</x:v>
      </x:c>
      <x:c r="X93" s="40" t="n">
        <x:f>IF(Inputs!$C$27="ON",1,0)*(Inputs!$C$28*EXP(-(((A93)-Inputs!$C$29)^2)/(2*Inputs!$C$31^2))*EXP(-(((0)-Inputs!$C$30)^2)/(2*Inputs!$C$32^2))+-Inputs!$C$33*EXP(-(((((A93)-Inputs!$C$34)^2)+(((0)-Inputs!$C$35)^2))/(2*Inputs!$C$36^2)))+Inputs!$C$37*(0.55*SIN(2*PI()*(A93)/Inputs!$C$39)+0.35*COS(2*PI()*(0)/Inputs!$C$40)+0.2*SIN(2*PI()*((A93)+(0))/(0.5*(Inputs!$C$39+Inputs!$C$40))))+Inputs!$C$38*SIN(2*PI()*(A93)/Inputs!$C$39)*SIN(2*PI()*(0)/Inputs!$C$40)+-Inputs!$C$41*EXP(-(((0)-Inputs!$C$43)^2)/(2*Inputs!$C$44^2))*EXP(-(((A93)-Inputs!$C$42)^2)/(2*Inputs!$C$45^2)))</x:f>
        <x:v>-45.446751149369575</x:v>
      </x:c>
      <x:c r="Y93" s="40" t="n">
        <x:f>IF(Inputs!$C$27="ON",1,0)*(Inputs!$C$28*EXP(-(((A93)-Inputs!$C$29)^2)/(2*Inputs!$C$31^2))*EXP(-(((Inputs!$C$6)-Inputs!$C$30)^2)/(2*Inputs!$C$32^2))+-Inputs!$C$33*EXP(-(((((A93)-Inputs!$C$34)^2)+(((Inputs!$C$6)-Inputs!$C$35)^2))/(2*Inputs!$C$36^2)))+Inputs!$C$37*(0.55*SIN(2*PI()*(A93)/Inputs!$C$39)+0.35*COS(2*PI()*(Inputs!$C$6)/Inputs!$C$40)+0.2*SIN(2*PI()*((A93)+(Inputs!$C$6))/(0.5*(Inputs!$C$39+Inputs!$C$40))))+Inputs!$C$38*SIN(2*PI()*(A93)/Inputs!$C$39)*SIN(2*PI()*(Inputs!$C$6)/Inputs!$C$40)+-Inputs!$C$41*EXP(-(((Inputs!$C$6)-Inputs!$C$43)^2)/(2*Inputs!$C$44^2))*EXP(-(((A93)-Inputs!$C$42)^2)/(2*Inputs!$C$45^2)))</x:f>
        <x:v>331.8828649280429</x:v>
      </x:c>
      <x:c r="Z93" s="40" t="n">
        <x:f>B93-X93/1000</x:f>
        <x:v>400.27905786226046</x:v>
      </x:c>
      <x:c r="AA93" s="40" t="n">
        <x:f>SQRT(A93^2+Inputs!$C$6^2+(B93-Y93/1000)^2)</x:f>
        <x:v>400.9446872752949</x:v>
      </x:c>
      <x:c r="AB93" s="40" t="n">
        <x:f>(AA93-Z93)*1000</x:f>
        <x:v>665.6294130344236</x:v>
      </x:c>
      <x:c r="AC93" s="40" t="n">
        <x:f>AB93/Inputs!$C$12</x:f>
        <x:v>373.9491084463054</x:v>
      </x:c>
      <x:c r="AD93" s="40" t="n">
        <x:f>2*AB93/Inputs!$C$21*1000000</x:f>
        <x:v>4.440601457922091</x:v>
      </x:c>
      <x:c r="AE93" s="40" t="n">
        <x:f>DEGREES(ATAN(H93/(B93-Y93/1000)))</x:f>
        <x:v>4.133550142000681</x:v>
      </x:c>
      <x:c r="AF93" s="40" t="n">
        <x:f>DEGREES((2*PI()/Inputs!$C$13)*Inputs!$C$15*SIN(RADIANS(AE93)))</x:f>
        <x:v>25.94933780684204</x:v>
      </x:c>
      <x:c r="AG93" s="40" t="n">
        <x:f>(Z93/AA93)^4</x:f>
        <x:v>0.9933759074688276</x:v>
      </x:c>
      <x:c r="AH93" s="40" t="n">
        <x:f>10*LOG10(AG93)</x:f>
        <x:v>-0.0288637723814379</x:v>
      </x:c>
      <x:c r="AI93" s="40" t="n">
        <x:f>AC93-F93</x:f>
        <x:v>-211.49832443253655</x:v>
      </x:c>
      <x:c r="AJ93" s="40" t="n">
        <x:f>AD93-G93</x:f>
        <x:v>-2.511517601219409</x:v>
      </x:c>
      <x:c r="AK93" s="40" t="n">
        <x:f>Y93-X93</x:f>
        <x:v>377.3296160774125</x:v>
      </x:c>
      <x:c r="AL93" s="40" t="n">
        <x:f>1000*(AA94-AA92)/(A94-A92)*Inputs!$C$11</x:f>
        <x:v>-324.78901730087273</x:v>
      </x:c>
      <x:c r="AM93" s="40" t="n">
        <x:f>-2*AL93/Inputs!$C$13</x:f>
        <x:v>129.9156069203491</x:v>
      </x:c>
      <x:c r="AN93" s="40" t="n">
        <x:f>-2*AL93/Inputs!$C$14</x:f>
        <x:v>19.506847885938303</x:v>
      </x:c>
      <x:c r="AO93" s="40" t="n">
        <x:f>ABS(AM93)</x:f>
        <x:v>129.9156069203491</x:v>
      </x:c>
      <x:c r="AP93" s="40" t="n">
        <x:f>ABS(AN93)</x:f>
        <x:v>19.506847885938303</x:v>
      </x:c>
      <x:c r="AQ93" s="40" t="n">
        <x:f>IF(Inputs!$C$27="ON",Inputs!$C$46/Inputs!$C$12,0)</x:f>
        <x:v>42.13483146067416</x:v>
      </x:c>
      <x:c r="AR93" s="40" t="n">
        <x:f>AC93-AQ93</x:f>
        <x:v>331.81427698563124</x:v>
      </x:c>
      <x:c r="AS93" s="40" t="n">
        <x:f>AC93+AQ93</x:f>
        <x:v>416.08393990697954</x:v>
      </x:c>
    </x:row>
    <x:row r="94">
      <x:c r="A94" s="40" t="n">
        <x:f>Inputs!$C$7+92*(Inputs!$C$8-Inputs!$C$7)/240</x:f>
        <x:v>-14</x:v>
      </x:c>
      <x:c r="B94" s="40" t="n">
        <x:f>Inputs!$C$5+Inputs!$C$9*(A94/Inputs!$C$10)^2</x:f>
        <x:v>400.21777777777777</x:v>
      </x:c>
      <x:c r="C94" s="40" t="n">
        <x:f>B94</x:f>
        <x:v>400.21777777777777</x:v>
      </x:c>
      <x:c r="D94" s="40" t="n">
        <x:f>SQRT(A94^2+Inputs!$C$6^2+B94^2)</x:f>
        <x:v>401.2421583649738</x:v>
      </x:c>
      <x:c r="E94" s="40" t="n">
        <x:f>(D94-C94)*1000</x:f>
        <x:v>1024.380587196049</x:v>
      </x:c>
      <x:c r="F94" s="40" t="n">
        <x:f>E94/Inputs!$C$12</x:f>
        <x:v>575.4947119078927</x:v>
      </x:c>
      <x:c r="G94" s="40" t="n">
        <x:f>2*E94/Inputs!$C$21*1000000</x:f>
        <x:v>6.833931674132036</x:v>
      </x:c>
      <x:c r="H94" s="40" t="n">
        <x:f>SQRT(A94^2+Inputs!$C$6^2)</x:f>
        <x:v>28.653097563788805</x:v>
      </x:c>
      <x:c r="I94" s="40" t="n">
        <x:f>DEGREES(ATAN(H94/B94))</x:f>
        <x:v>4.095033523300829</x:v>
      </x:c>
      <x:c r="J94" s="40" t="n">
        <x:f>DEGREES((2*PI()/Inputs!$C$13)*Inputs!$C$15*SIN(RADIANS(I94)))</x:f>
        <x:v>25.707954430803454</x:v>
      </x:c>
      <x:c r="K94" s="40" t="n">
        <x:f>(C94/D94)^4</x:f>
        <x:v>0.989826947769989</x:v>
      </x:c>
      <x:c r="L94" s="40" t="n">
        <x:f>10*LOG10(K94)</x:f>
        <x:v>-0.044407268145218504</x:v>
      </x:c>
      <x:c r="M94" s="40" t="n">
        <x:f>2*(Inputs!$C$9/(Inputs!$C$10^2))*A94</x:f>
        <x:v>-0.03111111111111111</x:v>
      </x:c>
      <x:c r="N94" s="40" t="n">
        <x:f>M94*Inputs!$C$11</x:f>
        <x:v>-0.12444444444444444</x:v>
      </x:c>
      <x:c r="O94" s="40" t="n">
        <x:f>1000*((A94*Inputs!$C$11)+(B94*N94))/D94</x:f>
        <x:v>-263.6933253561669</x:v>
      </x:c>
      <x:c r="P94" s="40" t="n">
        <x:f>-2*O94/Inputs!$C$13</x:f>
        <x:v>105.47733014246676</x:v>
      </x:c>
      <x:c r="Q94" s="40" t="n">
        <x:f>-2*O94/Inputs!$C$14</x:f>
        <x:v>15.837436958328343</x:v>
      </x:c>
      <x:c r="R94" s="40" t="n">
        <x:f>F94-Inputs!$C$16/2</x:f>
        <x:v>560.4947119078927</x:v>
      </x:c>
      <x:c r="S94" s="40" t="n">
        <x:f>F94+Inputs!$C$16/2</x:f>
        <x:v>590.4947119078927</x:v>
      </x:c>
      <x:c r="T94" s="40" t="n">
        <x:f>F94-Inputs!$C$17/2</x:f>
        <x:v>425.4947119078927</x:v>
      </x:c>
      <x:c r="U94" s="40" t="n">
        <x:f>F94+Inputs!$C$17/2</x:f>
        <x:v>725.4947119078927</x:v>
      </x:c>
      <x:c r="V94" s="40" t="n">
        <x:f>ABS(P94)</x:f>
        <x:v>105.47733014246676</x:v>
      </x:c>
      <x:c r="W94" s="40" t="n">
        <x:f>ABS(Q94)</x:f>
        <x:v>15.837436958328343</x:v>
      </x:c>
      <x:c r="X94" s="40" t="n">
        <x:f>IF(Inputs!$C$27="ON",1,0)*(Inputs!$C$28*EXP(-(((A94)-Inputs!$C$29)^2)/(2*Inputs!$C$31^2))*EXP(-(((0)-Inputs!$C$30)^2)/(2*Inputs!$C$32^2))+-Inputs!$C$33*EXP(-(((((A94)-Inputs!$C$34)^2)+(((0)-Inputs!$C$35)^2))/(2*Inputs!$C$36^2)))+Inputs!$C$37*(0.55*SIN(2*PI()*(A94)/Inputs!$C$39)+0.35*COS(2*PI()*(0)/Inputs!$C$40)+0.2*SIN(2*PI()*((A94)+(0))/(0.5*(Inputs!$C$39+Inputs!$C$40))))+Inputs!$C$38*SIN(2*PI()*(A94)/Inputs!$C$39)*SIN(2*PI()*(0)/Inputs!$C$40)+-Inputs!$C$41*EXP(-(((0)-Inputs!$C$43)^2)/(2*Inputs!$C$44^2))*EXP(-(((A94)-Inputs!$C$42)^2)/(2*Inputs!$C$45^2)))</x:f>
        <x:v>-38.432968624707954</x:v>
      </x:c>
      <x:c r="Y94" s="40" t="n">
        <x:f>IF(Inputs!$C$27="ON",1,0)*(Inputs!$C$28*EXP(-(((A94)-Inputs!$C$29)^2)/(2*Inputs!$C$31^2))*EXP(-(((Inputs!$C$6)-Inputs!$C$30)^2)/(2*Inputs!$C$32^2))+-Inputs!$C$33*EXP(-(((((A94)-Inputs!$C$34)^2)+(((Inputs!$C$6)-Inputs!$C$35)^2))/(2*Inputs!$C$36^2)))+Inputs!$C$37*(0.55*SIN(2*PI()*(A94)/Inputs!$C$39)+0.35*COS(2*PI()*(Inputs!$C$6)/Inputs!$C$40)+0.2*SIN(2*PI()*((A94)+(Inputs!$C$6))/(0.5*(Inputs!$C$39+Inputs!$C$40))))+Inputs!$C$38*SIN(2*PI()*(A94)/Inputs!$C$39)*SIN(2*PI()*(Inputs!$C$6)/Inputs!$C$40)+-Inputs!$C$41*EXP(-(((Inputs!$C$6)-Inputs!$C$43)^2)/(2*Inputs!$C$44^2))*EXP(-(((A94)-Inputs!$C$42)^2)/(2*Inputs!$C$45^2)))</x:f>
        <x:v>337.8436672683624</x:v>
      </x:c>
      <x:c r="Z94" s="40" t="n">
        <x:f>B94-X94/1000</x:f>
        <x:v>400.2562107464025</x:v>
      </x:c>
      <x:c r="AA94" s="40" t="n">
        <x:f>SQRT(A94^2+Inputs!$C$6^2+(B94-Y94/1000)^2)</x:f>
        <x:v>400.9051779463884</x:v>
      </x:c>
      <x:c r="AB94" s="40" t="n">
        <x:f>(AA94-Z94)*1000</x:f>
        <x:v>648.9671999859183</x:v>
      </x:c>
      <x:c r="AC94" s="40" t="n">
        <x:f>AB94/Inputs!$C$12</x:f>
        <x:v>364.58831459883055</x:v>
      </x:c>
      <x:c r="AD94" s="40" t="n">
        <x:f>2*AB94/Inputs!$C$21*1000000</x:f>
        <x:v>4.329443137531621</x:v>
      </x:c>
      <x:c r="AE94" s="40" t="n">
        <x:f>DEGREES(ATAN(H94/(B94-Y94/1000)))</x:f>
        <x:v>4.0984814797410465</x:v>
      </x:c>
      <x:c r="AF94" s="40" t="n">
        <x:f>DEGREES((2*PI()/Inputs!$C$13)*Inputs!$C$15*SIN(RADIANS(AE94)))</x:f>
        <x:v>25.729563224407578</x:v>
      </x:c>
      <x:c r="AG94" s="40" t="n">
        <x:f>(Z94/AA94)^4</x:f>
        <x:v>0.9935406858554876</x:v>
      </x:c>
      <x:c r="AH94" s="40" t="n">
        <x:f>10*LOG10(AG94)</x:f>
        <x:v>-0.0281434367169431</x:v>
      </x:c>
      <x:c r="AI94" s="40" t="n">
        <x:f>AC94-F94</x:f>
        <x:v>-210.90639730906213</x:v>
      </x:c>
      <x:c r="AJ94" s="40" t="n">
        <x:f>AD94-G94</x:f>
        <x:v>-2.504488536600415</x:v>
      </x:c>
      <x:c r="AK94" s="40" t="n">
        <x:f>Y94-X94</x:f>
        <x:v>376.27663589307036</x:v>
      </x:c>
      <x:c r="AL94" s="40" t="n">
        <x:f>1000*(AA95-AA93)/(A95-A93)*Inputs!$C$11</x:f>
        <x:v>-307.1279741993749</x:v>
      </x:c>
      <x:c r="AM94" s="40" t="n">
        <x:f>-2*AL94/Inputs!$C$13</x:f>
        <x:v>122.85118967974995</x:v>
      </x:c>
      <x:c r="AN94" s="40" t="n">
        <x:f>-2*AL94/Inputs!$C$14</x:f>
        <x:v>18.446124576539034</x:v>
      </x:c>
      <x:c r="AO94" s="40" t="n">
        <x:f>ABS(AM94)</x:f>
        <x:v>122.85118967974995</x:v>
      </x:c>
      <x:c r="AP94" s="40" t="n">
        <x:f>ABS(AN94)</x:f>
        <x:v>18.446124576539034</x:v>
      </x:c>
      <x:c r="AQ94" s="40" t="n">
        <x:f>IF(Inputs!$C$27="ON",Inputs!$C$46/Inputs!$C$12,0)</x:f>
        <x:v>42.13483146067416</x:v>
      </x:c>
      <x:c r="AR94" s="40" t="n">
        <x:f>AC94-AQ94</x:f>
        <x:v>322.4534831381564</x:v>
      </x:c>
      <x:c r="AS94" s="40" t="n">
        <x:f>AC94+AQ94</x:f>
        <x:v>406.7231460595047</x:v>
      </x:c>
    </x:row>
    <x:row r="95">
      <x:c r="A95" s="40" t="n">
        <x:f>Inputs!$C$7+93*(Inputs!$C$8-Inputs!$C$7)/240</x:f>
        <x:v>-13.5</x:v>
      </x:c>
      <x:c r="B95" s="40" t="n">
        <x:f>Inputs!$C$5+Inputs!$C$9*(A95/Inputs!$C$10)^2</x:f>
        <x:v>400.2025</x:v>
      </x:c>
      <x:c r="C95" s="40" t="n">
        <x:f>B95</x:f>
        <x:v>400.2025</x:v>
      </x:c>
      <x:c r="D95" s="40" t="n">
        <x:f>SQRT(A95^2+Inputs!$C$6^2+B95^2)</x:f>
        <x:v>401.20978428529133</x:v>
      </x:c>
      <x:c r="E95" s="40" t="n">
        <x:f>(D95-C95)*1000</x:f>
        <x:v>1007.2842852913482</x:v>
      </x:c>
      <x:c r="F95" s="40" t="n">
        <x:f>E95/Inputs!$C$12</x:f>
        <x:v>565.8900479164877</x:v>
      </x:c>
      <x:c r="G95" s="40" t="n">
        <x:f>2*E95/Inputs!$C$21*1000000</x:f>
        <x:v>6.719877424610516</x:v>
      </x:c>
      <x:c r="H95" s="40" t="n">
        <x:f>SQRT(A95^2+Inputs!$C$6^2)</x:f>
        <x:v>28.412145290350743</x:v>
      </x:c>
      <x:c r="I95" s="40" t="n">
        <x:f>DEGREES(ATAN(H95/B95))</x:f>
        <x:v>4.060867373737527</x:v>
      </x:c>
      <x:c r="J95" s="40" t="n">
        <x:f>DEGREES((2*PI()/Inputs!$C$13)*Inputs!$C$15*SIN(RADIANS(I95)))</x:f>
        <x:v>25.49382568709516</x:v>
      </x:c>
      <x:c r="K95" s="40" t="n">
        <x:f>(C95/D95)^4</x:f>
        <x:v>0.989995286142351</x:v>
      </x:c>
      <x:c r="L95" s="40" t="n">
        <x:f>10*LOG10(K95)</x:f>
        <x:v>-0.043668732885503894</x:v>
      </x:c>
      <x:c r="M95" s="40" t="n">
        <x:f>2*(Inputs!$C$9/(Inputs!$C$10^2))*A95</x:f>
        <x:v>-0.03</x:v>
      </x:c>
      <x:c r="N95" s="40" t="n">
        <x:f>M95*Inputs!$C$11</x:f>
        <x:v>-0.12</x:v>
      </x:c>
      <x:c r="O95" s="40" t="n">
        <x:f>1000*((A95*Inputs!$C$11)+(B95*N95))/D95</x:f>
        <x:v>-254.2916548801133</x:v>
      </x:c>
      <x:c r="P95" s="40" t="n">
        <x:f>-2*O95/Inputs!$C$13</x:f>
        <x:v>101.71666195204531</x:v>
      </x:c>
      <x:c r="Q95" s="40" t="n">
        <x:f>-2*O95/Inputs!$C$14</x:f>
        <x:v>15.27277206487167</x:v>
      </x:c>
      <x:c r="R95" s="40" t="n">
        <x:f>F95-Inputs!$C$16/2</x:f>
        <x:v>550.8900479164877</x:v>
      </x:c>
      <x:c r="S95" s="40" t="n">
        <x:f>F95+Inputs!$C$16/2</x:f>
        <x:v>580.8900479164877</x:v>
      </x:c>
      <x:c r="T95" s="40" t="n">
        <x:f>F95-Inputs!$C$17/2</x:f>
        <x:v>415.8900479164877</x:v>
      </x:c>
      <x:c r="U95" s="40" t="n">
        <x:f>F95+Inputs!$C$17/2</x:f>
        <x:v>715.8900479164877</x:v>
      </x:c>
      <x:c r="V95" s="40" t="n">
        <x:f>ABS(P95)</x:f>
        <x:v>101.71666195204531</x:v>
      </x:c>
      <x:c r="W95" s="40" t="n">
        <x:f>ABS(Q95)</x:f>
        <x:v>15.27277206487167</x:v>
      </x:c>
      <x:c r="X95" s="40" t="n">
        <x:f>IF(Inputs!$C$27="ON",1,0)*(Inputs!$C$28*EXP(-(((A95)-Inputs!$C$29)^2)/(2*Inputs!$C$31^2))*EXP(-(((0)-Inputs!$C$30)^2)/(2*Inputs!$C$32^2))+-Inputs!$C$33*EXP(-(((((A95)-Inputs!$C$34)^2)+(((0)-Inputs!$C$35)^2))/(2*Inputs!$C$36^2)))+Inputs!$C$37*(0.55*SIN(2*PI()*(A95)/Inputs!$C$39)+0.35*COS(2*PI()*(0)/Inputs!$C$40)+0.2*SIN(2*PI()*((A95)+(0))/(0.5*(Inputs!$C$39+Inputs!$C$40))))+Inputs!$C$38*SIN(2*PI()*(A95)/Inputs!$C$39)*SIN(2*PI()*(0)/Inputs!$C$40)+-Inputs!$C$41*EXP(-(((0)-Inputs!$C$43)^2)/(2*Inputs!$C$44^2))*EXP(-(((A95)-Inputs!$C$42)^2)/(2*Inputs!$C$45^2)))</x:f>
        <x:v>-32.43745547152867</x:v>
      </x:c>
      <x:c r="Y95" s="40" t="n">
        <x:f>IF(Inputs!$C$27="ON",1,0)*(Inputs!$C$28*EXP(-(((A95)-Inputs!$C$29)^2)/(2*Inputs!$C$31^2))*EXP(-(((Inputs!$C$6)-Inputs!$C$30)^2)/(2*Inputs!$C$32^2))+-Inputs!$C$33*EXP(-(((((A95)-Inputs!$C$34)^2)+(((Inputs!$C$6)-Inputs!$C$35)^2))/(2*Inputs!$C$36^2)))+Inputs!$C$37*(0.55*SIN(2*PI()*(A95)/Inputs!$C$39)+0.35*COS(2*PI()*(Inputs!$C$6)/Inputs!$C$40)+0.2*SIN(2*PI()*((A95)+(Inputs!$C$6))/(0.5*(Inputs!$C$39+Inputs!$C$40))))+Inputs!$C$38*SIN(2*PI()*(A95)/Inputs!$C$39)*SIN(2*PI()*(Inputs!$C$6)/Inputs!$C$40)+-Inputs!$C$41*EXP(-(((Inputs!$C$6)-Inputs!$C$43)^2)/(2*Inputs!$C$44^2))*EXP(-(((A95)-Inputs!$C$42)^2)/(2*Inputs!$C$45^2)))</x:f>
        <x:v>342.74022793427935</x:v>
      </x:c>
      <x:c r="Z95" s="40" t="n">
        <x:f>B95-X95/1000</x:f>
        <x:v>400.23493745547154</x:v>
      </x:c>
      <x:c r="AA95" s="40" t="n">
        <x:f>SQRT(A95^2+Inputs!$C$6^2+(B95-Y95/1000)^2)</x:f>
        <x:v>400.86790528174504</x:v>
      </x:c>
      <x:c r="AB95" s="40" t="n">
        <x:f>(AA95-Z95)*1000</x:f>
        <x:v>632.9678262735001</x:v>
      </x:c>
      <x:c r="AC95" s="40" t="n">
        <x:f>AB95/Inputs!$C$12</x:f>
        <x:v>355.5999024008428</x:v>
      </x:c>
      <x:c r="AD95" s="40" t="n">
        <x:f>2*AB95/Inputs!$C$21*1000000</x:f>
        <x:v>4.222706805209223</x:v>
      </x:c>
      <x:c r="AE95" s="40" t="n">
        <x:f>DEGREES(ATAN(H95/(B95-Y95/1000)))</x:f>
        <x:v>4.064336490667814</x:v>
      </x:c>
      <x:c r="AF95" s="40" t="n">
        <x:f>DEGREES((2*PI()/Inputs!$C$13)*Inputs!$C$15*SIN(RADIANS(AE95)))</x:f>
        <x:v>25.515568020685976</x:v>
      </x:c>
      <x:c r="AG95" s="40" t="n">
        <x:f>(Z95/AA95)^4</x:f>
        <x:v>0.993698969487841</x:v>
      </x:c>
      <x:c r="AH95" s="40" t="n">
        <x:f>10*LOG10(AG95)</x:f>
        <x:v>-0.0274516056328843</x:v>
      </x:c>
      <x:c r="AI95" s="40" t="n">
        <x:f>AC95-F95</x:f>
        <x:v>-210.2901455156449</x:v>
      </x:c>
      <x:c r="AJ95" s="40" t="n">
        <x:f>AD95-G95</x:f>
        <x:v>-2.4971706194012926</x:v>
      </x:c>
      <x:c r="AK95" s="40" t="n">
        <x:f>Y95-X95</x:f>
        <x:v>375.177683405808</x:v>
      </x:c>
      <x:c r="AL95" s="40" t="n">
        <x:f>1000*(AA96-AA94)/(A96-A94)*Inputs!$C$11</x:f>
        <x:v>-289.0957223651185</x:v>
      </x:c>
      <x:c r="AM95" s="40" t="n">
        <x:f>-2*AL95/Inputs!$C$13</x:f>
        <x:v>115.6382889460474</x:v>
      </x:c>
      <x:c r="AN95" s="40" t="n">
        <x:f>-2*AL95/Inputs!$C$14</x:f>
        <x:v>17.363106448355467</x:v>
      </x:c>
      <x:c r="AO95" s="40" t="n">
        <x:f>ABS(AM95)</x:f>
        <x:v>115.6382889460474</x:v>
      </x:c>
      <x:c r="AP95" s="40" t="n">
        <x:f>ABS(AN95)</x:f>
        <x:v>17.363106448355467</x:v>
      </x:c>
      <x:c r="AQ95" s="40" t="n">
        <x:f>IF(Inputs!$C$27="ON",Inputs!$C$46/Inputs!$C$12,0)</x:f>
        <x:v>42.13483146067416</x:v>
      </x:c>
      <x:c r="AR95" s="40" t="n">
        <x:f>AC95-AQ95</x:f>
        <x:v>313.46507094016863</x:v>
      </x:c>
      <x:c r="AS95" s="40" t="n">
        <x:f>AC95+AQ95</x:f>
        <x:v>397.73473386151693</x:v>
      </x:c>
    </x:row>
    <x:row r="96">
      <x:c r="A96" s="40" t="n">
        <x:f>Inputs!$C$7+94*(Inputs!$C$8-Inputs!$C$7)/240</x:f>
        <x:v>-13</x:v>
      </x:c>
      <x:c r="B96" s="40" t="n">
        <x:f>Inputs!$C$5+Inputs!$C$9*(A96/Inputs!$C$10)^2</x:f>
        <x:v>400.1877777777778</x:v>
      </x:c>
      <x:c r="C96" s="40" t="n">
        <x:f>B96</x:f>
        <x:v>400.1877777777778</x:v>
      </x:c>
      <x:c r="D96" s="40" t="n">
        <x:f>SQRT(A96^2+Inputs!$C$6^2+B96^2)</x:f>
        <x:v>401.1785855235995</x:v>
      </x:c>
      <x:c r="E96" s="40" t="n">
        <x:f>(D96-C96)*1000</x:f>
        <x:v>990.8077458217122</x:v>
      </x:c>
      <x:c r="F96" s="40" t="n">
        <x:f>E96/Inputs!$C$12</x:f>
        <x:v>556.6335650683776</x:v>
      </x:c>
      <x:c r="G96" s="40" t="n">
        <x:f>2*E96/Inputs!$C$21*1000000</x:f>
        <x:v>6.6099577850068005</x:v>
      </x:c>
      <x:c r="H96" s="40" t="n">
        <x:f>SQRT(A96^2+Inputs!$C$6^2)</x:f>
        <x:v>28.178005607210743</x:v>
      </x:c>
      <x:c r="I96" s="40" t="n">
        <x:f>DEGREES(ATAN(H96/B96))</x:f>
        <x:v>4.027660713508556</x:v>
      </x:c>
      <x:c r="J96" s="40" t="n">
        <x:f>DEGREES((2*PI()/Inputs!$C$13)*Inputs!$C$15*SIN(RADIANS(I96)))</x:f>
        <x:v>25.285701641717207</x:v>
      </x:c>
      <x:c r="K96" s="40" t="n">
        <x:f>(C96/D96)^4</x:f>
        <x:v>0.990157568110751</x:v>
      </x:c>
      <x:c r="L96" s="40" t="n">
        <x:f>10*LOG10(K96)</x:f>
        <x:v>-0.042956887197481294</x:v>
      </x:c>
      <x:c r="M96" s="40" t="n">
        <x:f>2*(Inputs!$C$9/(Inputs!$C$10^2))*A96</x:f>
        <x:v>-0.028888888888888888</x:v>
      </x:c>
      <x:c r="N96" s="40" t="n">
        <x:f>M96*Inputs!$C$11</x:f>
        <x:v>-0.11555555555555555</x:v>
      </x:c>
      <x:c r="O96" s="40" t="n">
        <x:f>1000*((A96*Inputs!$C$11)+(B96*N96))/D96</x:f>
        <x:v>-244.888248108834</x:v>
      </x:c>
      <x:c r="P96" s="40" t="n">
        <x:f>-2*O96/Inputs!$C$13</x:f>
        <x:v>97.9552992435336</x:v>
      </x:c>
      <x:c r="Q96" s="40" t="n">
        <x:f>-2*O96/Inputs!$C$14</x:f>
        <x:v>14.708002889419461</x:v>
      </x:c>
      <x:c r="R96" s="40" t="n">
        <x:f>F96-Inputs!$C$16/2</x:f>
        <x:v>541.6335650683776</x:v>
      </x:c>
      <x:c r="S96" s="40" t="n">
        <x:f>F96+Inputs!$C$16/2</x:f>
        <x:v>571.6335650683776</x:v>
      </x:c>
      <x:c r="T96" s="40" t="n">
        <x:f>F96-Inputs!$C$17/2</x:f>
        <x:v>406.6335650683776</x:v>
      </x:c>
      <x:c r="U96" s="40" t="n">
        <x:f>F96+Inputs!$C$17/2</x:f>
        <x:v>706.6335650683776</x:v>
      </x:c>
      <x:c r="V96" s="40" t="n">
        <x:f>ABS(P96)</x:f>
        <x:v>97.9552992435336</x:v>
      </x:c>
      <x:c r="W96" s="40" t="n">
        <x:f>ABS(Q96)</x:f>
        <x:v>14.708002889419461</x:v>
      </x:c>
      <x:c r="X96" s="40" t="n">
        <x:f>IF(Inputs!$C$27="ON",1,0)*(Inputs!$C$28*EXP(-(((A96)-Inputs!$C$29)^2)/(2*Inputs!$C$31^2))*EXP(-(((0)-Inputs!$C$30)^2)/(2*Inputs!$C$32^2))+-Inputs!$C$33*EXP(-(((((A96)-Inputs!$C$34)^2)+(((0)-Inputs!$C$35)^2))/(2*Inputs!$C$36^2)))+Inputs!$C$37*(0.55*SIN(2*PI()*(A96)/Inputs!$C$39)+0.35*COS(2*PI()*(0)/Inputs!$C$40)+0.2*SIN(2*PI()*((A96)+(0))/(0.5*(Inputs!$C$39+Inputs!$C$40))))+Inputs!$C$38*SIN(2*PI()*(A96)/Inputs!$C$39)*SIN(2*PI()*(0)/Inputs!$C$40)+-Inputs!$C$41*EXP(-(((0)-Inputs!$C$43)^2)/(2*Inputs!$C$44^2))*EXP(-(((A96)-Inputs!$C$42)^2)/(2*Inputs!$C$45^2)))</x:f>
        <x:v>-27.61290366455905</x:v>
      </x:c>
      <x:c r="Y96" s="40" t="n">
        <x:f>IF(Inputs!$C$27="ON",1,0)*(Inputs!$C$28*EXP(-(((A96)-Inputs!$C$29)^2)/(2*Inputs!$C$31^2))*EXP(-(((Inputs!$C$6)-Inputs!$C$30)^2)/(2*Inputs!$C$32^2))+-Inputs!$C$33*EXP(-(((((A96)-Inputs!$C$34)^2)+(((Inputs!$C$6)-Inputs!$C$35)^2))/(2*Inputs!$C$36^2)))+Inputs!$C$37*(0.55*SIN(2*PI()*(A96)/Inputs!$C$39)+0.35*COS(2*PI()*(Inputs!$C$6)/Inputs!$C$40)+0.2*SIN(2*PI()*((A96)+(Inputs!$C$6))/(0.5*(Inputs!$C$39+Inputs!$C$40))))+Inputs!$C$38*SIN(2*PI()*(A96)/Inputs!$C$39)*SIN(2*PI()*(Inputs!$C$6)/Inputs!$C$40)+-Inputs!$C$41*EXP(-(((Inputs!$C$6)-Inputs!$C$43)^2)/(2*Inputs!$C$44^2))*EXP(-(((A96)-Inputs!$C$42)^2)/(2*Inputs!$C$45^2)))</x:f>
        <x:v>346.5381066588096</x:v>
      </x:c>
      <x:c r="Z96" s="40" t="n">
        <x:f>B96-X96/1000</x:f>
        <x:v>400.21539068144233</x:v>
      </x:c>
      <x:c r="AA96" s="40" t="n">
        <x:f>SQRT(A96^2+Inputs!$C$6^2+(B96-Y96/1000)^2)</x:f>
        <x:v>400.8329040157971</x:v>
      </x:c>
      <x:c r="AB96" s="40" t="n">
        <x:f>(AA96-Z96)*1000</x:f>
        <x:v>617.5133343547827</x:v>
      </x:c>
      <x:c r="AC96" s="40" t="n">
        <x:f>AB96/Inputs!$C$12</x:f>
        <x:v>346.91760357010264</x:v>
      </x:c>
      <x:c r="AD96" s="40" t="n">
        <x:f>2*AB96/Inputs!$C$21*1000000</x:f>
        <x:v>4.119605532936941</x:v>
      </x:c>
      <x:c r="AE96" s="40" t="n">
        <x:f>DEGREES(ATAN(H96/(B96-Y96/1000)))</x:f>
        <x:v>4.031139940582539</x:v>
      </x:c>
      <x:c r="AF96" s="40" t="n">
        <x:f>DEGREES((2*PI()/Inputs!$C$13)*Inputs!$C$15*SIN(RADIANS(AE96)))</x:f>
        <x:v>25.30750823339614</x:v>
      </x:c>
      <x:c r="AG96" s="40" t="n">
        <x:f>(Z96/AA96)^4</x:f>
        <x:v>0.9938519237879305</x:v>
      </x:c>
      <x:c r="AH96" s="40" t="n">
        <x:f>10*LOG10(AG96)</x:f>
        <x:v>-0.02678317285093</x:v>
      </x:c>
      <x:c r="AI96" s="40" t="n">
        <x:f>AC96-F96</x:f>
        <x:v>-209.71596149827496</x:v>
      </x:c>
      <x:c r="AJ96" s="40" t="n">
        <x:f>AD96-G96</x:f>
        <x:v>-2.4903522520698598</x:v>
      </x:c>
      <x:c r="AK96" s="40" t="n">
        <x:f>Y96-X96</x:f>
        <x:v>374.15101032336867</x:v>
      </x:c>
      <x:c r="AL96" s="40" t="n">
        <x:f>1000*(AA97-AA95)/(A97-A95)*Inputs!$C$11</x:f>
        <x:v>-270.88236510462593</x:v>
      </x:c>
      <x:c r="AM96" s="40" t="n">
        <x:f>-2*AL96/Inputs!$C$13</x:f>
        <x:v>108.35294604185037</x:v>
      </x:c>
      <x:c r="AN96" s="40" t="n">
        <x:f>-2*AL96/Inputs!$C$14</x:f>
        <x:v>16.269211117394953</x:v>
      </x:c>
      <x:c r="AO96" s="40" t="n">
        <x:f>ABS(AM96)</x:f>
        <x:v>108.35294604185037</x:v>
      </x:c>
      <x:c r="AP96" s="40" t="n">
        <x:f>ABS(AN96)</x:f>
        <x:v>16.269211117394953</x:v>
      </x:c>
      <x:c r="AQ96" s="40" t="n">
        <x:f>IF(Inputs!$C$27="ON",Inputs!$C$46/Inputs!$C$12,0)</x:f>
        <x:v>42.13483146067416</x:v>
      </x:c>
      <x:c r="AR96" s="40" t="n">
        <x:f>AC96-AQ96</x:f>
        <x:v>304.7827721094285</x:v>
      </x:c>
      <x:c r="AS96" s="40" t="n">
        <x:f>AC96+AQ96</x:f>
        <x:v>389.0524350307768</x:v>
      </x:c>
    </x:row>
    <x:row r="97">
      <x:c r="A97" s="40" t="n">
        <x:f>Inputs!$C$7+95*(Inputs!$C$8-Inputs!$C$7)/240</x:f>
        <x:v>-12.5</x:v>
      </x:c>
      <x:c r="B97" s="40" t="n">
        <x:f>Inputs!$C$5+Inputs!$C$9*(A97/Inputs!$C$10)^2</x:f>
        <x:v>400.1736111111111</x:v>
      </x:c>
      <x:c r="C97" s="40" t="n">
        <x:f>B97</x:f>
        <x:v>400.1736111111111</x:v>
      </x:c>
      <x:c r="D97" s="40" t="n">
        <x:f>SQRT(A97^2+Inputs!$C$6^2+B97^2)</x:f>
        <x:v>401.1485622929575</x:v>
      </x:c>
      <x:c r="E97" s="40" t="n">
        <x:f>(D97-C97)*1000</x:f>
        <x:v>974.951181846393</x:v>
      </x:c>
      <x:c r="F97" s="40" t="n">
        <x:f>E97/Inputs!$C$12</x:f>
        <x:v>547.7253830597713</x:v>
      </x:c>
      <x:c r="G97" s="40" t="n">
        <x:f>2*E97/Inputs!$C$21*1000000</x:f>
        <x:v>6.504174176699221</x:v>
      </x:c>
      <x:c r="H97" s="40" t="n">
        <x:f>SQRT(A97^2+Inputs!$C$6^2)</x:f>
        <x:v>27.95084971874737</x:v>
      </x:c>
      <x:c r="I97" s="40" t="n">
        <x:f>DEGREES(ATAN(H97/B97))</x:f>
        <x:v>3.9954384393380815</x:v>
      </x:c>
      <x:c r="J97" s="40" t="n">
        <x:f>DEGREES((2*PI()/Inputs!$C$13)*Inputs!$C$15*SIN(RADIANS(I97)))</x:f>
        <x:v>25.083739154474607</x:v>
      </x:c>
      <x:c r="K97" s="40" t="n">
        <x:f>(C97/D97)^4</x:f>
        <x:v>0.9903137864866547</x:v>
      </x:c>
      <x:c r="L97" s="40" t="n">
        <x:f>10*LOG10(K97)</x:f>
        <x:v>-0.0422717495042741</x:v>
      </x:c>
      <x:c r="M97" s="40" t="n">
        <x:f>2*(Inputs!$C$9/(Inputs!$C$10^2))*A97</x:f>
        <x:v>-0.027777777777777776</x:v>
      </x:c>
      <x:c r="N97" s="40" t="n">
        <x:f>M97*Inputs!$C$11</x:f>
        <x:v>-0.1111111111111111</x:v>
      </x:c>
      <x:c r="O97" s="40" t="n">
        <x:f>1000*((A97*Inputs!$C$11)+(B97*N97))/D97</x:f>
        <x:v>-235.48316869926774</x:v>
      </x:c>
      <x:c r="P97" s="40" t="n">
        <x:f>-2*O97/Inputs!$C$13</x:f>
        <x:v>94.19326747970709</x:v>
      </x:c>
      <x:c r="Q97" s="40" t="n">
        <x:f>-2*O97/Inputs!$C$14</x:f>
        <x:v>14.143133255211277</x:v>
      </x:c>
      <x:c r="R97" s="40" t="n">
        <x:f>F97-Inputs!$C$16/2</x:f>
        <x:v>532.7253830597713</x:v>
      </x:c>
      <x:c r="S97" s="40" t="n">
        <x:f>F97+Inputs!$C$16/2</x:f>
        <x:v>562.7253830597713</x:v>
      </x:c>
      <x:c r="T97" s="40" t="n">
        <x:f>F97-Inputs!$C$17/2</x:f>
        <x:v>397.7253830597713</x:v>
      </x:c>
      <x:c r="U97" s="40" t="n">
        <x:f>F97+Inputs!$C$17/2</x:f>
        <x:v>697.7253830597713</x:v>
      </x:c>
      <x:c r="V97" s="40" t="n">
        <x:f>ABS(P97)</x:f>
        <x:v>94.19326747970709</x:v>
      </x:c>
      <x:c r="W97" s="40" t="n">
        <x:f>ABS(Q97)</x:f>
        <x:v>14.143133255211277</x:v>
      </x:c>
      <x:c r="X97" s="40" t="n">
        <x:f>IF(Inputs!$C$27="ON",1,0)*(Inputs!$C$28*EXP(-(((A97)-Inputs!$C$29)^2)/(2*Inputs!$C$31^2))*EXP(-(((0)-Inputs!$C$30)^2)/(2*Inputs!$C$32^2))+-Inputs!$C$33*EXP(-(((((A97)-Inputs!$C$34)^2)+(((0)-Inputs!$C$35)^2))/(2*Inputs!$C$36^2)))+Inputs!$C$37*(0.55*SIN(2*PI()*(A97)/Inputs!$C$39)+0.35*COS(2*PI()*(0)/Inputs!$C$40)+0.2*SIN(2*PI()*((A97)+(0))/(0.5*(Inputs!$C$39+Inputs!$C$40))))+Inputs!$C$38*SIN(2*PI()*(A97)/Inputs!$C$39)*SIN(2*PI()*(0)/Inputs!$C$40)+-Inputs!$C$41*EXP(-(((0)-Inputs!$C$43)^2)/(2*Inputs!$C$44^2))*EXP(-(((A97)-Inputs!$C$42)^2)/(2*Inputs!$C$45^2)))</x:f>
        <x:v>-24.066111558205392</x:v>
      </x:c>
      <x:c r="Y97" s="40" t="n">
        <x:f>IF(Inputs!$C$27="ON",1,0)*(Inputs!$C$28*EXP(-(((A97)-Inputs!$C$29)^2)/(2*Inputs!$C$31^2))*EXP(-(((Inputs!$C$6)-Inputs!$C$30)^2)/(2*Inputs!$C$32^2))+-Inputs!$C$33*EXP(-(((((A97)-Inputs!$C$34)^2)+(((Inputs!$C$6)-Inputs!$C$35)^2))/(2*Inputs!$C$36^2)))+Inputs!$C$37*(0.55*SIN(2*PI()*(A97)/Inputs!$C$39)+0.35*COS(2*PI()*(Inputs!$C$6)/Inputs!$C$40)+0.2*SIN(2*PI()*((A97)+(Inputs!$C$6))/(0.5*(Inputs!$C$39+Inputs!$C$40))))+Inputs!$C$38*SIN(2*PI()*(A97)/Inputs!$C$39)*SIN(2*PI()*(Inputs!$C$6)/Inputs!$C$40)+-Inputs!$C$41*EXP(-(((Inputs!$C$6)-Inputs!$C$43)^2)/(2*Inputs!$C$44^2))*EXP(-(((A97)-Inputs!$C$42)^2)/(2*Inputs!$C$45^2)))</x:f>
        <x:v>349.2271024391269</x:v>
      </x:c>
      <x:c r="Z97" s="40" t="n">
        <x:f>B97-X97/1000</x:f>
        <x:v>400.1976772226693</x:v>
      </x:c>
      <x:c r="AA97" s="40" t="n">
        <x:f>SQRT(A97^2+Inputs!$C$6^2+(B97-Y97/1000)^2)</x:f>
        <x:v>400.8001846904689</x:v>
      </x:c>
      <x:c r="AB97" s="40" t="n">
        <x:f>(AA97-Z97)*1000</x:f>
        <x:v>602.507467799569</x:v>
      </x:c>
      <x:c r="AC97" s="40" t="n">
        <x:f>AB97/Inputs!$C$12</x:f>
        <x:v>338.487341460432</x:v>
      </x:c>
      <x:c r="AD97" s="40" t="n">
        <x:f>2*AB97/Inputs!$C$21*1000000</x:f>
        <x:v>4.019497166933859</x:v>
      </x:c>
      <x:c r="AE97" s="40" t="n">
        <x:f>DEGREES(ATAN(H97/(B97-Y97/1000)))</x:f>
        <x:v>3.99891694276402</x:v>
      </x:c>
      <x:c r="AF97" s="40" t="n">
        <x:f>DEGREES((2*PI()/Inputs!$C$13)*Inputs!$C$15*SIN(RADIANS(AE97)))</x:f>
        <x:v>25.1055420708451</x:v>
      </x:c>
      <x:c r="AG97" s="40" t="n">
        <x:f>(Z97/AA97)^4</x:f>
        <x:v>0.9940004993768281</x:v>
      </x:c>
      <x:c r="AH97" s="40" t="n">
        <x:f>10*LOG10(AG97)</x:f>
        <x:v>-0.0261339741702637</x:v>
      </x:c>
      <x:c r="AI97" s="40" t="n">
        <x:f>AC97-F97</x:f>
        <x:v>-209.23804159933928</x:v>
      </x:c>
      <x:c r="AJ97" s="40" t="n">
        <x:f>AD97-G97</x:f>
        <x:v>-2.4846770097653623</x:v>
      </x:c>
      <x:c r="AK97" s="40" t="n">
        <x:f>Y97-X97</x:f>
        <x:v>373.29321399733226</x:v>
      </x:c>
      <x:c r="AL97" s="40" t="n">
        <x:f>1000*(AA98-AA96)/(A98-A96)*Inputs!$C$11</x:f>
        <x:v>-252.68323245677493</x:v>
      </x:c>
      <x:c r="AM97" s="40" t="n">
        <x:f>-2*AL97/Inputs!$C$13</x:f>
        <x:v>101.07329298270997</x:v>
      </x:c>
      <x:c r="AN97" s="40" t="n">
        <x:f>-2*AL97/Inputs!$C$14</x:f>
        <x:v>15.176170117524022</x:v>
      </x:c>
      <x:c r="AO97" s="40" t="n">
        <x:f>ABS(AM97)</x:f>
        <x:v>101.07329298270997</x:v>
      </x:c>
      <x:c r="AP97" s="40" t="n">
        <x:f>ABS(AN97)</x:f>
        <x:v>15.176170117524022</x:v>
      </x:c>
      <x:c r="AQ97" s="40" t="n">
        <x:f>IF(Inputs!$C$27="ON",Inputs!$C$46/Inputs!$C$12,0)</x:f>
        <x:v>42.13483146067416</x:v>
      </x:c>
      <x:c r="AR97" s="40" t="n">
        <x:f>AC97-AQ97</x:f>
        <x:v>296.35250999975784</x:v>
      </x:c>
      <x:c r="AS97" s="40" t="n">
        <x:f>AC97+AQ97</x:f>
        <x:v>380.62217292110614</x:v>
      </x:c>
    </x:row>
    <x:row r="98">
      <x:c r="A98" s="40" t="n">
        <x:f>Inputs!$C$7+96*(Inputs!$C$8-Inputs!$C$7)/240</x:f>
        <x:v>-12</x:v>
      </x:c>
      <x:c r="B98" s="40" t="n">
        <x:f>Inputs!$C$5+Inputs!$C$9*(A98/Inputs!$C$10)^2</x:f>
        <x:v>400.16</x:v>
      </x:c>
      <x:c r="C98" s="40" t="n">
        <x:f>B98</x:f>
        <x:v>400.16</x:v>
      </x:c>
      <x:c r="D98" s="40" t="n">
        <x:f>SQRT(A98^2+Inputs!$C$6^2+B98^2)</x:f>
        <x:v>401.11971479846267</x:v>
      </x:c>
      <x:c r="E98" s="40" t="n">
        <x:f>(D98-C98)*1000</x:f>
        <x:v>959.7147984626417</x:v>
      </x:c>
      <x:c r="F98" s="40" t="n">
        <x:f>E98/Inputs!$C$12</x:f>
        <x:v>539.1656171138436</x:v>
      </x:c>
      <x:c r="G98" s="40" t="n">
        <x:f>2*E98/Inputs!$C$21*1000000</x:f>
        <x:v>6.402527967949358</x:v>
      </x:c>
      <x:c r="H98" s="40" t="n">
        <x:f>SQRT(A98^2+Inputs!$C$6^2)</x:f>
        <x:v>27.730849247724095</x:v>
      </x:c>
      <x:c r="I98" s="40" t="n">
        <x:f>DEGREES(ATAN(H98/B98))</x:f>
        <x:v>3.964225499851384</x:v>
      </x:c>
      <x:c r="J98" s="40" t="n">
        <x:f>DEGREES((2*PI()/Inputs!$C$13)*Inputs!$C$15*SIN(RADIANS(I98)))</x:f>
        <x:v>24.888095401136177</x:v>
      </x:c>
      <x:c r="K98" s="40" t="n">
        <x:f>(C98/D98)^4</x:f>
        <x:v>0.9904639343466405</x:v>
      </x:c>
      <x:c r="L98" s="40" t="n">
        <x:f>10*LOG10(K98)</x:f>
        <x:v>-0.0416133375431493</x:v>
      </x:c>
      <x:c r="M98" s="40" t="n">
        <x:f>2*(Inputs!$C$9/(Inputs!$C$10^2))*A98</x:f>
        <x:v>-0.026666666666666665</x:v>
      </x:c>
      <x:c r="N98" s="40" t="n">
        <x:f>M98*Inputs!$C$11</x:f>
        <x:v>-0.10666666666666666</x:v>
      </x:c>
      <x:c r="O98" s="40" t="n">
        <x:f>1000*((A98*Inputs!$C$11)+(B98*N98))/D98</x:f>
        <x:v>-226.07648038166408</x:v>
      </x:c>
      <x:c r="P98" s="40" t="n">
        <x:f>-2*O98/Inputs!$C$13</x:f>
        <x:v>90.43059215266564</x:v>
      </x:c>
      <x:c r="Q98" s="40" t="n">
        <x:f>-2*O98/Inputs!$C$14</x:f>
        <x:v>13.578166989889736</x:v>
      </x:c>
      <x:c r="R98" s="40" t="n">
        <x:f>F98-Inputs!$C$16/2</x:f>
        <x:v>524.1656171138436</x:v>
      </x:c>
      <x:c r="S98" s="40" t="n">
        <x:f>F98+Inputs!$C$16/2</x:f>
        <x:v>554.1656171138436</x:v>
      </x:c>
      <x:c r="T98" s="40" t="n">
        <x:f>F98-Inputs!$C$17/2</x:f>
        <x:v>389.1656171138436</x:v>
      </x:c>
      <x:c r="U98" s="40" t="n">
        <x:f>F98+Inputs!$C$17/2</x:f>
        <x:v>689.1656171138436</x:v>
      </x:c>
      <x:c r="V98" s="40" t="n">
        <x:f>ABS(P98)</x:f>
        <x:v>90.43059215266564</x:v>
      </x:c>
      <x:c r="W98" s="40" t="n">
        <x:f>ABS(Q98)</x:f>
        <x:v>13.578166989889736</x:v>
      </x:c>
      <x:c r="X98" s="40" t="n">
        <x:f>IF(Inputs!$C$27="ON",1,0)*(Inputs!$C$28*EXP(-(((A98)-Inputs!$C$29)^2)/(2*Inputs!$C$31^2))*EXP(-(((0)-Inputs!$C$30)^2)/(2*Inputs!$C$32^2))+-Inputs!$C$33*EXP(-(((((A98)-Inputs!$C$34)^2)+(((0)-Inputs!$C$35)^2))/(2*Inputs!$C$36^2)))+Inputs!$C$37*(0.55*SIN(2*PI()*(A98)/Inputs!$C$39)+0.35*COS(2*PI()*(0)/Inputs!$C$40)+0.2*SIN(2*PI()*((A98)+(0))/(0.5*(Inputs!$C$39+Inputs!$C$40))))+Inputs!$C$38*SIN(2*PI()*(A98)/Inputs!$C$39)*SIN(2*PI()*(0)/Inputs!$C$40)+-Inputs!$C$41*EXP(-(((0)-Inputs!$C$43)^2)/(2*Inputs!$C$44^2))*EXP(-(((A98)-Inputs!$C$42)^2)/(2*Inputs!$C$45^2)))</x:f>
        <x:v>-21.854029326660726</x:v>
      </x:c>
      <x:c r="Y98" s="40" t="n">
        <x:f>IF(Inputs!$C$27="ON",1,0)*(Inputs!$C$28*EXP(-(((A98)-Inputs!$C$29)^2)/(2*Inputs!$C$31^2))*EXP(-(((Inputs!$C$6)-Inputs!$C$30)^2)/(2*Inputs!$C$32^2))+-Inputs!$C$33*EXP(-(((((A98)-Inputs!$C$34)^2)+(((Inputs!$C$6)-Inputs!$C$35)^2))/(2*Inputs!$C$36^2)))+Inputs!$C$37*(0.55*SIN(2*PI()*(A98)/Inputs!$C$39)+0.35*COS(2*PI()*(Inputs!$C$6)/Inputs!$C$40)+0.2*SIN(2*PI()*((A98)+(Inputs!$C$6))/(0.5*(Inputs!$C$39+Inputs!$C$40))))+Inputs!$C$38*SIN(2*PI()*(A98)/Inputs!$C$39)*SIN(2*PI()*(Inputs!$C$6)/Inputs!$C$40)+-Inputs!$C$41*EXP(-(((Inputs!$C$6)-Inputs!$C$43)^2)/(2*Inputs!$C$44^2))*EXP(-(((A98)-Inputs!$C$42)^2)/(2*Inputs!$C$45^2)))</x:f>
        <x:v>350.821696953328</x:v>
      </x:c>
      <x:c r="Z98" s="40" t="n">
        <x:f>B98-X98/1000</x:f>
        <x:v>400.1818540293267</x:v>
      </x:c>
      <x:c r="AA98" s="40" t="n">
        <x:f>SQRT(A98^2+Inputs!$C$6^2+(B98-Y98/1000)^2)</x:f>
        <x:v>400.7697332076829</x:v>
      </x:c>
      <x:c r="AB98" s="40" t="n">
        <x:f>(AA98-Z98)*1000</x:f>
        <x:v>587.8791783562178</x:v>
      </x:c>
      <x:c r="AC98" s="40" t="n">
        <x:f>AB98/Inputs!$C$12</x:f>
        <x:v>330.2692013237179</x:v>
      </x:c>
      <x:c r="AD98" s="40" t="n">
        <x:f>2*AB98/Inputs!$C$21*1000000</x:f>
        <x:v>3.9219077242844973</x:v>
      </x:c>
      <x:c r="AE98" s="40" t="n">
        <x:f>DEGREES(ATAN(H98/(B98-Y98/1000)))</x:f>
        <x:v>3.967692894896393</x:v>
      </x:c>
      <x:c r="AF98" s="40" t="n">
        <x:f>DEGREES((2*PI()/Inputs!$C$13)*Inputs!$C$15*SIN(RADIANS(AE98)))</x:f>
        <x:v>24.909829515512158</x:v>
      </x:c>
      <x:c r="AG98" s="40" t="n">
        <x:f>(Z98/AA98)^4</x:f>
        <x:v>0.9941453969582115</x:v>
      </x:c>
      <x:c r="AH98" s="40" t="n">
        <x:f>10*LOG10(AG98)</x:f>
        <x:v>-0.025500939942108298</x:v>
      </x:c>
      <x:c r="AI98" s="40" t="n">
        <x:f>AC98-F98</x:f>
        <x:v>-208.89641579012573</x:v>
      </x:c>
      <x:c r="AJ98" s="40" t="n">
        <x:f>AD98-G98</x:f>
        <x:v>-2.480620243664861</x:v>
      </x:c>
      <x:c r="AK98" s="40" t="n">
        <x:f>Y98-X98</x:f>
        <x:v>372.67572627998874</x:v>
      </x:c>
      <x:c r="AL98" s="40" t="n">
        <x:f>1000*(AA99-AA97)/(A99-A97)*Inputs!$C$11</x:f>
        <x:v>-234.6954795923466</x:v>
      </x:c>
      <x:c r="AM98" s="40" t="n">
        <x:f>-2*AL98/Inputs!$C$13</x:f>
        <x:v>93.87819183693864</x:v>
      </x:c>
      <x:c r="AN98" s="40" t="n">
        <x:f>-2*AL98/Inputs!$C$14</x:f>
        <x:v>14.095824600140938</x:v>
      </x:c>
      <x:c r="AO98" s="40" t="n">
        <x:f>ABS(AM98)</x:f>
        <x:v>93.87819183693864</x:v>
      </x:c>
      <x:c r="AP98" s="40" t="n">
        <x:f>ABS(AN98)</x:f>
        <x:v>14.095824600140938</x:v>
      </x:c>
      <x:c r="AQ98" s="40" t="n">
        <x:f>IF(Inputs!$C$27="ON",Inputs!$C$46/Inputs!$C$12,0)</x:f>
        <x:v>42.13483146067416</x:v>
      </x:c>
      <x:c r="AR98" s="40" t="n">
        <x:f>AC98-AQ98</x:f>
        <x:v>288.13436986304373</x:v>
      </x:c>
      <x:c r="AS98" s="40" t="n">
        <x:f>AC98+AQ98</x:f>
        <x:v>372.40403278439203</x:v>
      </x:c>
    </x:row>
    <x:row r="99">
      <x:c r="A99" s="40" t="n">
        <x:f>Inputs!$C$7+97*(Inputs!$C$8-Inputs!$C$7)/240</x:f>
        <x:v>-11.5</x:v>
      </x:c>
      <x:c r="B99" s="40" t="n">
        <x:f>Inputs!$C$5+Inputs!$C$9*(A99/Inputs!$C$10)^2</x:f>
        <x:v>400.14694444444444</x:v>
      </x:c>
      <x:c r="C99" s="40" t="n">
        <x:f>B99</x:f>
        <x:v>400.14694444444444</x:v>
      </x:c>
      <x:c r="D99" s="40" t="n">
        <x:f>SQRT(A99^2+Inputs!$C$6^2+B99^2)</x:f>
        <x:v>401.0920432372416</x:v>
      </x:c>
      <x:c r="E99" s="40" t="n">
        <x:f>(D99-C99)*1000</x:f>
        <x:v>945.0987927971823</x:v>
      </x:c>
      <x:c r="F99" s="40" t="n">
        <x:f>E99/Inputs!$C$12</x:f>
        <x:v>530.9543779759451</x:v>
      </x:c>
      <x:c r="G99" s="40" t="n">
        <x:f>2*E99/Inputs!$C$21*1000000</x:f>
        <x:v>6.3050204738451585</x:v>
      </x:c>
      <x:c r="H99" s="40" t="n">
        <x:f>SQRT(A99^2+Inputs!$C$6^2)</x:f>
        <x:v>27.518175811634027</x:v>
      </x:c>
      <x:c r="I99" s="40" t="n">
        <x:f>DEGREES(ATAN(H99/B99))</x:f>
        <x:v>3.934046834415676</x:v>
      </x:c>
      <x:c r="J99" s="40" t="n">
        <x:f>DEGREES((2*PI()/Inputs!$C$13)*Inputs!$C$15*SIN(RADIANS(I99)))</x:f>
        <x:v>24.69892748864289</x:v>
      </x:c>
      <x:c r="K99" s="40" t="n">
        <x:f>(C99/D99)^4</x:f>
        <x:v>0.9906080050330984</x:v>
      </x:c>
      <x:c r="L99" s="40" t="n">
        <x:f>10*LOG10(K99)</x:f>
        <x:v>-0.0409816683644662</x:v>
      </x:c>
      <x:c r="M99" s="40" t="n">
        <x:f>2*(Inputs!$C$9/(Inputs!$C$10^2))*A99</x:f>
        <x:v>-0.025555555555555557</x:v>
      </x:c>
      <x:c r="N99" s="40" t="n">
        <x:f>M99*Inputs!$C$11</x:f>
        <x:v>-0.10222222222222223</x:v>
      </x:c>
      <x:c r="O99" s="40" t="n">
        <x:f>1000*((A99*Inputs!$C$11)+(B99*N99))/D99</x:f>
        <x:v>-216.66824695682254</x:v>
      </x:c>
      <x:c r="P99" s="40" t="n">
        <x:f>-2*O99/Inputs!$C$13</x:f>
        <x:v>86.66729878272902</x:v>
      </x:c>
      <x:c r="Q99" s="40" t="n">
        <x:f>-2*O99/Inputs!$C$14</x:f>
        <x:v>13.013107925334689</x:v>
      </x:c>
      <x:c r="R99" s="40" t="n">
        <x:f>F99-Inputs!$C$16/2</x:f>
        <x:v>515.9543779759451</x:v>
      </x:c>
      <x:c r="S99" s="40" t="n">
        <x:f>F99+Inputs!$C$16/2</x:f>
        <x:v>545.9543779759451</x:v>
      </x:c>
      <x:c r="T99" s="40" t="n">
        <x:f>F99-Inputs!$C$17/2</x:f>
        <x:v>380.95437797594514</x:v>
      </x:c>
      <x:c r="U99" s="40" t="n">
        <x:f>F99+Inputs!$C$17/2</x:f>
        <x:v>680.9543779759451</x:v>
      </x:c>
      <x:c r="V99" s="40" t="n">
        <x:f>ABS(P99)</x:f>
        <x:v>86.66729878272902</x:v>
      </x:c>
      <x:c r="W99" s="40" t="n">
        <x:f>ABS(Q99)</x:f>
        <x:v>13.013107925334689</x:v>
      </x:c>
      <x:c r="X99" s="40" t="n">
        <x:f>IF(Inputs!$C$27="ON",1,0)*(Inputs!$C$28*EXP(-(((A99)-Inputs!$C$29)^2)/(2*Inputs!$C$31^2))*EXP(-(((0)-Inputs!$C$30)^2)/(2*Inputs!$C$32^2))+-Inputs!$C$33*EXP(-(((((A99)-Inputs!$C$34)^2)+(((0)-Inputs!$C$35)^2))/(2*Inputs!$C$36^2)))+Inputs!$C$37*(0.55*SIN(2*PI()*(A99)/Inputs!$C$39)+0.35*COS(2*PI()*(0)/Inputs!$C$40)+0.2*SIN(2*PI()*((A99)+(0))/(0.5*(Inputs!$C$39+Inputs!$C$40))))+Inputs!$C$38*SIN(2*PI()*(A99)/Inputs!$C$39)*SIN(2*PI()*(0)/Inputs!$C$40)+-Inputs!$C$41*EXP(-(((0)-Inputs!$C$43)^2)/(2*Inputs!$C$44^2))*EXP(-(((A99)-Inputs!$C$42)^2)/(2*Inputs!$C$45^2)))</x:f>
        <x:v>-20.981600228168553</x:v>
      </x:c>
      <x:c r="Y99" s="40" t="n">
        <x:f>IF(Inputs!$C$27="ON",1,0)*(Inputs!$C$28*EXP(-(((A99)-Inputs!$C$29)^2)/(2*Inputs!$C$31^2))*EXP(-(((Inputs!$C$6)-Inputs!$C$30)^2)/(2*Inputs!$C$32^2))+-Inputs!$C$33*EXP(-(((((A99)-Inputs!$C$34)^2)+(((Inputs!$C$6)-Inputs!$C$35)^2))/(2*Inputs!$C$36^2)))+Inputs!$C$37*(0.55*SIN(2*PI()*(A99)/Inputs!$C$39)+0.35*COS(2*PI()*(Inputs!$C$6)/Inputs!$C$40)+0.2*SIN(2*PI()*((A99)+(Inputs!$C$6))/(0.5*(Inputs!$C$39+Inputs!$C$40))))+Inputs!$C$38*SIN(2*PI()*(A99)/Inputs!$C$39)*SIN(2*PI()*(Inputs!$C$6)/Inputs!$C$40)+-Inputs!$C$41*EXP(-(((Inputs!$C$6)-Inputs!$C$43)^2)/(2*Inputs!$C$44^2))*EXP(-(((A99)-Inputs!$C$42)^2)/(2*Inputs!$C$45^2)))</x:f>
        <x:v>351.36105869256494</x:v>
      </x:c>
      <x:c r="Z99" s="40" t="n">
        <x:f>B99-X99/1000</x:f>
        <x:v>400.16792604467264</x:v>
      </x:c>
      <x:c r="AA99" s="40" t="n">
        <x:f>SQRT(A99^2+Inputs!$C$6^2+(B99-Y99/1000)^2)</x:f>
        <x:v>400.7415108205708</x:v>
      </x:c>
      <x:c r="AB99" s="40" t="n">
        <x:f>(AA99-Z99)*1000</x:f>
        <x:v>573.5847758981549</x:v>
      </x:c>
      <x:c r="AC99" s="40" t="n">
        <x:f>AB99/Inputs!$C$12</x:f>
        <x:v>322.23863814503085</x:v>
      </x:c>
      <x:c r="AD99" s="40" t="n">
        <x:f>2*AB99/Inputs!$C$21*1000000</x:f>
        <x:v>3.826545735838057</x:v>
      </x:c>
      <x:c r="AE99" s="40" t="n">
        <x:f>DEGREES(ATAN(H99/(B99-Y99/1000)))</x:f>
        <x:v>3.937493407744183</x:v>
      </x:c>
      <x:c r="AF99" s="40" t="n">
        <x:f>DEGREES((2*PI()/Inputs!$C$13)*Inputs!$C$15*SIN(RADIANS(AE99)))</x:f>
        <x:v>24.72053187578023</x:v>
      </x:c>
      <x:c r="AG99" s="40" t="n">
        <x:f>(Z99/AA99)^4</x:f>
        <x:v>0.9942870456905535</x:v>
      </x:c>
      <x:c r="AH99" s="40" t="n">
        <x:f>10*LOG10(AG99)</x:f>
        <x:v>-0.0248821885919559</x:v>
      </x:c>
      <x:c r="AI99" s="40" t="n">
        <x:f>AC99-F99</x:f>
        <x:v>-208.7157398309143</x:v>
      </x:c>
      <x:c r="AJ99" s="40" t="n">
        <x:f>AD99-G99</x:f>
        <x:v>-2.4784747380071015</x:v>
      </x:c>
      <x:c r="AK99" s="40" t="n">
        <x:f>Y99-X99</x:f>
        <x:v>372.34265892073347</x:v>
      </x:c>
      <x:c r="AL99" s="40" t="n">
        <x:f>1000*(AA100-AA98)/(A100-A98)*Inputs!$C$11</x:f>
        <x:v>-217.11446793005962</x:v>
      </x:c>
      <x:c r="AM99" s="40" t="n">
        <x:f>-2*AL99/Inputs!$C$13</x:f>
        <x:v>86.84578717202385</x:v>
      </x:c>
      <x:c r="AN99" s="40" t="n">
        <x:f>-2*AL99/Inputs!$C$14</x:f>
        <x:v>13.039907983787366</x:v>
      </x:c>
      <x:c r="AO99" s="40" t="n">
        <x:f>ABS(AM99)</x:f>
        <x:v>86.84578717202385</x:v>
      </x:c>
      <x:c r="AP99" s="40" t="n">
        <x:f>ABS(AN99)</x:f>
        <x:v>13.039907983787366</x:v>
      </x:c>
      <x:c r="AQ99" s="40" t="n">
        <x:f>IF(Inputs!$C$27="ON",Inputs!$C$46/Inputs!$C$12,0)</x:f>
        <x:v>42.13483146067416</x:v>
      </x:c>
      <x:c r="AR99" s="40" t="n">
        <x:f>AC99-AQ99</x:f>
        <x:v>280.1038066843567</x:v>
      </x:c>
      <x:c r="AS99" s="40" t="n">
        <x:f>AC99+AQ99</x:f>
        <x:v>364.373469605705</x:v>
      </x:c>
    </x:row>
    <x:row r="100">
      <x:c r="A100" s="40" t="n">
        <x:f>Inputs!$C$7+98*(Inputs!$C$8-Inputs!$C$7)/240</x:f>
        <x:v>-11</x:v>
      </x:c>
      <x:c r="B100" s="40" t="n">
        <x:f>Inputs!$C$5+Inputs!$C$9*(A100/Inputs!$C$10)^2</x:f>
        <x:v>400.13444444444445</x:v>
      </x:c>
      <x:c r="C100" s="40" t="n">
        <x:f>B100</x:f>
        <x:v>400.13444444444445</x:v>
      </x:c>
      <x:c r="D100" s="40" t="n">
        <x:f>SQRT(A100^2+Inputs!$C$6^2+B100^2)</x:f>
        <x:v>401.0655477984418</x:v>
      </x:c>
      <x:c r="E100" s="40" t="n">
        <x:f>(D100-C100)*1000</x:f>
        <x:v>931.1033539973437</x:v>
      </x:c>
      <x:c r="F100" s="40" t="n">
        <x:f>E100/Inputs!$C$12</x:f>
        <x:v>523.09177190862</x:v>
      </x:c>
      <x:c r="G100" s="40" t="n">
        <x:f>2*E100/Inputs!$C$21*1000000</x:f>
        <x:v>6.211652956241772</x:v>
      </x:c>
      <x:c r="H100" s="40" t="n">
        <x:f>SQRT(A100^2+Inputs!$C$6^2)</x:f>
        <x:v>27.313000567495326</x:v>
      </x:c>
      <x:c r="I100" s="40" t="n">
        <x:f>DEGREES(ATAN(H100/B100))</x:f>
        <x:v>3.904927307448456</x:v>
      </x:c>
      <x:c r="J100" s="40" t="n">
        <x:f>DEGREES((2*PI()/Inputs!$C$13)*Inputs!$C$15*SIN(RADIANS(I100)))</x:f>
        <x:v>24.516392041831022</x:v>
      </x:c>
      <x:c r="K100" s="40" t="n">
        <x:f>(C100/D100)^4</x:f>
        <x:v>0.9907459921549117</x:v>
      </x:c>
      <x:c r="L100" s="40" t="n">
        <x:f>10*LOG10(K100)</x:f>
        <x:v>-0.0403767583306295</x:v>
      </x:c>
      <x:c r="M100" s="40" t="n">
        <x:f>2*(Inputs!$C$9/(Inputs!$C$10^2))*A100</x:f>
        <x:v>-0.024444444444444446</x:v>
      </x:c>
      <x:c r="N100" s="40" t="n">
        <x:f>M100*Inputs!$C$11</x:f>
        <x:v>-0.09777777777777778</x:v>
      </x:c>
      <x:c r="O100" s="40" t="n">
        <x:f>1000*((A100*Inputs!$C$11)+(B100*N100))/D100</x:f>
        <x:v>-207.25853229332512</x:v>
      </x:c>
      <x:c r="P100" s="40" t="n">
        <x:f>-2*O100/Inputs!$C$13</x:f>
        <x:v>82.90341291733004</x:v>
      </x:c>
      <x:c r="Q100" s="40" t="n">
        <x:f>-2*O100/Inputs!$C$14</x:f>
        <x:v>12.447959897497006</x:v>
      </x:c>
      <x:c r="R100" s="40" t="n">
        <x:f>F100-Inputs!$C$16/2</x:f>
        <x:v>508.09177190862</x:v>
      </x:c>
      <x:c r="S100" s="40" t="n">
        <x:f>F100+Inputs!$C$16/2</x:f>
        <x:v>538.09177190862</x:v>
      </x:c>
      <x:c r="T100" s="40" t="n">
        <x:f>F100-Inputs!$C$17/2</x:f>
        <x:v>373.09177190862</x:v>
      </x:c>
      <x:c r="U100" s="40" t="n">
        <x:f>F100+Inputs!$C$17/2</x:f>
        <x:v>673.09177190862</x:v>
      </x:c>
      <x:c r="V100" s="40" t="n">
        <x:f>ABS(P100)</x:f>
        <x:v>82.90341291733004</x:v>
      </x:c>
      <x:c r="W100" s="40" t="n">
        <x:f>ABS(Q100)</x:f>
        <x:v>12.447959897497006</x:v>
      </x:c>
      <x:c r="X100" s="40" t="n">
        <x:f>IF(Inputs!$C$27="ON",1,0)*(Inputs!$C$28*EXP(-(((A100)-Inputs!$C$29)^2)/(2*Inputs!$C$31^2))*EXP(-(((0)-Inputs!$C$30)^2)/(2*Inputs!$C$32^2))+-Inputs!$C$33*EXP(-(((((A100)-Inputs!$C$34)^2)+(((0)-Inputs!$C$35)^2))/(2*Inputs!$C$36^2)))+Inputs!$C$37*(0.55*SIN(2*PI()*(A100)/Inputs!$C$39)+0.35*COS(2*PI()*(0)/Inputs!$C$40)+0.2*SIN(2*PI()*((A100)+(0))/(0.5*(Inputs!$C$39+Inputs!$C$40))))+Inputs!$C$38*SIN(2*PI()*(A100)/Inputs!$C$39)*SIN(2*PI()*(0)/Inputs!$C$40)+-Inputs!$C$41*EXP(-(((0)-Inputs!$C$43)^2)/(2*Inputs!$C$44^2))*EXP(-(((A100)-Inputs!$C$42)^2)/(2*Inputs!$C$45^2)))</x:f>
        <x:v>-21.401499377504685</x:v>
      </x:c>
      <x:c r="Y100" s="40" t="n">
        <x:f>IF(Inputs!$C$27="ON",1,0)*(Inputs!$C$28*EXP(-(((A100)-Inputs!$C$29)^2)/(2*Inputs!$C$31^2))*EXP(-(((Inputs!$C$6)-Inputs!$C$30)^2)/(2*Inputs!$C$32^2))+-Inputs!$C$33*EXP(-(((((A100)-Inputs!$C$34)^2)+(((Inputs!$C$6)-Inputs!$C$35)^2))/(2*Inputs!$C$36^2)))+Inputs!$C$37*(0.55*SIN(2*PI()*(A100)/Inputs!$C$39)+0.35*COS(2*PI()*(Inputs!$C$6)/Inputs!$C$40)+0.2*SIN(2*PI()*((A100)+(Inputs!$C$6))/(0.5*(Inputs!$C$39+Inputs!$C$40))))+Inputs!$C$38*SIN(2*PI()*(A100)/Inputs!$C$39)*SIN(2*PI()*(Inputs!$C$6)/Inputs!$C$40)+-Inputs!$C$41*EXP(-(((Inputs!$C$6)-Inputs!$C$43)^2)/(2*Inputs!$C$44^2))*EXP(-(((A100)-Inputs!$C$42)^2)/(2*Inputs!$C$45^2)))</x:f>
        <x:v>350.9085805576179</x:v>
      </x:c>
      <x:c r="Z100" s="40" t="n">
        <x:f>B100-X100/1000</x:f>
        <x:v>400.155845943822</x:v>
      </x:c>
      <x:c r="AA100" s="40" t="n">
        <x:f>SQRT(A100^2+Inputs!$C$6^2+(B100-Y100/1000)^2)</x:f>
        <x:v>400.7154545907004</x:v>
      </x:c>
      <x:c r="AB100" s="40" t="n">
        <x:f>(AA100-Z100)*1000</x:f>
        <x:v>559.6086468784165</x:v>
      </x:c>
      <x:c r="AC100" s="40" t="n">
        <x:f>AB100/Inputs!$C$12</x:f>
        <x:v>314.3868802687733</x:v>
      </x:c>
      <x:c r="AD100" s="40" t="n">
        <x:f>2*AB100/Inputs!$C$21*1000000</x:f>
        <x:v>3.7333070392212235</x:v>
      </x:c>
      <x:c r="AE100" s="40" t="n">
        <x:f>DEGREES(ATAN(H100/(B100-Y100/1000)))</x:f>
        <x:v>3.9083442256711276</x:v>
      </x:c>
      <x:c r="AF100" s="40" t="n">
        <x:f>DEGREES((2*PI()/Inputs!$C$13)*Inputs!$C$15*SIN(RADIANS(AE100)))</x:f>
        <x:v>24.537811286419274</x:v>
      </x:c>
      <x:c r="AG100" s="40" t="n">
        <x:f>(Z100/AA100)^4</x:f>
        <x:v>0.9944255958052173</x:v>
      </x:c>
      <x:c r="AH100" s="40" t="n">
        <x:f>10*LOG10(AG100)</x:f>
        <x:v>-0.0242770579249366</x:v>
      </x:c>
      <x:c r="AI100" s="40" t="n">
        <x:f>AC100-F100</x:f>
        <x:v>-208.70489163984666</x:v>
      </x:c>
      <x:c r="AJ100" s="40" t="n">
        <x:f>AD100-G100</x:f>
        <x:v>-2.4783459170205484</x:v>
      </x:c>
      <x:c r="AK100" s="40" t="n">
        <x:f>Y100-X100</x:f>
        <x:v>372.3100799351226</x:v>
      </x:c>
      <x:c r="AL100" s="40" t="n">
        <x:f>1000*(AA101-AA99)/(A101-A99)*Inputs!$C$11</x:f>
        <x:v>-200.1299347641634</x:v>
      </x:c>
      <x:c r="AM100" s="40" t="n">
        <x:f>-2*AL100/Inputs!$C$13</x:f>
        <x:v>80.05197390566536</x:v>
      </x:c>
      <x:c r="AN100" s="40" t="n">
        <x:f>-2*AL100/Inputs!$C$14</x:f>
        <x:v>12.019815901751556</x:v>
      </x:c>
      <x:c r="AO100" s="40" t="n">
        <x:f>ABS(AM100)</x:f>
        <x:v>80.05197390566536</x:v>
      </x:c>
      <x:c r="AP100" s="40" t="n">
        <x:f>ABS(AN100)</x:f>
        <x:v>12.019815901751556</x:v>
      </x:c>
      <x:c r="AQ100" s="40" t="n">
        <x:f>IF(Inputs!$C$27="ON",Inputs!$C$46/Inputs!$C$12,0)</x:f>
        <x:v>42.13483146067416</x:v>
      </x:c>
      <x:c r="AR100" s="40" t="n">
        <x:f>AC100-AQ100</x:f>
        <x:v>272.2520488080992</x:v>
      </x:c>
      <x:c r="AS100" s="40" t="n">
        <x:f>AC100+AQ100</x:f>
        <x:v>356.5217117294475</x:v>
      </x:c>
    </x:row>
    <x:row r="101">
      <x:c r="A101" s="40" t="n">
        <x:f>Inputs!$C$7+99*(Inputs!$C$8-Inputs!$C$7)/240</x:f>
        <x:v>-10.5</x:v>
      </x:c>
      <x:c r="B101" s="40" t="n">
        <x:f>Inputs!$C$5+Inputs!$C$9*(A101/Inputs!$C$10)^2</x:f>
        <x:v>400.1225</x:v>
      </x:c>
      <x:c r="C101" s="40" t="n">
        <x:f>B101</x:f>
        <x:v>400.1225</x:v>
      </x:c>
      <x:c r="D101" s="40" t="n">
        <x:f>SQRT(A101^2+Inputs!$C$6^2+B101^2)</x:f>
        <x:v>401.04022866322276</x:v>
      </x:c>
      <x:c r="E101" s="40" t="n">
        <x:f>(D101-C101)*1000</x:f>
        <x:v>917.7286632227606</x:v>
      </x:c>
      <x:c r="F101" s="40" t="n">
        <x:f>E101/Inputs!$C$12</x:f>
        <x:v>515.5779006869442</x:v>
      </x:c>
      <x:c r="G101" s="40" t="n">
        <x:f>2*E101/Inputs!$C$21*1000000</x:f>
        <x:v>6.122426623706195</x:v>
      </x:c>
      <x:c r="H101" s="40" t="n">
        <x:f>SQRT(A101^2+Inputs!$C$6^2)</x:f>
        <x:v>27.115493725912497</x:v>
      </x:c>
      <x:c r="I101" s="40" t="n">
        <x:f>DEGREES(ATAN(H101/B101))</x:f>
        <x:v>3.8768916383114713</x:v>
      </x:c>
      <x:c r="J101" s="40" t="n">
        <x:f>DEGREES((2*PI()/Inputs!$C$13)*Inputs!$C$15*SIN(RADIANS(I101)))</x:f>
        <x:v>24.340644762413287</x:v>
      </x:c>
      <x:c r="K101" s="40" t="n">
        <x:f>(C101/D101)^4</x:f>
        <x:v>0.990877889588107</x:v>
      </x:c>
      <x:c r="L101" s="40" t="n">
        <x:f>10*LOG10(K101)</x:f>
        <x:v>-0.039798623115099706</x:v>
      </x:c>
      <x:c r="M101" s="40" t="n">
        <x:f>2*(Inputs!$C$9/(Inputs!$C$10^2))*A101</x:f>
        <x:v>-0.023333333333333334</x:v>
      </x:c>
      <x:c r="N101" s="40" t="n">
        <x:f>M101*Inputs!$C$11</x:f>
        <x:v>-0.09333333333333334</x:v>
      </x:c>
      <x:c r="O101" s="40" t="n">
        <x:f>1000*((A101*Inputs!$C$11)+(B101*N101))/D101</x:f>
        <x:v>-197.84740032476188</x:v>
      </x:c>
      <x:c r="P101" s="40" t="n">
        <x:f>-2*O101/Inputs!$C$13</x:f>
        <x:v>79.13896012990475</x:v>
      </x:c>
      <x:c r="Q101" s="40" t="n">
        <x:f>-2*O101/Inputs!$C$14</x:f>
        <x:v>11.882726746231945</x:v>
      </x:c>
      <x:c r="R101" s="40" t="n">
        <x:f>F101-Inputs!$C$16/2</x:f>
        <x:v>500.5779006869442</x:v>
      </x:c>
      <x:c r="S101" s="40" t="n">
        <x:f>F101+Inputs!$C$16/2</x:f>
        <x:v>530.5779006869442</x:v>
      </x:c>
      <x:c r="T101" s="40" t="n">
        <x:f>F101-Inputs!$C$17/2</x:f>
        <x:v>365.5779006869442</x:v>
      </x:c>
      <x:c r="U101" s="40" t="n">
        <x:f>F101+Inputs!$C$17/2</x:f>
        <x:v>665.5779006869442</x:v>
      </x:c>
      <x:c r="V101" s="40" t="n">
        <x:f>ABS(P101)</x:f>
        <x:v>79.13896012990475</x:v>
      </x:c>
      <x:c r="W101" s="40" t="n">
        <x:f>ABS(Q101)</x:f>
        <x:v>11.882726746231945</x:v>
      </x:c>
      <x:c r="X101" s="40" t="n">
        <x:f>IF(Inputs!$C$27="ON",1,0)*(Inputs!$C$28*EXP(-(((A101)-Inputs!$C$29)^2)/(2*Inputs!$C$31^2))*EXP(-(((0)-Inputs!$C$30)^2)/(2*Inputs!$C$32^2))+-Inputs!$C$33*EXP(-(((((A101)-Inputs!$C$34)^2)+(((0)-Inputs!$C$35)^2))/(2*Inputs!$C$36^2)))+Inputs!$C$37*(0.55*SIN(2*PI()*(A101)/Inputs!$C$39)+0.35*COS(2*PI()*(0)/Inputs!$C$40)+0.2*SIN(2*PI()*((A101)+(0))/(0.5*(Inputs!$C$39+Inputs!$C$40))))+Inputs!$C$38*SIN(2*PI()*(A101)/Inputs!$C$39)*SIN(2*PI()*(0)/Inputs!$C$40)+-Inputs!$C$41*EXP(-(((0)-Inputs!$C$43)^2)/(2*Inputs!$C$44^2))*EXP(-(((A101)-Inputs!$C$42)^2)/(2*Inputs!$C$45^2)))</x:f>
        <x:v>-23.01580102455635</x:v>
      </x:c>
      <x:c r="Y101" s="40" t="n">
        <x:f>IF(Inputs!$C$27="ON",1,0)*(Inputs!$C$28*EXP(-(((A101)-Inputs!$C$29)^2)/(2*Inputs!$C$31^2))*EXP(-(((Inputs!$C$6)-Inputs!$C$30)^2)/(2*Inputs!$C$32^2))+-Inputs!$C$33*EXP(-(((((A101)-Inputs!$C$34)^2)+(((Inputs!$C$6)-Inputs!$C$35)^2))/(2*Inputs!$C$36^2)))+Inputs!$C$37*(0.55*SIN(2*PI()*(A101)/Inputs!$C$39)+0.35*COS(2*PI()*(Inputs!$C$6)/Inputs!$C$40)+0.2*SIN(2*PI()*((A101)+(Inputs!$C$6))/(0.5*(Inputs!$C$39+Inputs!$C$40))))+Inputs!$C$38*SIN(2*PI()*(A101)/Inputs!$C$39)*SIN(2*PI()*(Inputs!$C$6)/Inputs!$C$40)+-Inputs!$C$41*EXP(-(((Inputs!$C$6)-Inputs!$C$43)^2)/(2*Inputs!$C$44^2))*EXP(-(((A101)-Inputs!$C$42)^2)/(2*Inputs!$C$45^2)))</x:f>
        <x:v>349.5509254106994</x:v>
      </x:c>
      <x:c r="Z101" s="40" t="n">
        <x:f>B101-X101/1000</x:f>
        <x:v>400.14551580102454</x:v>
      </x:c>
      <x:c r="AA101" s="40" t="n">
        <x:f>SQRT(A101^2+Inputs!$C$6^2+(B101-Y101/1000)^2)</x:f>
        <x:v>400.69147833687975</x:v>
      </x:c>
      <x:c r="AB101" s="40" t="n">
        <x:f>(AA101-Z101)*1000</x:f>
        <x:v>545.9625358552103</x:v>
      </x:c>
      <x:c r="AC101" s="40" t="n">
        <x:f>AB101/Inputs!$C$12</x:f>
        <x:v>306.72052576135405</x:v>
      </x:c>
      <x:c r="AD101" s="40" t="n">
        <x:f>2*AB101/Inputs!$C$21*1000000</x:f>
        <x:v>3.642269985692637</x:v>
      </x:c>
      <x:c r="AE101" s="40" t="n">
        <x:f>DEGREES(ATAN(H101/(B101-Y101/1000)))</x:f>
        <x:v>3.8802711391616262</x:v>
      </x:c>
      <x:c r="AF101" s="40" t="n">
        <x:f>DEGREES((2*PI()/Inputs!$C$13)*Inputs!$C$15*SIN(RADIANS(AE101)))</x:f>
        <x:v>24.36183015881733</x:v>
      </x:c>
      <x:c r="AG101" s="40" t="n">
        <x:f>(Z101/AA101)^4</x:f>
        <x:v>0.9945609255404622</x:v>
      </x:c>
      <x:c r="AH101" s="40" t="n">
        <x:f>10*LOG10(AG101)</x:f>
        <x:v>-0.023686073956828</x:v>
      </x:c>
      <x:c r="AI101" s="40" t="n">
        <x:f>AC101-F101</x:f>
        <x:v>-208.85737492559014</x:v>
      </x:c>
      <x:c r="AJ101" s="40" t="n">
        <x:f>AD101-G101</x:f>
        <x:v>-2.480156638013558</x:v>
      </x:c>
      <x:c r="AK101" s="40" t="n">
        <x:f>Y101-X101</x:f>
        <x:v>372.56672643525576</x:v>
      </x:c>
      <x:c r="AL101" s="40" t="n">
        <x:f>1000*(AA102-AA100)/(A102-A100)*Inputs!$C$11</x:f>
        <x:v>-183.92197555976963</x:v>
      </x:c>
      <x:c r="AM101" s="40" t="n">
        <x:f>-2*AL101/Inputs!$C$13</x:f>
        <x:v>73.56879022390785</x:v>
      </x:c>
      <x:c r="AN101" s="40" t="n">
        <x:f>-2*AL101/Inputs!$C$14</x:f>
        <x:v>11.046364898484663</x:v>
      </x:c>
      <x:c r="AO101" s="40" t="n">
        <x:f>ABS(AM101)</x:f>
        <x:v>73.56879022390785</x:v>
      </x:c>
      <x:c r="AP101" s="40" t="n">
        <x:f>ABS(AN101)</x:f>
        <x:v>11.046364898484663</x:v>
      </x:c>
      <x:c r="AQ101" s="40" t="n">
        <x:f>IF(Inputs!$C$27="ON",Inputs!$C$46/Inputs!$C$12,0)</x:f>
        <x:v>42.13483146067416</x:v>
      </x:c>
      <x:c r="AR101" s="40" t="n">
        <x:f>AC101-AQ101</x:f>
        <x:v>264.5856943006799</x:v>
      </x:c>
      <x:c r="AS101" s="40" t="n">
        <x:f>AC101+AQ101</x:f>
        <x:v>348.8553572220282</x:v>
      </x:c>
    </x:row>
    <x:row r="102">
      <x:c r="A102" s="40" t="n">
        <x:f>Inputs!$C$7+100*(Inputs!$C$8-Inputs!$C$7)/240</x:f>
        <x:v>-10</x:v>
      </x:c>
      <x:c r="B102" s="40" t="n">
        <x:f>Inputs!$C$5+Inputs!$C$9*(A102/Inputs!$C$10)^2</x:f>
        <x:v>400.1111111111111</x:v>
      </x:c>
      <x:c r="C102" s="40" t="n">
        <x:f>B102</x:f>
        <x:v>400.1111111111111</x:v>
      </x:c>
      <x:c r="D102" s="40" t="n">
        <x:f>SQRT(A102^2+Inputs!$C$6^2+B102^2)</x:f>
        <x:v>401.01608600474856</x:v>
      </x:c>
      <x:c r="E102" s="40" t="n">
        <x:f>(D102-C102)*1000</x:f>
        <x:v>904.9748936374726</x:v>
      </x:c>
      <x:c r="F102" s="40" t="n">
        <x:f>E102/Inputs!$C$12</x:f>
        <x:v>508.41286159408577</x:v>
      </x:c>
      <x:c r="G102" s="40" t="n">
        <x:f>2*E102/Inputs!$C$21*1000000</x:f>
        <x:v>6.037342631464549</x:v>
      </x:c>
      <x:c r="H102" s="40" t="n">
        <x:f>SQRT(A102^2+Inputs!$C$6^2)</x:f>
        <x:v>26.92582403567252</x:v>
      </x:c>
      <x:c r="I102" s="40" t="n">
        <x:f>DEGREES(ATAN(H102/B102))</x:f>
        <x:v>3.8499643269735215</x:v>
      </x:c>
      <x:c r="J102" s="40" t="n">
        <x:f>DEGREES((2*PI()/Inputs!$C$13)*Inputs!$C$15*SIN(RADIANS(I102)))</x:f>
        <x:v>24.171839961370843</x:v>
      </x:c>
      <x:c r="K102" s="40" t="n">
        <x:f>(C102/D102)^4</x:f>
        <x:v>0.9910036914764812</x:v>
      </x:c>
      <x:c r="L102" s="40" t="n">
        <x:f>10*LOG10(K102)</x:f>
        <x:v>-0.039247277701435296</x:v>
      </x:c>
      <x:c r="M102" s="40" t="n">
        <x:f>2*(Inputs!$C$9/(Inputs!$C$10^2))*A102</x:f>
        <x:v>-0.022222222222222223</x:v>
      </x:c>
      <x:c r="N102" s="40" t="n">
        <x:f>M102*Inputs!$C$11</x:f>
        <x:v>-0.08888888888888889</x:v>
      </x:c>
      <x:c r="O102" s="40" t="n">
        <x:f>1000*((A102*Inputs!$C$11)+(B102*N102))/D102</x:f>
        <x:v>-188.43491504695058</x:v>
      </x:c>
      <x:c r="P102" s="40" t="n">
        <x:f>-2*O102/Inputs!$C$13</x:f>
        <x:v>75.37396601878024</x:v>
      </x:c>
      <x:c r="Q102" s="40" t="n">
        <x:f>-2*O102/Inputs!$C$14</x:f>
        <x:v>11.317412315132168</x:v>
      </x:c>
      <x:c r="R102" s="40" t="n">
        <x:f>F102-Inputs!$C$16/2</x:f>
        <x:v>493.41286159408577</x:v>
      </x:c>
      <x:c r="S102" s="40" t="n">
        <x:f>F102+Inputs!$C$16/2</x:f>
        <x:v>523.4128615940858</x:v>
      </x:c>
      <x:c r="T102" s="40" t="n">
        <x:f>F102-Inputs!$C$17/2</x:f>
        <x:v>358.41286159408577</x:v>
      </x:c>
      <x:c r="U102" s="40" t="n">
        <x:f>F102+Inputs!$C$17/2</x:f>
        <x:v>658.4128615940858</x:v>
      </x:c>
      <x:c r="V102" s="40" t="n">
        <x:f>ABS(P102)</x:f>
        <x:v>75.37396601878024</x:v>
      </x:c>
      <x:c r="W102" s="40" t="n">
        <x:f>ABS(Q102)</x:f>
        <x:v>11.317412315132168</x:v>
      </x:c>
      <x:c r="X102" s="40" t="n">
        <x:f>IF(Inputs!$C$27="ON",1,0)*(Inputs!$C$28*EXP(-(((A102)-Inputs!$C$29)^2)/(2*Inputs!$C$31^2))*EXP(-(((0)-Inputs!$C$30)^2)/(2*Inputs!$C$32^2))+-Inputs!$C$33*EXP(-(((((A102)-Inputs!$C$34)^2)+(((0)-Inputs!$C$35)^2))/(2*Inputs!$C$36^2)))+Inputs!$C$37*(0.55*SIN(2*PI()*(A102)/Inputs!$C$39)+0.35*COS(2*PI()*(0)/Inputs!$C$40)+0.2*SIN(2*PI()*((A102)+(0))/(0.5*(Inputs!$C$39+Inputs!$C$40))))+Inputs!$C$38*SIN(2*PI()*(A102)/Inputs!$C$39)*SIN(2*PI()*(0)/Inputs!$C$40)+-Inputs!$C$41*EXP(-(((0)-Inputs!$C$43)^2)/(2*Inputs!$C$44^2))*EXP(-(((A102)-Inputs!$C$42)^2)/(2*Inputs!$C$45^2)))</x:f>
        <x:v>-25.679532522347067</x:v>
      </x:c>
      <x:c r="Y102" s="40" t="n">
        <x:f>IF(Inputs!$C$27="ON",1,0)*(Inputs!$C$28*EXP(-(((A102)-Inputs!$C$29)^2)/(2*Inputs!$C$31^2))*EXP(-(((Inputs!$C$6)-Inputs!$C$30)^2)/(2*Inputs!$C$32^2))+-Inputs!$C$33*EXP(-(((((A102)-Inputs!$C$34)^2)+(((Inputs!$C$6)-Inputs!$C$35)^2))/(2*Inputs!$C$36^2)))+Inputs!$C$37*(0.55*SIN(2*PI()*(A102)/Inputs!$C$39)+0.35*COS(2*PI()*(Inputs!$C$6)/Inputs!$C$40)+0.2*SIN(2*PI()*((A102)+(Inputs!$C$6))/(0.5*(Inputs!$C$39+Inputs!$C$40))))+Inputs!$C$38*SIN(2*PI()*(A102)/Inputs!$C$39)*SIN(2*PI()*(Inputs!$C$6)/Inputs!$C$40)+-Inputs!$C$41*EXP(-(((Inputs!$C$6)-Inputs!$C$43)^2)/(2*Inputs!$C$44^2))*EXP(-(((A102)-Inputs!$C$42)^2)/(2*Inputs!$C$45^2)))</x:f>
        <x:v>347.39655835849476</x:v>
      </x:c>
      <x:c r="Z102" s="40" t="n">
        <x:f>B102-X102/1000</x:f>
        <x:v>400.13679064363345</x:v>
      </x:c>
      <x:c r="AA102" s="40" t="n">
        <x:f>SQRT(A102^2+Inputs!$C$6^2+(B102-Y102/1000)^2)</x:f>
        <x:v>400.66947409681046</x:v>
      </x:c>
      <x:c r="AB102" s="40" t="n">
        <x:f>(AA102-Z102)*1000</x:f>
        <x:v>532.6834531770146</x:v>
      </x:c>
      <x:c r="AC102" s="40" t="n">
        <x:f>AB102/Inputs!$C$12</x:f>
        <x:v>299.260366953379</x:v>
      </x:c>
      <x:c r="AD102" s="40" t="n">
        <x:f>2*AB102/Inputs!$C$21*1000000</x:f>
        <x:v>3.5536814817203615</x:v>
      </x:c>
      <x:c r="AE102" s="40" t="n">
        <x:f>DEGREES(ATAN(H102/(B102-Y102/1000)))</x:f>
        <x:v>3.8532998895889197</x:v>
      </x:c>
      <x:c r="AF102" s="40" t="n">
        <x:f>DEGREES((2*PI()/Inputs!$C$13)*Inputs!$C$15*SIN(RADIANS(AE102)))</x:f>
        <x:v>24.19275058249133</x:v>
      </x:c>
      <x:c r="AG102" s="40" t="n">
        <x:f>(Z102/AA102)^4</x:f>
        <x:v>0.9946926617775903</x:v>
      </x:c>
      <x:c r="AH102" s="40" t="n">
        <x:f>10*LOG10(AG102)</x:f>
        <x:v>-0.023110860004219504</x:v>
      </x:c>
      <x:c r="AI102" s="40" t="n">
        <x:f>AC102-F102</x:f>
        <x:v>-209.15249464070678</x:v>
      </x:c>
      <x:c r="AJ102" s="40" t="n">
        <x:f>AD102-G102</x:f>
        <x:v>-2.4836611497441874</x:v>
      </x:c>
      <x:c r="AK102" s="40" t="n">
        <x:f>Y102-X102</x:f>
        <x:v>373.07609088084183</x:v>
      </x:c>
      <x:c r="AL102" s="40" t="n">
        <x:f>1000*(AA103-AA101)/(A103-A101)*Inputs!$C$11</x:f>
        <x:v>-168.6568847255785</x:v>
      </x:c>
      <x:c r="AM102" s="40" t="n">
        <x:f>-2*AL102/Inputs!$C$13</x:f>
        <x:v>67.4627538902314</x:v>
      </x:c>
      <x:c r="AN102" s="40" t="n">
        <x:f>-2*AL102/Inputs!$C$14</x:f>
        <x:v>10.129542626160871</x:v>
      </x:c>
      <x:c r="AO102" s="40" t="n">
        <x:f>ABS(AM102)</x:f>
        <x:v>67.4627538902314</x:v>
      </x:c>
      <x:c r="AP102" s="40" t="n">
        <x:f>ABS(AN102)</x:f>
        <x:v>10.129542626160871</x:v>
      </x:c>
      <x:c r="AQ102" s="40" t="n">
        <x:f>IF(Inputs!$C$27="ON",Inputs!$C$46/Inputs!$C$12,0)</x:f>
        <x:v>42.13483146067416</x:v>
      </x:c>
      <x:c r="AR102" s="40" t="n">
        <x:f>AC102-AQ102</x:f>
        <x:v>257.12553549270484</x:v>
      </x:c>
      <x:c r="AS102" s="40" t="n">
        <x:f>AC102+AQ102</x:f>
        <x:v>341.39519841405314</x:v>
      </x:c>
    </x:row>
    <x:row r="103">
      <x:c r="A103" s="40" t="n">
        <x:f>Inputs!$C$7+101*(Inputs!$C$8-Inputs!$C$7)/240</x:f>
        <x:v>-9.5</x:v>
      </x:c>
      <x:c r="B103" s="40" t="n">
        <x:f>Inputs!$C$5+Inputs!$C$9*(A103/Inputs!$C$10)^2</x:f>
        <x:v>400.10027777777776</x:v>
      </x:c>
      <x:c r="C103" s="40" t="n">
        <x:f>B103</x:f>
        <x:v>400.10027777777776</x:v>
      </x:c>
      <x:c r="D103" s="40" t="n">
        <x:f>SQRT(A103^2+Inputs!$C$6^2+B103^2)</x:f>
        <x:v>400.99311998818</x:v>
      </x:c>
      <x:c r="E103" s="40" t="n">
        <x:f>(D103-C103)*1000</x:f>
        <x:v>892.8422104022502</x:v>
      </x:c>
      <x:c r="F103" s="40" t="n">
        <x:f>E103/Inputs!$C$12</x:f>
        <x:v>501.5967474169945</x:v>
      </x:c>
      <x:c r="G103" s="40" t="n">
        <x:f>2*E103/Inputs!$C$21*1000000</x:f>
        <x:v>5.956402081350894</x:v>
      </x:c>
      <x:c r="H103" s="40" t="n">
        <x:f>SQRT(A103^2+Inputs!$C$6^2)</x:f>
        <x:v>26.744158240632665</x:v>
      </x:c>
      <x:c r="I103" s="40" t="n">
        <x:f>DEGREES(ATAN(H103/B103))</x:f>
        <x:v>3.8241695756954894</x:v>
      </x:c>
      <x:c r="J103" s="40" t="n">
        <x:f>DEGREES((2*PI()/Inputs!$C$13)*Inputs!$C$15*SIN(RADIANS(I103)))</x:f>
        <x:v>24.010130066350158</x:v>
      </x:c>
      <x:c r="K103" s="40" t="n">
        <x:f>(C103/D103)^4</x:f>
        <x:v>0.9911233922321975</x:v>
      </x:c>
      <x:c r="L103" s="40" t="n">
        <x:f>10*LOG10(K103)</x:f>
        <x:v>-0.0387227363823875</x:v>
      </x:c>
      <x:c r="M103" s="40" t="n">
        <x:f>2*(Inputs!$C$9/(Inputs!$C$10^2))*A103</x:f>
        <x:v>-0.021111111111111112</x:v>
      </x:c>
      <x:c r="N103" s="40" t="n">
        <x:f>M103*Inputs!$C$11</x:f>
        <x:v>-0.08444444444444445</x:v>
      </x:c>
      <x:c r="O103" s="40" t="n">
        <x:f>1000*((A103*Inputs!$C$11)+(B103*N103))/D103</x:f>
        <x:v>-179.02114051514994</x:v>
      </x:c>
      <x:c r="P103" s="40" t="n">
        <x:f>-2*O103/Inputs!$C$13</x:f>
        <x:v>71.60845620605997</x:v>
      </x:c>
      <x:c r="Q103" s="40" t="n">
        <x:f>-2*O103/Inputs!$C$14</x:f>
        <x:v>10.752020451360357</x:v>
      </x:c>
      <x:c r="R103" s="40" t="n">
        <x:f>F103-Inputs!$C$16/2</x:f>
        <x:v>486.5967474169945</x:v>
      </x:c>
      <x:c r="S103" s="40" t="n">
        <x:f>F103+Inputs!$C$16/2</x:f>
        <x:v>516.5967474169945</x:v>
      </x:c>
      <x:c r="T103" s="40" t="n">
        <x:f>F103-Inputs!$C$17/2</x:f>
        <x:v>351.5967474169945</x:v>
      </x:c>
      <x:c r="U103" s="40" t="n">
        <x:f>F103+Inputs!$C$17/2</x:f>
        <x:v>651.5967474169945</x:v>
      </x:c>
      <x:c r="V103" s="40" t="n">
        <x:f>ABS(P103)</x:f>
        <x:v>71.60845620605997</x:v>
      </x:c>
      <x:c r="W103" s="40" t="n">
        <x:f>ABS(Q103)</x:f>
        <x:v>10.752020451360357</x:v>
      </x:c>
      <x:c r="X103" s="40" t="n">
        <x:f>IF(Inputs!$C$27="ON",1,0)*(Inputs!$C$28*EXP(-(((A103)-Inputs!$C$29)^2)/(2*Inputs!$C$31^2))*EXP(-(((0)-Inputs!$C$30)^2)/(2*Inputs!$C$32^2))+-Inputs!$C$33*EXP(-(((((A103)-Inputs!$C$34)^2)+(((0)-Inputs!$C$35)^2))/(2*Inputs!$C$36^2)))+Inputs!$C$37*(0.55*SIN(2*PI()*(A103)/Inputs!$C$39)+0.35*COS(2*PI()*(0)/Inputs!$C$40)+0.2*SIN(2*PI()*((A103)+(0))/(0.5*(Inputs!$C$39+Inputs!$C$40))))+Inputs!$C$38*SIN(2*PI()*(A103)/Inputs!$C$39)*SIN(2*PI()*(0)/Inputs!$C$40)+-Inputs!$C$41*EXP(-(((0)-Inputs!$C$43)^2)/(2*Inputs!$C$44^2))*EXP(-(((A103)-Inputs!$C$42)^2)/(2*Inputs!$C$45^2)))</x:f>
        <x:v>-29.206001058736152</x:v>
      </x:c>
      <x:c r="Y103" s="40" t="n">
        <x:f>IF(Inputs!$C$27="ON",1,0)*(Inputs!$C$28*EXP(-(((A103)-Inputs!$C$29)^2)/(2*Inputs!$C$31^2))*EXP(-(((Inputs!$C$6)-Inputs!$C$30)^2)/(2*Inputs!$C$32^2))+-Inputs!$C$33*EXP(-(((((A103)-Inputs!$C$34)^2)+(((Inputs!$C$6)-Inputs!$C$35)^2))/(2*Inputs!$C$36^2)))+Inputs!$C$37*(0.55*SIN(2*PI()*(A103)/Inputs!$C$39)+0.35*COS(2*PI()*(Inputs!$C$6)/Inputs!$C$40)+0.2*SIN(2*PI()*((A103)+(Inputs!$C$6))/(0.5*(Inputs!$C$39+Inputs!$C$40))))+Inputs!$C$38*SIN(2*PI()*(A103)/Inputs!$C$39)*SIN(2*PI()*(Inputs!$C$6)/Inputs!$C$40)+-Inputs!$C$41*EXP(-(((Inputs!$C$6)-Inputs!$C$43)^2)/(2*Inputs!$C$44^2))*EXP(-(((A103)-Inputs!$C$42)^2)/(2*Inputs!$C$45^2)))</x:f>
        <x:v>344.5737517069409</x:v>
      </x:c>
      <x:c r="Z103" s="40" t="n">
        <x:f>B103-X103/1000</x:f>
        <x:v>400.1294837788365</x:v>
      </x:c>
      <x:c r="AA103" s="40" t="n">
        <x:f>SQRT(A103^2+Inputs!$C$6^2+(B103-Y103/1000)^2)</x:f>
        <x:v>400.64931411569836</x:v>
      </x:c>
      <x:c r="AB103" s="40" t="n">
        <x:f>(AA103-Z103)*1000</x:f>
        <x:v>519.830336861844</x:v>
      </x:c>
      <x:c r="AC103" s="40" t="n">
        <x:f>AB103/Inputs!$C$12</x:f>
        <x:v>292.0395150909236</x:v>
      </x:c>
      <x:c r="AD103" s="40" t="n">
        <x:f>2*AB103/Inputs!$C$21*1000000</x:f>
        <x:v>3.4679347194374315</x:v>
      </x:c>
      <x:c r="AE103" s="40" t="n">
        <x:f>DEGREES(ATAN(H103/(B103-Y103/1000)))</x:f>
        <x:v>3.8274560665833097</x:v>
      </x:c>
      <x:c r="AF103" s="40" t="n">
        <x:f>DEGREES((2*PI()/Inputs!$C$13)*Inputs!$C$15*SIN(RADIANS(AE103)))</x:f>
        <x:v>24.03073368009672</x:v>
      </x:c>
      <x:c r="AG103" s="40" t="n">
        <x:f>(Z103/AA103)^4</x:f>
        <x:v>0.9948202131166044</x:v>
      </x:c>
      <x:c r="AH103" s="40" t="n">
        <x:f>10*LOG10(AG103)</x:f>
        <x:v>-0.022553991602228998</x:v>
      </x:c>
      <x:c r="AI103" s="40" t="n">
        <x:f>AC103-F103</x:f>
        <x:v>-209.5572323260709</x:v>
      </x:c>
      <x:c r="AJ103" s="40" t="n">
        <x:f>AD103-G103</x:f>
        <x:v>-2.4884673619134623</x:v>
      </x:c>
      <x:c r="AK103" s="40" t="n">
        <x:f>Y103-X103</x:f>
        <x:v>373.7797527656771</x:v>
      </x:c>
      <x:c r="AL103" s="40" t="n">
        <x:f>1000*(AA104-AA102)/(A104-A102)*Inputs!$C$11</x:f>
        <x:v>-154.482924289141</x:v>
      </x:c>
      <x:c r="AM103" s="40" t="n">
        <x:f>-2*AL103/Inputs!$C$13</x:f>
        <x:v>61.793169715656404</x:v>
      </x:c>
      <x:c r="AN103" s="40" t="n">
        <x:f>-2*AL103/Inputs!$C$14</x:f>
        <x:v>9.278253711059522</x:v>
      </x:c>
      <x:c r="AO103" s="40" t="n">
        <x:f>ABS(AM103)</x:f>
        <x:v>61.793169715656404</x:v>
      </x:c>
      <x:c r="AP103" s="40" t="n">
        <x:f>ABS(AN103)</x:f>
        <x:v>9.278253711059522</x:v>
      </x:c>
      <x:c r="AQ103" s="40" t="n">
        <x:f>IF(Inputs!$C$27="ON",Inputs!$C$46/Inputs!$C$12,0)</x:f>
        <x:v>42.13483146067416</x:v>
      </x:c>
      <x:c r="AR103" s="40" t="n">
        <x:f>AC103-AQ103</x:f>
        <x:v>249.90468363024945</x:v>
      </x:c>
      <x:c r="AS103" s="40" t="n">
        <x:f>AC103+AQ103</x:f>
        <x:v>334.17434655159775</x:v>
      </x:c>
    </x:row>
    <x:row r="104">
      <x:c r="A104" s="40" t="n">
        <x:f>Inputs!$C$7+102*(Inputs!$C$8-Inputs!$C$7)/240</x:f>
        <x:v>-9</x:v>
      </x:c>
      <x:c r="B104" s="40" t="n">
        <x:f>Inputs!$C$5+Inputs!$C$9*(A104/Inputs!$C$10)^2</x:f>
        <x:v>400.09</x:v>
      </x:c>
      <x:c r="C104" s="40" t="n">
        <x:f>B104</x:f>
        <x:v>400.09</x:v>
      </x:c>
      <x:c r="D104" s="40" t="n">
        <x:f>SQRT(A104^2+Inputs!$C$6^2+B104^2)</x:f>
        <x:v>400.9713307706674</x:v>
      </x:c>
      <x:c r="E104" s="40" t="n">
        <x:f>(D104-C104)*1000</x:f>
        <x:v>881.3307706674323</x:v>
      </x:c>
      <x:c r="F104" s="40" t="n">
        <x:f>E104/Inputs!$C$12</x:f>
        <x:v>495.1296464423777</x:v>
      </x:c>
      <x:c r="G104" s="40" t="n">
        <x:f>2*E104/Inputs!$C$21*1000000</x:f>
        <x:v>5.879606021759441</x:v>
      </x:c>
      <x:c r="H104" s="40" t="n">
        <x:f>SQRT(A104^2+Inputs!$C$6^2)</x:f>
        <x:v>26.570660511172846</x:v>
      </x:c>
      <x:c r="I104" s="40" t="n">
        <x:f>DEGREES(ATAN(H104/B104))</x:f>
        <x:v>3.79953120706518</x:v>
      </x:c>
      <x:c r="J104" s="40" t="n">
        <x:f>DEGREES((2*PI()/Inputs!$C$13)*Inputs!$C$15*SIN(RADIANS(I104)))</x:f>
        <x:v>23.85566510612477</x:v>
      </x:c>
      <x:c r="K104" s="40" t="n">
        <x:f>(C104/D104)^4</x:f>
        <x:v>0.9912369865363565</x:v>
      </x:c>
      <x:c r="L104" s="40" t="n">
        <x:f>10*LOG10(K104)</x:f>
        <x:v>-0.0382250127590316</x:v>
      </x:c>
      <x:c r="M104" s="40" t="n">
        <x:f>2*(Inputs!$C$9/(Inputs!$C$10^2))*A104</x:f>
        <x:v>-0.02</x:v>
      </x:c>
      <x:c r="N104" s="40" t="n">
        <x:f>M104*Inputs!$C$11</x:f>
        <x:v>-0.08</x:v>
      </x:c>
      <x:c r="O104" s="40" t="n">
        <x:f>1000*((A104*Inputs!$C$11)+(B104*N104))/D104</x:f>
        <x:v>-169.6061408412668</x:v>
      </x:c>
      <x:c r="P104" s="40" t="n">
        <x:f>-2*O104/Inputs!$C$13</x:f>
        <x:v>67.84245633650673</x:v>
      </x:c>
      <x:c r="Q104" s="40" t="n">
        <x:f>-2*O104/Inputs!$C$14</x:f>
        <x:v>10.186555005481491</x:v>
      </x:c>
      <x:c r="R104" s="40" t="n">
        <x:f>F104-Inputs!$C$16/2</x:f>
        <x:v>480.1296464423777</x:v>
      </x:c>
      <x:c r="S104" s="40" t="n">
        <x:f>F104+Inputs!$C$16/2</x:f>
        <x:v>510.1296464423777</x:v>
      </x:c>
      <x:c r="T104" s="40" t="n">
        <x:f>F104-Inputs!$C$17/2</x:f>
        <x:v>345.1296464423777</x:v>
      </x:c>
      <x:c r="U104" s="40" t="n">
        <x:f>F104+Inputs!$C$17/2</x:f>
        <x:v>645.1296464423776</x:v>
      </x:c>
      <x:c r="V104" s="40" t="n">
        <x:f>ABS(P104)</x:f>
        <x:v>67.84245633650673</x:v>
      </x:c>
      <x:c r="W104" s="40" t="n">
        <x:f>ABS(Q104)</x:f>
        <x:v>10.186555005481491</x:v>
      </x:c>
      <x:c r="X104" s="40" t="n">
        <x:f>IF(Inputs!$C$27="ON",1,0)*(Inputs!$C$28*EXP(-(((A104)-Inputs!$C$29)^2)/(2*Inputs!$C$31^2))*EXP(-(((0)-Inputs!$C$30)^2)/(2*Inputs!$C$32^2))+-Inputs!$C$33*EXP(-(((((A104)-Inputs!$C$34)^2)+(((0)-Inputs!$C$35)^2))/(2*Inputs!$C$36^2)))+Inputs!$C$37*(0.55*SIN(2*PI()*(A104)/Inputs!$C$39)+0.35*COS(2*PI()*(0)/Inputs!$C$40)+0.2*SIN(2*PI()*((A104)+(0))/(0.5*(Inputs!$C$39+Inputs!$C$40))))+Inputs!$C$38*SIN(2*PI()*(A104)/Inputs!$C$39)*SIN(2*PI()*(0)/Inputs!$C$40)+-Inputs!$C$41*EXP(-(((0)-Inputs!$C$43)^2)/(2*Inputs!$C$44^2))*EXP(-(((A104)-Inputs!$C$42)^2)/(2*Inputs!$C$45^2)))</x:f>
        <x:v>-33.373710661332076</x:v>
      </x:c>
      <x:c r="Y104" s="40" t="n">
        <x:f>IF(Inputs!$C$27="ON",1,0)*(Inputs!$C$28*EXP(-(((A104)-Inputs!$C$29)^2)/(2*Inputs!$C$31^2))*EXP(-(((Inputs!$C$6)-Inputs!$C$30)^2)/(2*Inputs!$C$32^2))+-Inputs!$C$33*EXP(-(((((A104)-Inputs!$C$34)^2)+(((Inputs!$C$6)-Inputs!$C$35)^2))/(2*Inputs!$C$36^2)))+Inputs!$C$37*(0.55*SIN(2*PI()*(A104)/Inputs!$C$39)+0.35*COS(2*PI()*(Inputs!$C$6)/Inputs!$C$40)+0.2*SIN(2*PI()*((A104)+(Inputs!$C$6))/(0.5*(Inputs!$C$39+Inputs!$C$40))))+Inputs!$C$38*SIN(2*PI()*(A104)/Inputs!$C$39)*SIN(2*PI()*(Inputs!$C$6)/Inputs!$C$40)+-Inputs!$C$41*EXP(-(((Inputs!$C$6)-Inputs!$C$43)^2)/(2*Inputs!$C$44^2))*EXP(-(((A104)-Inputs!$C$42)^2)/(2*Inputs!$C$45^2)))</x:f>
        <x:v>341.2280587223236</x:v>
      </x:c>
      <x:c r="Z104" s="40" t="n">
        <x:f>B104-X104/1000</x:f>
        <x:v>400.1233737106613</x:v>
      </x:c>
      <x:c r="AA104" s="40" t="n">
        <x:f>SQRT(A104^2+Inputs!$C$6^2+(B104-Y104/1000)^2)</x:f>
        <x:v>400.6308533657382</x:v>
      </x:c>
      <x:c r="AB104" s="40" t="n">
        <x:f>(AA104-Z104)*1000</x:f>
        <x:v>507.47965507684967</x:v>
      </x:c>
      <x:c r="AC104" s="40" t="n">
        <x:f>AB104/Inputs!$C$12</x:f>
        <x:v>285.10092981845486</x:v>
      </x:c>
      <x:c r="AD104" s="40" t="n">
        <x:f>2*AB104/Inputs!$C$21*1000000</x:f>
        <x:v>3.385539839543593</x:v>
      </x:c>
      <x:c r="AE104" s="40" t="n">
        <x:f>DEGREES(ATAN(H104/(B104-Y104/1000)))</x:f>
        <x:v>3.802764998486165</x:v>
      </x:c>
      <x:c r="AF104" s="40" t="n">
        <x:f>DEGREES((2*PI()/Inputs!$C$13)*Inputs!$C$15*SIN(RADIANS(AE104)))</x:f>
        <x:v>23.875938918987558</x:v>
      </x:c>
      <x:c r="AG104" s="40" t="n">
        <x:f>(Z104/AA104)^4</x:f>
        <x:v>0.9949428135445717</x:v>
      </x:c>
      <x:c r="AH104" s="40" t="n">
        <x:f>10*LOG10(AG104)</x:f>
        <x:v>-0.0220188053644799</x:v>
      </x:c>
      <x:c r="AI104" s="40" t="n">
        <x:f>AC104-F104</x:f>
        <x:v>-210.02871662392283</x:v>
      </x:c>
      <x:c r="AJ104" s="40" t="n">
        <x:f>AD104-G104</x:f>
        <x:v>-2.4940661822158483</x:v>
      </x:c>
      <x:c r="AK104" s="40" t="n">
        <x:f>Y104-X104</x:f>
        <x:v>374.6017693836557</x:v>
      </x:c>
      <x:c r="AL104" s="40" t="n">
        <x:f>1000*(AA105-AA103)/(A105-A103)*Inputs!$C$11</x:f>
        <x:v>-141.5261138799906</x:v>
      </x:c>
      <x:c r="AM104" s="40" t="n">
        <x:f>-2*AL104/Inputs!$C$13</x:f>
        <x:v>56.610445551996236</x:v>
      </x:c>
      <x:c r="AN104" s="40" t="n">
        <x:f>-2*AL104/Inputs!$C$14</x:f>
        <x:v>8.500066899699135</x:v>
      </x:c>
      <x:c r="AO104" s="40" t="n">
        <x:f>ABS(AM104)</x:f>
        <x:v>56.610445551996236</x:v>
      </x:c>
      <x:c r="AP104" s="40" t="n">
        <x:f>ABS(AN104)</x:f>
        <x:v>8.500066899699135</x:v>
      </x:c>
      <x:c r="AQ104" s="40" t="n">
        <x:f>IF(Inputs!$C$27="ON",Inputs!$C$46/Inputs!$C$12,0)</x:f>
        <x:v>42.13483146067416</x:v>
      </x:c>
      <x:c r="AR104" s="40" t="n">
        <x:f>AC104-AQ104</x:f>
        <x:v>242.9660983577807</x:v>
      </x:c>
      <x:c r="AS104" s="40" t="n">
        <x:f>AC104+AQ104</x:f>
        <x:v>327.235761279129</x:v>
      </x:c>
    </x:row>
    <x:row r="105">
      <x:c r="A105" s="40" t="n">
        <x:f>Inputs!$C$7+103*(Inputs!$C$8-Inputs!$C$7)/240</x:f>
        <x:v>-8.5</x:v>
      </x:c>
      <x:c r="B105" s="40" t="n">
        <x:f>Inputs!$C$5+Inputs!$C$9*(A105/Inputs!$C$10)^2</x:f>
        <x:v>400.0802777777778</x:v>
      </x:c>
      <x:c r="C105" s="40" t="n">
        <x:f>B105</x:f>
        <x:v>400.0802777777778</x:v>
      </x:c>
      <x:c r="D105" s="40" t="n">
        <x:f>SQRT(A105^2+Inputs!$C$6^2+B105^2)</x:f>
        <x:v>400.9507185013438</x:v>
      </x:c>
      <x:c r="E105" s="40" t="n">
        <x:f>(D105-C105)*1000</x:f>
        <x:v>870.4407235659914</x:v>
      </x:c>
      <x:c r="F105" s="40" t="n">
        <x:f>E105/Inputs!$C$12</x:f>
        <x:v>489.01164245280415</x:v>
      </x:c>
      <x:c r="G105" s="40" t="n">
        <x:f>2*E105/Inputs!$C$21*1000000</x:f>
        <x:v>5.806955447598295</x:v>
      </x:c>
      <x:c r="H105" s="40" t="n">
        <x:f>SQRT(A105^2+Inputs!$C$6^2)</x:f>
        <x:v>26.405491853021786</x:v>
      </x:c>
      <x:c r="I105" s="40" t="n">
        <x:f>DEGREES(ATAN(H105/B105))</x:f>
        <x:v>3.776072578786574</x:v>
      </x:c>
      <x:c r="J105" s="40" t="n">
        <x:f>DEGREES((2*PI()/Inputs!$C$13)*Inputs!$C$15*SIN(RADIANS(I105)))</x:f>
        <x:v>23.708592174666432</x:v>
      </x:c>
      <x:c r="K105" s="40" t="n">
        <x:f>(C105/D105)^4</x:f>
        <x:v>0.9913444693395405</x:v>
      </x:c>
      <x:c r="L105" s="40" t="n">
        <x:f>10*LOG10(K105)</x:f>
        <x:v>-0.037754119739936</x:v>
      </x:c>
      <x:c r="M105" s="40" t="n">
        <x:f>2*(Inputs!$C$9/(Inputs!$C$10^2))*A105</x:f>
        <x:v>-0.01888888888888889</x:v>
      </x:c>
      <x:c r="N105" s="40" t="n">
        <x:f>M105*Inputs!$C$11</x:f>
        <x:v>-0.07555555555555556</x:v>
      </x:c>
      <x:c r="O105" s="40" t="n">
        <x:f>1000*((A105*Inputs!$C$11)+(B105*N105))/D105</x:f>
        <x:v>-160.18998019105862</x:v>
      </x:c>
      <x:c r="P105" s="40" t="n">
        <x:f>-2*O105/Inputs!$C$13</x:f>
        <x:v>64.07599207642345</x:v>
      </x:c>
      <x:c r="Q105" s="40" t="n">
        <x:f>-2*O105/Inputs!$C$14</x:f>
        <x:v>9.621019831294813</x:v>
      </x:c>
      <x:c r="R105" s="40" t="n">
        <x:f>F105-Inputs!$C$16/2</x:f>
        <x:v>474.01164245280415</x:v>
      </x:c>
      <x:c r="S105" s="40" t="n">
        <x:f>F105+Inputs!$C$16/2</x:f>
        <x:v>504.01164245280415</x:v>
      </x:c>
      <x:c r="T105" s="40" t="n">
        <x:f>F105-Inputs!$C$17/2</x:f>
        <x:v>339.01164245280415</x:v>
      </x:c>
      <x:c r="U105" s="40" t="n">
        <x:f>F105+Inputs!$C$17/2</x:f>
        <x:v>639.0116424528042</x:v>
      </x:c>
      <x:c r="V105" s="40" t="n">
        <x:f>ABS(P105)</x:f>
        <x:v>64.07599207642345</x:v>
      </x:c>
      <x:c r="W105" s="40" t="n">
        <x:f>ABS(Q105)</x:f>
        <x:v>9.621019831294813</x:v>
      </x:c>
      <x:c r="X105" s="40" t="n">
        <x:f>IF(Inputs!$C$27="ON",1,0)*(Inputs!$C$28*EXP(-(((A105)-Inputs!$C$29)^2)/(2*Inputs!$C$31^2))*EXP(-(((0)-Inputs!$C$30)^2)/(2*Inputs!$C$32^2))+-Inputs!$C$33*EXP(-(((((A105)-Inputs!$C$34)^2)+(((0)-Inputs!$C$35)^2))/(2*Inputs!$C$36^2)))+Inputs!$C$37*(0.55*SIN(2*PI()*(A105)/Inputs!$C$39)+0.35*COS(2*PI()*(0)/Inputs!$C$40)+0.2*SIN(2*PI()*((A105)+(0))/(0.5*(Inputs!$C$39+Inputs!$C$40))))+Inputs!$C$38*SIN(2*PI()*(A105)/Inputs!$C$39)*SIN(2*PI()*(0)/Inputs!$C$40)+-Inputs!$C$41*EXP(-(((0)-Inputs!$C$43)^2)/(2*Inputs!$C$44^2))*EXP(-(((A105)-Inputs!$C$42)^2)/(2*Inputs!$C$45^2)))</x:f>
        <x:v>-37.93462469428476</x:v>
      </x:c>
      <x:c r="Y105" s="40" t="n">
        <x:f>IF(Inputs!$C$27="ON",1,0)*(Inputs!$C$28*EXP(-(((A105)-Inputs!$C$29)^2)/(2*Inputs!$C$31^2))*EXP(-(((Inputs!$C$6)-Inputs!$C$30)^2)/(2*Inputs!$C$32^2))+-Inputs!$C$33*EXP(-(((((A105)-Inputs!$C$34)^2)+(((Inputs!$C$6)-Inputs!$C$35)^2))/(2*Inputs!$C$36^2)))+Inputs!$C$37*(0.55*SIN(2*PI()*(A105)/Inputs!$C$39)+0.35*COS(2*PI()*(Inputs!$C$6)/Inputs!$C$40)+0.2*SIN(2*PI()*((A105)+(Inputs!$C$6))/(0.5*(Inputs!$C$39+Inputs!$C$40))))+Inputs!$C$38*SIN(2*PI()*(A105)/Inputs!$C$39)*SIN(2*PI()*(Inputs!$C$6)/Inputs!$C$40)+-Inputs!$C$41*EXP(-(((Inputs!$C$6)-Inputs!$C$43)^2)/(2*Inputs!$C$44^2))*EXP(-(((A105)-Inputs!$C$42)^2)/(2*Inputs!$C$45^2)))</x:f>
        <x:v>337.5192655010854</x:v>
      </x:c>
      <x:c r="Z105" s="40" t="n">
        <x:f>B105-X105/1000</x:f>
        <x:v>400.11821240247207</x:v>
      </x:c>
      <x:c r="AA105" s="40" t="n">
        <x:f>SQRT(A105^2+Inputs!$C$6^2+(B105-Y105/1000)^2)</x:f>
        <x:v>400.61393258722836</x:v>
      </x:c>
      <x:c r="AB105" s="40" t="n">
        <x:f>(AA105-Z105)*1000</x:f>
        <x:v>495.7201847562942</x:v>
      </x:c>
      <x:c r="AC105" s="40" t="n">
        <x:f>AB105/Inputs!$C$12</x:f>
        <x:v>278.4944858181428</x:v>
      </x:c>
      <x:c r="AD105" s="40" t="n">
        <x:f>2*AB105/Inputs!$C$21*1000000</x:f>
        <x:v>3.3070890979938805</x:v>
      </x:c>
      <x:c r="AE105" s="40" t="n">
        <x:f>DEGREES(ATAN(H105/(B105-Y105/1000)))</x:f>
        <x:v>3.7792516365284006</x:v>
      </x:c>
      <x:c r="AF105" s="40" t="n">
        <x:f>DEGREES((2*PI()/Inputs!$C$13)*Inputs!$C$15*SIN(RADIANS(AE105)))</x:f>
        <x:v>23.72852338334</x:v>
      </x:c>
      <x:c r="AG105" s="40" t="n">
        <x:f>(Z105/AA105)^4</x:f>
        <x:v>0.9950595743569639</x:v>
      </x:c>
      <x:c r="AH105" s="40" t="n">
        <x:f>10*LOG10(AG105)</x:f>
        <x:v>-0.021509172040510498</x:v>
      </x:c>
      <x:c r="AI105" s="40" t="n">
        <x:f>AC105-F105</x:f>
        <x:v>-210.51715663466138</x:v>
      </x:c>
      <x:c r="AJ105" s="40" t="n">
        <x:f>AD105-G105</x:f>
        <x:v>-2.4998663496044142</x:v>
      </x:c>
      <x:c r="AK105" s="40" t="n">
        <x:f>Y105-X105</x:f>
        <x:v>375.45389019537015</x:v>
      </x:c>
      <x:c r="AL105" s="40" t="n">
        <x:f>1000*(AA106-AA104)/(A106-A104)*Inputs!$C$11</x:f>
        <x:v>-129.8861581121855</x:v>
      </x:c>
      <x:c r="AM105" s="40" t="n">
        <x:f>-2*AL105/Inputs!$C$13</x:f>
        <x:v>51.954463244874205</x:v>
      </x:c>
      <x:c r="AN105" s="40" t="n">
        <x:f>-2*AL105/Inputs!$C$14</x:f>
        <x:v>7.80097045718832</x:v>
      </x:c>
      <x:c r="AO105" s="40" t="n">
        <x:f>ABS(AM105)</x:f>
        <x:v>51.954463244874205</x:v>
      </x:c>
      <x:c r="AP105" s="40" t="n">
        <x:f>ABS(AN105)</x:f>
        <x:v>7.80097045718832</x:v>
      </x:c>
      <x:c r="AQ105" s="40" t="n">
        <x:f>IF(Inputs!$C$27="ON",Inputs!$C$46/Inputs!$C$12,0)</x:f>
        <x:v>42.13483146067416</x:v>
      </x:c>
      <x:c r="AR105" s="40" t="n">
        <x:f>AC105-AQ105</x:f>
        <x:v>236.35965435746863</x:v>
      </x:c>
      <x:c r="AS105" s="40" t="n">
        <x:f>AC105+AQ105</x:f>
        <x:v>320.6293172788169</x:v>
      </x:c>
    </x:row>
    <x:row r="106">
      <x:c r="A106" s="40" t="n">
        <x:f>Inputs!$C$7+104*(Inputs!$C$8-Inputs!$C$7)/240</x:f>
        <x:v>-8</x:v>
      </x:c>
      <x:c r="B106" s="40" t="n">
        <x:f>Inputs!$C$5+Inputs!$C$9*(A106/Inputs!$C$10)^2</x:f>
        <x:v>400.0711111111111</x:v>
      </x:c>
      <x:c r="C106" s="40" t="n">
        <x:f>B106</x:f>
        <x:v>400.0711111111111</x:v>
      </x:c>
      <x:c r="D106" s="40" t="n">
        <x:f>SQRT(A106^2+Inputs!$C$6^2+B106^2)</x:f>
        <x:v>400.93128332131806</x:v>
      </x:c>
      <x:c r="E106" s="40" t="n">
        <x:f>(D106-C106)*1000</x:f>
        <x:v>860.1722102069402</x:v>
      </x:c>
      <x:c r="F106" s="40" t="n">
        <x:f>E106/Inputs!$C$12</x:f>
        <x:v>483.24281472300015</x:v>
      </x:c>
      <x:c r="G106" s="40" t="n">
        <x:f>2*E106/Inputs!$C$21*1000000</x:f>
        <x:v>5.738451300245453</x:v>
      </x:c>
      <x:c r="H106" s="40" t="n">
        <x:f>SQRT(A106^2+Inputs!$C$6^2)</x:f>
        <x:v>26.248809496813376</x:v>
      </x:c>
      <x:c r="I106" s="40" t="n">
        <x:f>DEGREES(ATAN(H106/B106))</x:f>
        <x:v>3.75381649570681</x:v>
      </x:c>
      <x:c r="J106" s="40" t="n">
        <x:f>DEGREES((2*PI()/Inputs!$C$13)*Inputs!$C$15*SIN(RADIANS(I106)))</x:f>
        <x:v>23.56905487786457</x:v>
      </x:c>
      <x:c r="K106" s="40" t="n">
        <x:f>(C106/D106)^4</x:f>
        <x:v>0.9914458358623286</x:v>
      </x:c>
      <x:c r="L106" s="40" t="n">
        <x:f>10*LOG10(K106)</x:f>
        <x:v>-0.0373100695403817</x:v>
      </x:c>
      <x:c r="M106" s="40" t="n">
        <x:f>2*(Inputs!$C$9/(Inputs!$C$10^2))*A106</x:f>
        <x:v>-0.017777777777777778</x:v>
      </x:c>
      <x:c r="N106" s="40" t="n">
        <x:f>M106*Inputs!$C$11</x:f>
        <x:v>-0.07111111111111111</x:v>
      </x:c>
      <x:c r="O106" s="40" t="n">
        <x:f>1000*((A106*Inputs!$C$11)+(B106*N106))/D106</x:f>
        <x:v>-150.77272278132986</x:v>
      </x:c>
      <x:c r="P106" s="40" t="n">
        <x:f>-2*O106/Inputs!$C$13</x:f>
        <x:v>60.30908911253194</x:v>
      </x:c>
      <x:c r="Q106" s="40" t="n">
        <x:f>-2*O106/Inputs!$C$14</x:f>
        <x:v>9.055418785665458</x:v>
      </x:c>
      <x:c r="R106" s="40" t="n">
        <x:f>F106-Inputs!$C$16/2</x:f>
        <x:v>468.24281472300015</x:v>
      </x:c>
      <x:c r="S106" s="40" t="n">
        <x:f>F106+Inputs!$C$16/2</x:f>
        <x:v>498.24281472300015</x:v>
      </x:c>
      <x:c r="T106" s="40" t="n">
        <x:f>F106-Inputs!$C$17/2</x:f>
        <x:v>333.24281472300015</x:v>
      </x:c>
      <x:c r="U106" s="40" t="n">
        <x:f>F106+Inputs!$C$17/2</x:f>
        <x:v>633.2428147230002</x:v>
      </x:c>
      <x:c r="V106" s="40" t="n">
        <x:f>ABS(P106)</x:f>
        <x:v>60.30908911253194</x:v>
      </x:c>
      <x:c r="W106" s="40" t="n">
        <x:f>ABS(Q106)</x:f>
        <x:v>9.055418785665458</x:v>
      </x:c>
      <x:c r="X106" s="40" t="n">
        <x:f>IF(Inputs!$C$27="ON",1,0)*(Inputs!$C$28*EXP(-(((A106)-Inputs!$C$29)^2)/(2*Inputs!$C$31^2))*EXP(-(((0)-Inputs!$C$30)^2)/(2*Inputs!$C$32^2))+-Inputs!$C$33*EXP(-(((((A106)-Inputs!$C$34)^2)+(((0)-Inputs!$C$35)^2))/(2*Inputs!$C$36^2)))+Inputs!$C$37*(0.55*SIN(2*PI()*(A106)/Inputs!$C$39)+0.35*COS(2*PI()*(0)/Inputs!$C$40)+0.2*SIN(2*PI()*((A106)+(0))/(0.5*(Inputs!$C$39+Inputs!$C$40))))+Inputs!$C$38*SIN(2*PI()*(A106)/Inputs!$C$39)*SIN(2*PI()*(0)/Inputs!$C$40)+-Inputs!$C$41*EXP(-(((0)-Inputs!$C$43)^2)/(2*Inputs!$C$44^2))*EXP(-(((A106)-Inputs!$C$42)^2)/(2*Inputs!$C$45^2)))</x:f>
        <x:v>-42.62347555689617</x:v>
      </x:c>
      <x:c r="Y106" s="40" t="n">
        <x:f>IF(Inputs!$C$27="ON",1,0)*(Inputs!$C$28*EXP(-(((A106)-Inputs!$C$29)^2)/(2*Inputs!$C$31^2))*EXP(-(((Inputs!$C$6)-Inputs!$C$30)^2)/(2*Inputs!$C$32^2))+-Inputs!$C$33*EXP(-(((((A106)-Inputs!$C$34)^2)+(((Inputs!$C$6)-Inputs!$C$35)^2))/(2*Inputs!$C$36^2)))+Inputs!$C$37*(0.55*SIN(2*PI()*(A106)/Inputs!$C$39)+0.35*COS(2*PI()*(Inputs!$C$6)/Inputs!$C$40)+0.2*SIN(2*PI()*((A106)+(Inputs!$C$6))/(0.5*(Inputs!$C$39+Inputs!$C$40))))+Inputs!$C$38*SIN(2*PI()*(A106)/Inputs!$C$39)*SIN(2*PI()*(Inputs!$C$6)/Inputs!$C$40)+-Inputs!$C$41*EXP(-(((Inputs!$C$6)-Inputs!$C$43)^2)/(2*Inputs!$C$44^2))*EXP(-(((A106)-Inputs!$C$42)^2)/(2*Inputs!$C$45^2)))</x:f>
        <x:v>333.61784612102304</x:v>
      </x:c>
      <x:c r="Z106" s="40" t="n">
        <x:f>B106-X106/1000</x:f>
        <x:v>400.11373458666804</x:v>
      </x:c>
      <x:c r="AA106" s="40" t="n">
        <x:f>SQRT(A106^2+Inputs!$C$6^2+(B106-Y106/1000)^2)</x:f>
        <x:v>400.59838182621013</x:v>
      </x:c>
      <x:c r="AB106" s="40" t="n">
        <x:f>(AA106-Z106)*1000</x:f>
        <x:v>484.64723954208466</x:v>
      </x:c>
      <x:c r="AC106" s="40" t="n">
        <x:f>AB106/Inputs!$C$12</x:f>
        <x:v>272.2737300798228</x:v>
      </x:c>
      <x:c r="AD106" s="40" t="n">
        <x:f>2*AB106/Inputs!$C$21*1000000</x:f>
        <x:v>3.2332183589627506</x:v>
      </x:c>
      <x:c r="AE106" s="40" t="n">
        <x:f>DEGREES(ATAN(H106/(B106-Y106/1000)))</x:f>
        <x:v>3.756940433541403</x:v>
      </x:c>
      <x:c r="AF106" s="40" t="n">
        <x:f>DEGREES((2*PI()/Inputs!$C$13)*Inputs!$C$15*SIN(RADIANS(AE106)))</x:f>
        <x:v>23.588641011915726</x:v>
      </x:c>
      <x:c r="AG106" s="40" t="n">
        <x:f>(Z106/AA106)^4</x:f>
        <x:v>0.9951695416131836</x:v>
      </x:c>
      <x:c r="AH106" s="40" t="n">
        <x:f>10*LOG10(AG106)</x:f>
        <x:v>-0.0210292456618676</x:v>
      </x:c>
      <x:c r="AI106" s="40" t="n">
        <x:f>AC106-F106</x:f>
        <x:v>-210.96908464317733</x:v>
      </x:c>
      <x:c r="AJ106" s="40" t="n">
        <x:f>AD106-G106</x:f>
        <x:v>-2.5052329412827024</x:v>
      </x:c>
      <x:c r="AK106" s="40" t="n">
        <x:f>Y106-X106</x:f>
        <x:v>376.2413216779192</x:v>
      </x:c>
      <x:c r="AL106" s="40" t="n">
        <x:f>1000*(AA107-AA105)/(A107-A105)*Inputs!$C$11</x:f>
        <x:v>-119.63264712539967</x:v>
      </x:c>
      <x:c r="AM106" s="40" t="n">
        <x:f>-2*AL106/Inputs!$C$13</x:f>
        <x:v>47.85305885015987</x:v>
      </x:c>
      <x:c r="AN106" s="40" t="n">
        <x:f>-2*AL106/Inputs!$C$14</x:f>
        <x:v>7.185143971495476</x:v>
      </x:c>
      <x:c r="AO106" s="40" t="n">
        <x:f>ABS(AM106)</x:f>
        <x:v>47.85305885015987</x:v>
      </x:c>
      <x:c r="AP106" s="40" t="n">
        <x:f>ABS(AN106)</x:f>
        <x:v>7.185143971495476</x:v>
      </x:c>
      <x:c r="AQ106" s="40" t="n">
        <x:f>IF(Inputs!$C$27="ON",Inputs!$C$46/Inputs!$C$12,0)</x:f>
        <x:v>42.13483146067416</x:v>
      </x:c>
      <x:c r="AR106" s="40" t="n">
        <x:f>AC106-AQ106</x:f>
        <x:v>230.13889861914868</x:v>
      </x:c>
      <x:c r="AS106" s="40" t="n">
        <x:f>AC106+AQ106</x:f>
        <x:v>314.408561540497</x:v>
      </x:c>
    </x:row>
    <x:row r="107">
      <x:c r="A107" s="40" t="n">
        <x:f>Inputs!$C$7+105*(Inputs!$C$8-Inputs!$C$7)/240</x:f>
        <x:v>-7.5</x:v>
      </x:c>
      <x:c r="B107" s="40" t="n">
        <x:f>Inputs!$C$5+Inputs!$C$9*(A107/Inputs!$C$10)^2</x:f>
        <x:v>400.0625</x:v>
      </x:c>
      <x:c r="C107" s="40" t="n">
        <x:f>B107</x:f>
        <x:v>400.0625</x:v>
      </x:c>
      <x:c r="D107" s="40" t="n">
        <x:f>SQRT(A107^2+Inputs!$C$6^2+B107^2)</x:f>
        <x:v>400.91302536366914</x:v>
      </x:c>
      <x:c r="E107" s="40" t="n">
        <x:f>(D107-C107)*1000</x:f>
        <x:v>850.525363669135</x:v>
      </x:c>
      <x:c r="F107" s="40" t="n">
        <x:f>E107/Inputs!$C$12</x:f>
        <x:v>477.82323801636795</x:v>
      </x:c>
      <x:c r="G107" s="40" t="n">
        <x:f>2*E107/Inputs!$C$21*1000000</x:f>
        <x:v>5.6740944675074845</x:v>
      </x:c>
      <x:c r="H107" s="40" t="n">
        <x:f>SQRT(A107^2+Inputs!$C$6^2)</x:f>
        <x:v>26.100766272276374</x:v>
      </x:c>
      <x:c r="I107" s="40" t="n">
        <x:f>DEGREES(ATAN(H107/B107))</x:f>
        <x:v>3.7327851196426796</x:v>
      </x:c>
      <x:c r="J107" s="40" t="n">
        <x:f>DEGREES((2*PI()/Inputs!$C$13)*Inputs!$C$15*SIN(RADIANS(I107)))</x:f>
        <x:v>23.437192766426364</x:v>
      </x:c>
      <x:c r="K107" s="40" t="n">
        <x:f>(C107/D107)^4</x:f>
        <x:v>0.9915410815957869</x:v>
      </x:c>
      <x:c r="L107" s="40" t="n">
        <x:f>10*LOG10(K107)</x:f>
        <x:v>-0.0368928736816152</x:v>
      </x:c>
      <x:c r="M107" s="40" t="n">
        <x:f>2*(Inputs!$C$9/(Inputs!$C$10^2))*A107</x:f>
        <x:v>-0.016666666666666666</x:v>
      </x:c>
      <x:c r="N107" s="40" t="n">
        <x:f>M107*Inputs!$C$11</x:f>
        <x:v>-0.06666666666666667</x:v>
      </x:c>
      <x:c r="O107" s="40" t="n">
        <x:f>1000*((A107*Inputs!$C$11)+(B107*N107))/D107</x:f>
        <x:v>-141.35443287712363</x:v>
      </x:c>
      <x:c r="P107" s="40" t="n">
        <x:f>-2*O107/Inputs!$C$13</x:f>
        <x:v>56.54177315084945</x:v>
      </x:c>
      <x:c r="Q107" s="40" t="n">
        <x:f>-2*O107/Inputs!$C$14</x:f>
        <x:v>8.489755728355775</x:v>
      </x:c>
      <x:c r="R107" s="40" t="n">
        <x:f>F107-Inputs!$C$16/2</x:f>
        <x:v>462.82323801636795</x:v>
      </x:c>
      <x:c r="S107" s="40" t="n">
        <x:f>F107+Inputs!$C$16/2</x:f>
        <x:v>492.82323801636795</x:v>
      </x:c>
      <x:c r="T107" s="40" t="n">
        <x:f>F107-Inputs!$C$17/2</x:f>
        <x:v>327.82323801636795</x:v>
      </x:c>
      <x:c r="U107" s="40" t="n">
        <x:f>F107+Inputs!$C$17/2</x:f>
        <x:v>627.8232380163679</x:v>
      </x:c>
      <x:c r="V107" s="40" t="n">
        <x:f>ABS(P107)</x:f>
        <x:v>56.54177315084945</x:v>
      </x:c>
      <x:c r="W107" s="40" t="n">
        <x:f>ABS(Q107)</x:f>
        <x:v>8.489755728355775</x:v>
      </x:c>
      <x:c r="X107" s="40" t="n">
        <x:f>IF(Inputs!$C$27="ON",1,0)*(Inputs!$C$28*EXP(-(((A107)-Inputs!$C$29)^2)/(2*Inputs!$C$31^2))*EXP(-(((0)-Inputs!$C$30)^2)/(2*Inputs!$C$32^2))+-Inputs!$C$33*EXP(-(((((A107)-Inputs!$C$34)^2)+(((0)-Inputs!$C$35)^2))/(2*Inputs!$C$36^2)))+Inputs!$C$37*(0.55*SIN(2*PI()*(A107)/Inputs!$C$39)+0.35*COS(2*PI()*(0)/Inputs!$C$40)+0.2*SIN(2*PI()*((A107)+(0))/(0.5*(Inputs!$C$39+Inputs!$C$40))))+Inputs!$C$38*SIN(2*PI()*(A107)/Inputs!$C$39)*SIN(2*PI()*(0)/Inputs!$C$40)+-Inputs!$C$41*EXP(-(((0)-Inputs!$C$43)^2)/(2*Inputs!$C$44^2))*EXP(-(((A107)-Inputs!$C$42)^2)/(2*Inputs!$C$45^2)))</x:f>
        <x:v>-47.16778075132122</x:v>
      </x:c>
      <x:c r="Y107" s="40" t="n">
        <x:f>IF(Inputs!$C$27="ON",1,0)*(Inputs!$C$28*EXP(-(((A107)-Inputs!$C$29)^2)/(2*Inputs!$C$31^2))*EXP(-(((Inputs!$C$6)-Inputs!$C$30)^2)/(2*Inputs!$C$32^2))+-Inputs!$C$33*EXP(-(((((A107)-Inputs!$C$34)^2)+(((Inputs!$C$6)-Inputs!$C$35)^2))/(2*Inputs!$C$36^2)))+Inputs!$C$37*(0.55*SIN(2*PI()*(A107)/Inputs!$C$39)+0.35*COS(2*PI()*(Inputs!$C$6)/Inputs!$C$40)+0.2*SIN(2*PI()*((A107)+(Inputs!$C$6))/(0.5*(Inputs!$C$39+Inputs!$C$40))))+Inputs!$C$38*SIN(2*PI()*(A107)/Inputs!$C$39)*SIN(2*PI()*(Inputs!$C$6)/Inputs!$C$40)+-Inputs!$C$41*EXP(-(((Inputs!$C$6)-Inputs!$C$43)^2)/(2*Inputs!$C$44^2))*EXP(-(((A107)-Inputs!$C$42)^2)/(2*Inputs!$C$45^2)))</x:f>
        <x:v>329.70096433522275</x:v>
      </x:c>
      <x:c r="Z107" s="40" t="n">
        <x:f>B107-X107/1000</x:f>
        <x:v>400.1096677807513</x:v>
      </x:c>
      <x:c r="AA107" s="40" t="n">
        <x:f>SQRT(A107^2+Inputs!$C$6^2+(B107-Y107/1000)^2)</x:f>
        <x:v>400.584024425447</x:v>
      </x:c>
      <x:c r="AB107" s="40" t="n">
        <x:f>(AA107-Z107)*1000</x:f>
        <x:v>474.3566446957175</x:v>
      </x:c>
      <x:c r="AC107" s="40" t="n">
        <x:f>AB107/Inputs!$C$12</x:f>
        <x:v>266.49249702006597</x:v>
      </x:c>
      <x:c r="AD107" s="40" t="n">
        <x:f>2*AB107/Inputs!$C$21*1000000</x:f>
        <x:v>3.164566899783166</x:v>
      </x:c>
      <x:c r="AE107" s="40" t="n">
        <x:f>DEGREES(ATAN(H107/(B107-Y107/1000)))</x:f>
        <x:v>3.735855218188571</x:v>
      </x:c>
      <x:c r="AF107" s="40" t="n">
        <x:f>DEGREES((2*PI()/Inputs!$C$13)*Inputs!$C$15*SIN(RADIANS(AE107)))</x:f>
        <x:v>23.456441807674345</x:v>
      </x:c>
      <x:c r="AG107" s="40" t="n">
        <x:f>(Z107/AA107)^4</x:f>
        <x:v>0.9952717561595246</x:v>
      </x:c>
      <x:c r="AH107" s="40" t="n">
        <x:f>10*LOG10(AG107)</x:f>
        <x:v>-0.0205832017264366</x:v>
      </x:c>
      <x:c r="AI107" s="40" t="n">
        <x:f>AC107-F107</x:f>
        <x:v>-211.33074099630198</x:v>
      </x:c>
      <x:c r="AJ107" s="40" t="n">
        <x:f>AD107-G107</x:f>
        <x:v>-2.5095275677243185</x:v>
      </x:c>
      <x:c r="AK107" s="40" t="n">
        <x:f>Y107-X107</x:f>
        <x:v>376.868745086544</x:v>
      </x:c>
      <x:c r="AL107" s="40" t="n">
        <x:f>1000*(AA108-AA106)/(A108-A106)*Inputs!$C$11</x:f>
        <x:v>-110.80168104513177</x:v>
      </x:c>
      <x:c r="AM107" s="40" t="n">
        <x:f>-2*AL107/Inputs!$C$13</x:f>
        <x:v>44.32067241805271</x:v>
      </x:c>
      <x:c r="AN107" s="40" t="n">
        <x:f>-2*AL107/Inputs!$C$14</x:f>
        <x:v>6.6547556183262335</x:v>
      </x:c>
      <x:c r="AO107" s="40" t="n">
        <x:f>ABS(AM107)</x:f>
        <x:v>44.32067241805271</x:v>
      </x:c>
      <x:c r="AP107" s="40" t="n">
        <x:f>ABS(AN107)</x:f>
        <x:v>6.6547556183262335</x:v>
      </x:c>
      <x:c r="AQ107" s="40" t="n">
        <x:f>IF(Inputs!$C$27="ON",Inputs!$C$46/Inputs!$C$12,0)</x:f>
        <x:v>42.13483146067416</x:v>
      </x:c>
      <x:c r="AR107" s="40" t="n">
        <x:f>AC107-AQ107</x:f>
        <x:v>224.35766555939182</x:v>
      </x:c>
      <x:c r="AS107" s="40" t="n">
        <x:f>AC107+AQ107</x:f>
        <x:v>308.6273284807401</x:v>
      </x:c>
    </x:row>
    <x:row r="108">
      <x:c r="A108" s="40" t="n">
        <x:f>Inputs!$C$7+106*(Inputs!$C$8-Inputs!$C$7)/240</x:f>
        <x:v>-7</x:v>
      </x:c>
      <x:c r="B108" s="40" t="n">
        <x:f>Inputs!$C$5+Inputs!$C$9*(A108/Inputs!$C$10)^2</x:f>
        <x:v>400.05444444444447</x:v>
      </x:c>
      <x:c r="C108" s="40" t="n">
        <x:f>B108</x:f>
        <x:v>400.05444444444447</x:v>
      </x:c>
      <x:c r="D108" s="40" t="n">
        <x:f>SQRT(A108^2+Inputs!$C$6^2+B108^2)</x:f>
        <x:v>400.89594475343984</x:v>
      </x:c>
      <x:c r="E108" s="40" t="n">
        <x:f>(D108-C108)*1000</x:f>
        <x:v>841.5003089953643</x:v>
      </x:c>
      <x:c r="F108" s="40" t="n">
        <x:f>E108/Inputs!$C$12</x:f>
        <x:v>472.7529825816653</x:v>
      </x:c>
      <x:c r="G108" s="40" t="n">
        <x:f>2*E108/Inputs!$C$21*1000000</x:f>
        <x:v>5.6138857835800815</x:v>
      </x:c>
      <x:c r="H108" s="40" t="n">
        <x:f>SQRT(A108^2+Inputs!$C$6^2)</x:f>
        <x:v>25.96150997149434</x:v>
      </x:c>
      <x:c r="I108" s="40" t="n">
        <x:f>DEGREES(ATAN(H108/B108))</x:f>
        <x:v>3.7129998776451707</x:v>
      </x:c>
      <x:c r="J108" s="40" t="n">
        <x:f>DEGREES((2*PI()/Inputs!$C$13)*Inputs!$C$15*SIN(RADIANS(I108)))</x:f>
        <x:v>23.31314075897189</x:v>
      </x:c>
      <x:c r="K108" s="40" t="n">
        <x:f>(C108/D108)^4</x:f>
        <x:v>0.9916302023019311</x:v>
      </x:c>
      <x:c r="L108" s="40" t="n">
        <x:f>10*LOG10(K108)</x:f>
        <x:v>-0.0365025429901407</x:v>
      </x:c>
      <x:c r="M108" s="40" t="n">
        <x:f>2*(Inputs!$C$9/(Inputs!$C$10^2))*A108</x:f>
        <x:v>-0.015555555555555555</x:v>
      </x:c>
      <x:c r="N108" s="40" t="n">
        <x:f>M108*Inputs!$C$11</x:f>
        <x:v>-0.06222222222222222</x:v>
      </x:c>
      <x:c r="O108" s="40" t="n">
        <x:f>1000*((A108*Inputs!$C$11)+(B108*N108))/D108</x:f>
        <x:v>-131.93517478890897</x:v>
      </x:c>
      <x:c r="P108" s="40" t="n">
        <x:f>-2*O108/Inputs!$C$13</x:f>
        <x:v>52.77406991556359</x:v>
      </x:c>
      <x:c r="Q108" s="40" t="n">
        <x:f>-2*O108/Inputs!$C$14</x:f>
        <x:v>7.924034521856395</x:v>
      </x:c>
      <x:c r="R108" s="40" t="n">
        <x:f>F108-Inputs!$C$16/2</x:f>
        <x:v>457.7529825816653</x:v>
      </x:c>
      <x:c r="S108" s="40" t="n">
        <x:f>F108+Inputs!$C$16/2</x:f>
        <x:v>487.7529825816653</x:v>
      </x:c>
      <x:c r="T108" s="40" t="n">
        <x:f>F108-Inputs!$C$17/2</x:f>
        <x:v>322.7529825816653</x:v>
      </x:c>
      <x:c r="U108" s="40" t="n">
        <x:f>F108+Inputs!$C$17/2</x:f>
        <x:v>622.7529825816653</x:v>
      </x:c>
      <x:c r="V108" s="40" t="n">
        <x:f>ABS(P108)</x:f>
        <x:v>52.77406991556359</x:v>
      </x:c>
      <x:c r="W108" s="40" t="n">
        <x:f>ABS(Q108)</x:f>
        <x:v>7.924034521856395</x:v>
      </x:c>
      <x:c r="X108" s="40" t="n">
        <x:f>IF(Inputs!$C$27="ON",1,0)*(Inputs!$C$28*EXP(-(((A108)-Inputs!$C$29)^2)/(2*Inputs!$C$31^2))*EXP(-(((0)-Inputs!$C$30)^2)/(2*Inputs!$C$32^2))+-Inputs!$C$33*EXP(-(((((A108)-Inputs!$C$34)^2)+(((0)-Inputs!$C$35)^2))/(2*Inputs!$C$36^2)))+Inputs!$C$37*(0.55*SIN(2*PI()*(A108)/Inputs!$C$39)+0.35*COS(2*PI()*(0)/Inputs!$C$40)+0.2*SIN(2*PI()*((A108)+(0))/(0.5*(Inputs!$C$39+Inputs!$C$40))))+Inputs!$C$38*SIN(2*PI()*(A108)/Inputs!$C$39)*SIN(2*PI()*(0)/Inputs!$C$40)+-Inputs!$C$41*EXP(-(((0)-Inputs!$C$43)^2)/(2*Inputs!$C$44^2))*EXP(-(((A108)-Inputs!$C$42)^2)/(2*Inputs!$C$45^2)))</x:f>
        <x:v>-51.29819467856153</x:v>
      </x:c>
      <x:c r="Y108" s="40" t="n">
        <x:f>IF(Inputs!$C$27="ON",1,0)*(Inputs!$C$28*EXP(-(((A108)-Inputs!$C$29)^2)/(2*Inputs!$C$31^2))*EXP(-(((Inputs!$C$6)-Inputs!$C$30)^2)/(2*Inputs!$C$32^2))+-Inputs!$C$33*EXP(-(((((A108)-Inputs!$C$34)^2)+(((Inputs!$C$6)-Inputs!$C$35)^2))/(2*Inputs!$C$36^2)))+Inputs!$C$37*(0.55*SIN(2*PI()*(A108)/Inputs!$C$39)+0.35*COS(2*PI()*(Inputs!$C$6)/Inputs!$C$40)+0.2*SIN(2*PI()*((A108)+(Inputs!$C$6))/(0.5*(Inputs!$C$39+Inputs!$C$40))))+Inputs!$C$38*SIN(2*PI()*(A108)/Inputs!$C$39)*SIN(2*PI()*(Inputs!$C$6)/Inputs!$C$40)+-Inputs!$C$41*EXP(-(((Inputs!$C$6)-Inputs!$C$43)^2)/(2*Inputs!$C$44^2))*EXP(-(((A108)-Inputs!$C$42)^2)/(2*Inputs!$C$45^2)))</x:f>
        <x:v>325.9480846950745</x:v>
      </x:c>
      <x:c r="Z108" s="40" t="n">
        <x:f>B108-X108/1000</x:f>
        <x:v>400.10574263912304</x:v>
      </x:c>
      <x:c r="AA108" s="40" t="n">
        <x:f>SQRT(A108^2+Inputs!$C$6^2+(B108-Y108/1000)^2)</x:f>
        <x:v>400.57068140594885</x:v>
      </x:c>
      <x:c r="AB108" s="40" t="n">
        <x:f>(AA108-Z108)*1000</x:f>
        <x:v>464.93876682581003</x:v>
      </x:c>
      <x:c r="AC108" s="40" t="n">
        <x:f>AB108/Inputs!$C$12</x:f>
        <x:v>261.2015543965225</x:v>
      </x:c>
      <x:c r="AD108" s="40" t="n">
        <x:f>2*AB108/Inputs!$C$21*1000000</x:f>
        <x:v>3.101737581575918</x:v>
      </x:c>
      <x:c r="AE108" s="40" t="n">
        <x:f>DEGREES(ATAN(H108/(B108-Y108/1000)))</x:f>
        <x:v>3.716019065890006</x:v>
      </x:c>
      <x:c r="AF108" s="40" t="n">
        <x:f>DEGREES((2*PI()/Inputs!$C$13)*Inputs!$C$15*SIN(RADIANS(AE108)))</x:f>
        <x:v>23.332071026602005</x:v>
      </x:c>
      <x:c r="AG108" s="40" t="n">
        <x:f>(Z108/AA108)^4</x:f>
        <x:v>0.9953653131472318</x:v>
      </x:c>
      <x:c r="AH108" s="40" t="n">
        <x:f>10*LOG10(AG108)</x:f>
        <x:v>-0.0201749778049482</x:v>
      </x:c>
      <x:c r="AI108" s="40" t="n">
        <x:f>AC108-F108</x:f>
        <x:v>-211.5514281851428</x:v>
      </x:c>
      <x:c r="AJ108" s="40" t="n">
        <x:f>AD108-G108</x:f>
        <x:v>-2.5121482020041634</x:v>
      </x:c>
      <x:c r="AK108" s="40" t="n">
        <x:f>Y108-X108</x:f>
        <x:v>377.246279373636</x:v>
      </x:c>
      <x:c r="AL108" s="40" t="n">
        <x:f>1000*(AA109-AA107)/(A109-A107)*Inputs!$C$11</x:f>
        <x:v>-103.39307801291397</x:v>
      </x:c>
      <x:c r="AM108" s="40" t="n">
        <x:f>-2*AL108/Inputs!$C$13</x:f>
        <x:v>41.35723120516559</x:v>
      </x:c>
      <x:c r="AN108" s="40" t="n">
        <x:f>-2*AL108/Inputs!$C$14</x:f>
        <x:v>6.2097944752500895</x:v>
      </x:c>
      <x:c r="AO108" s="40" t="n">
        <x:f>ABS(AM108)</x:f>
        <x:v>41.35723120516559</x:v>
      </x:c>
      <x:c r="AP108" s="40" t="n">
        <x:f>ABS(AN108)</x:f>
        <x:v>6.2097944752500895</x:v>
      </x:c>
      <x:c r="AQ108" s="40" t="n">
        <x:f>IF(Inputs!$C$27="ON",Inputs!$C$46/Inputs!$C$12,0)</x:f>
        <x:v>42.13483146067416</x:v>
      </x:c>
      <x:c r="AR108" s="40" t="n">
        <x:f>AC108-AQ108</x:f>
        <x:v>219.06672293584836</x:v>
      </x:c>
      <x:c r="AS108" s="40" t="n">
        <x:f>AC108+AQ108</x:f>
        <x:v>303.33638585719666</x:v>
      </x:c>
    </x:row>
    <x:row r="109">
      <x:c r="A109" s="40" t="n">
        <x:f>Inputs!$C$7+107*(Inputs!$C$8-Inputs!$C$7)/240</x:f>
        <x:v>-6.5</x:v>
      </x:c>
      <x:c r="B109" s="40" t="n">
        <x:f>Inputs!$C$5+Inputs!$C$9*(A109/Inputs!$C$10)^2</x:f>
        <x:v>400.0469444444444</x:v>
      </x:c>
      <x:c r="C109" s="40" t="n">
        <x:f>B109</x:f>
        <x:v>400.0469444444444</x:v>
      </x:c>
      <x:c r="D109" s="40" t="n">
        <x:f>SQRT(A109^2+Inputs!$C$6^2+B109^2)</x:f>
        <x:v>400.88004160763154</x:v>
      </x:c>
      <x:c r="E109" s="40" t="n">
        <x:f>(D109-C109)*1000</x:f>
        <x:v>833.0971631871193</x:v>
      </x:c>
      <x:c r="F109" s="40" t="n">
        <x:f>E109/Inputs!$C$12</x:f>
        <x:v>468.03211415006706</x:v>
      </x:c>
      <x:c r="G109" s="40" t="n">
        <x:f>2*E109/Inputs!$C$21*1000000</x:f>
        <x:v>5.557826029013174</x:v>
      </x:c>
      <x:c r="H109" s="40" t="n">
        <x:f>SQRT(A109^2+Inputs!$C$6^2)</x:f>
        <x:v>25.83118270617898</x:v>
      </x:c>
      <x:c r="I109" s="40" t="n">
        <x:f>DEGREES(ATAN(H109/B109))</x:f>
        <x:v>3.694481369413298</x:v>
      </x:c>
      <x:c r="J109" s="40" t="n">
        <x:f>DEGREES((2*PI()/Inputs!$C$13)*Inputs!$C$15*SIN(RADIANS(I109)))</x:f>
        <x:v>23.19702855979598</x:v>
      </x:c>
      <x:c r="K109" s="40" t="n">
        <x:f>(C109/D109)^4</x:f>
        <x:v>0.9917131940141547</x:v>
      </x:c>
      <x:c r="L109" s="40" t="n">
        <x:f>10*LOG10(K109)</x:f>
        <x:v>-0.0361390875970869</x:v>
      </x:c>
      <x:c r="M109" s="40" t="n">
        <x:f>2*(Inputs!$C$9/(Inputs!$C$10^2))*A109</x:f>
        <x:v>-0.014444444444444444</x:v>
      </x:c>
      <x:c r="N109" s="40" t="n">
        <x:f>M109*Inputs!$C$11</x:f>
        <x:v>-0.057777777777777775</x:v>
      </x:c>
      <x:c r="O109" s="40" t="n">
        <x:f>1000*((A109*Inputs!$C$11)+(B109*N109))/D109</x:f>
        <x:v>-122.51501286976304</x:v>
      </x:c>
      <x:c r="P109" s="40" t="n">
        <x:f>-2*O109/Inputs!$C$13</x:f>
        <x:v>49.00600514790521</x:v>
      </x:c>
      <x:c r="Q109" s="40" t="n">
        <x:f>-2*O109/Inputs!$C$14</x:f>
        <x:v>7.358259031217</x:v>
      </x:c>
      <x:c r="R109" s="40" t="n">
        <x:f>F109-Inputs!$C$16/2</x:f>
        <x:v>453.03211415006706</x:v>
      </x:c>
      <x:c r="S109" s="40" t="n">
        <x:f>F109+Inputs!$C$16/2</x:f>
        <x:v>483.03211415006706</x:v>
      </x:c>
      <x:c r="T109" s="40" t="n">
        <x:f>F109-Inputs!$C$17/2</x:f>
        <x:v>318.03211415006706</x:v>
      </x:c>
      <x:c r="U109" s="40" t="n">
        <x:f>F109+Inputs!$C$17/2</x:f>
        <x:v>618.0321141500671</x:v>
      </x:c>
      <x:c r="V109" s="40" t="n">
        <x:f>ABS(P109)</x:f>
        <x:v>49.00600514790521</x:v>
      </x:c>
      <x:c r="W109" s="40" t="n">
        <x:f>ABS(Q109)</x:f>
        <x:v>7.358259031217</x:v>
      </x:c>
      <x:c r="X109" s="40" t="n">
        <x:f>IF(Inputs!$C$27="ON",1,0)*(Inputs!$C$28*EXP(-(((A109)-Inputs!$C$29)^2)/(2*Inputs!$C$31^2))*EXP(-(((0)-Inputs!$C$30)^2)/(2*Inputs!$C$32^2))+-Inputs!$C$33*EXP(-(((((A109)-Inputs!$C$34)^2)+(((0)-Inputs!$C$35)^2))/(2*Inputs!$C$36^2)))+Inputs!$C$37*(0.55*SIN(2*PI()*(A109)/Inputs!$C$39)+0.35*COS(2*PI()*(0)/Inputs!$C$40)+0.2*SIN(2*PI()*((A109)+(0))/(0.5*(Inputs!$C$39+Inputs!$C$40))))+Inputs!$C$38*SIN(2*PI()*(A109)/Inputs!$C$39)*SIN(2*PI()*(0)/Inputs!$C$40)+-Inputs!$C$41*EXP(-(((0)-Inputs!$C$43)^2)/(2*Inputs!$C$44^2))*EXP(-(((A109)-Inputs!$C$42)^2)/(2*Inputs!$C$45^2)))</x:f>
        <x:v>-54.75880972697523</x:v>
      </x:c>
      <x:c r="Y109" s="40" t="n">
        <x:f>IF(Inputs!$C$27="ON",1,0)*(Inputs!$C$28*EXP(-(((A109)-Inputs!$C$29)^2)/(2*Inputs!$C$31^2))*EXP(-(((Inputs!$C$6)-Inputs!$C$30)^2)/(2*Inputs!$C$32^2))+-Inputs!$C$33*EXP(-(((((A109)-Inputs!$C$34)^2)+(((Inputs!$C$6)-Inputs!$C$35)^2))/(2*Inputs!$C$36^2)))+Inputs!$C$37*(0.55*SIN(2*PI()*(A109)/Inputs!$C$39)+0.35*COS(2*PI()*(Inputs!$C$6)/Inputs!$C$40)+0.2*SIN(2*PI()*((A109)+(Inputs!$C$6))/(0.5*(Inputs!$C$39+Inputs!$C$40))))+Inputs!$C$38*SIN(2*PI()*(A109)/Inputs!$C$39)*SIN(2*PI()*(Inputs!$C$6)/Inputs!$C$40)+-Inputs!$C$41*EXP(-(((Inputs!$C$6)-Inputs!$C$43)^2)/(2*Inputs!$C$44^2))*EXP(-(((A109)-Inputs!$C$42)^2)/(2*Inputs!$C$45^2)))</x:f>
        <x:v>322.53627629652954</x:v>
      </x:c>
      <x:c r="Z109" s="40" t="n">
        <x:f>B109-X109/1000</x:f>
        <x:v>400.1017032541714</x:v>
      </x:c>
      <x:c r="AA109" s="40" t="n">
        <x:f>SQRT(A109^2+Inputs!$C$6^2+(B109-Y109/1000)^2)</x:f>
        <x:v>400.5581761559438</x:v>
      </x:c>
      <x:c r="AB109" s="40" t="n">
        <x:f>(AA109-Z109)*1000</x:f>
        <x:v>456.4729017723721</x:v>
      </x:c>
      <x:c r="AC109" s="40" t="n">
        <x:f>AB109/Inputs!$C$12</x:f>
        <x:v>256.4454504339169</x:v>
      </x:c>
      <x:c r="AD109" s="40" t="n">
        <x:f>2*AB109/Inputs!$C$21*1000000</x:f>
        <x:v>3.045259409243525</x:v>
      </x:c>
      <x:c r="AE109" s="40" t="n">
        <x:f>DEGREES(ATAN(H109/(B109-Y109/1000)))</x:f>
        <x:v>3.697454167794094</x:v>
      </x:c>
      <x:c r="AF109" s="40" t="n">
        <x:f>DEGREES((2*PI()/Inputs!$C$13)*Inputs!$C$15*SIN(RADIANS(AE109)))</x:f>
        <x:v>23.21566835426196</x:v>
      </x:c>
      <x:c r="AG109" s="40" t="n">
        <x:f>(Z109/AA109)^4</x:f>
        <x:v>0.9954494180149427</x:v>
      </x:c>
      <x:c r="AH109" s="40" t="n">
        <x:f>10*LOG10(AG109)</x:f>
        <x:v>-0.0198080297469692</x:v>
      </x:c>
      <x:c r="AI109" s="40" t="n">
        <x:f>AC109-F109</x:f>
        <x:v>-211.58666371615016</x:v>
      </x:c>
      <x:c r="AJ109" s="40" t="n">
        <x:f>AD109-G109</x:f>
        <x:v>-2.5125666197696486</x:v>
      </x:c>
      <x:c r="AK109" s="40" t="n">
        <x:f>Y109-X109</x:f>
        <x:v>377.2950860235048</x:v>
      </x:c>
      <x:c r="AL109" s="40" t="n">
        <x:f>1000*(AA110-AA108)/(A110-A108)*Inputs!$C$11</x:f>
        <x:v>-97.36832692829012</x:v>
      </x:c>
      <x:c r="AM109" s="40" t="n">
        <x:f>-2*AL109/Inputs!$C$13</x:f>
        <x:v>38.94733077131605</x:v>
      </x:c>
      <x:c r="AN109" s="40" t="n">
        <x:f>-2*AL109/Inputs!$C$14</x:f>
        <x:v>5.847947563260668</x:v>
      </x:c>
      <x:c r="AO109" s="40" t="n">
        <x:f>ABS(AM109)</x:f>
        <x:v>38.94733077131605</x:v>
      </x:c>
      <x:c r="AP109" s="40" t="n">
        <x:f>ABS(AN109)</x:f>
        <x:v>5.847947563260668</x:v>
      </x:c>
      <x:c r="AQ109" s="40" t="n">
        <x:f>IF(Inputs!$C$27="ON",Inputs!$C$46/Inputs!$C$12,0)</x:f>
        <x:v>42.13483146067416</x:v>
      </x:c>
      <x:c r="AR109" s="40" t="n">
        <x:f>AC109-AQ109</x:f>
        <x:v>214.31061897324275</x:v>
      </x:c>
      <x:c r="AS109" s="40" t="n">
        <x:f>AC109+AQ109</x:f>
        <x:v>298.58028189459105</x:v>
      </x:c>
    </x:row>
    <x:row r="110">
      <x:c r="A110" s="40" t="n">
        <x:f>Inputs!$C$7+108*(Inputs!$C$8-Inputs!$C$7)/240</x:f>
        <x:v>-6</x:v>
      </x:c>
      <x:c r="B110" s="40" t="n">
        <x:f>Inputs!$C$5+Inputs!$C$9*(A110/Inputs!$C$10)^2</x:f>
        <x:v>400.04</x:v>
      </x:c>
      <x:c r="C110" s="40" t="n">
        <x:f>B110</x:f>
        <x:v>400.04</x:v>
      </x:c>
      <x:c r="D110" s="40" t="n">
        <x:f>SQRT(A110^2+Inputs!$C$6^2+B110^2)</x:f>
        <x:v>400.86531603519904</x:v>
      </x:c>
      <x:c r="E110" s="40" t="n">
        <x:f>(D110-C110)*1000</x:f>
        <x:v>825.3160351990232</x:v>
      </x:c>
      <x:c r="F110" s="40" t="n">
        <x:f>E110/Inputs!$C$12</x:f>
        <x:v>463.6606939320355</x:v>
      </x:c>
      <x:c r="G110" s="40" t="n">
        <x:f>2*E110/Inputs!$C$21*1000000</x:f>
        <x:v>5.505915930673767</x:v>
      </x:c>
      <x:c r="H110" s="40" t="n">
        <x:f>SQRT(A110^2+Inputs!$C$6^2)</x:f>
        <x:v>25.709920264364882</x:v>
      </x:c>
      <x:c r="I110" s="40" t="n">
        <x:f>DEGREES(ATAN(H110/B110))</x:f>
        <x:v>3.6772492746351846</x:v>
      </x:c>
      <x:c r="J110" s="40" t="n">
        <x:f>DEGREES((2*PI()/Inputs!$C$13)*Inputs!$C$15*SIN(RADIANS(I110)))</x:f>
        <x:v>23.0889800761876</x:v>
      </x:c>
      <x:c r="K110" s="40" t="n">
        <x:f>(C110/D110)^4</x:f>
        <x:v>0.9917900530376442</x:v>
      </x:c>
      <x:c r="L110" s="40" t="n">
        <x:f>10*LOG10(K110)</x:f>
        <x:v>-0.03580251693755</x:v>
      </x:c>
      <x:c r="M110" s="40" t="n">
        <x:f>2*(Inputs!$C$9/(Inputs!$C$10^2))*A110</x:f>
        <x:v>-0.013333333333333332</x:v>
      </x:c>
      <x:c r="N110" s="40" t="n">
        <x:f>M110*Inputs!$C$11</x:f>
        <x:v>-0.05333333333333333</x:v>
      </x:c>
      <x:c r="O110" s="40" t="n">
        <x:f>1000*((A110*Inputs!$C$11)+(B110*N110))/D110</x:f>
        <x:v>-113.09401151254967</x:v>
      </x:c>
      <x:c r="P110" s="40" t="n">
        <x:f>-2*O110/Inputs!$C$13</x:f>
        <x:v>45.23760460501987</x:v>
      </x:c>
      <x:c r="Q110" s="40" t="n">
        <x:f>-2*O110/Inputs!$C$14</x:f>
        <x:v>6.792433123876858</x:v>
      </x:c>
      <x:c r="R110" s="40" t="n">
        <x:f>F110-Inputs!$C$16/2</x:f>
        <x:v>448.6606939320355</x:v>
      </x:c>
      <x:c r="S110" s="40" t="n">
        <x:f>F110+Inputs!$C$16/2</x:f>
        <x:v>478.6606939320355</x:v>
      </x:c>
      <x:c r="T110" s="40" t="n">
        <x:f>F110-Inputs!$C$17/2</x:f>
        <x:v>313.6606939320355</x:v>
      </x:c>
      <x:c r="U110" s="40" t="n">
        <x:f>F110+Inputs!$C$17/2</x:f>
        <x:v>613.6606939320354</x:v>
      </x:c>
      <x:c r="V110" s="40" t="n">
        <x:f>ABS(P110)</x:f>
        <x:v>45.23760460501987</x:v>
      </x:c>
      <x:c r="W110" s="40" t="n">
        <x:f>ABS(Q110)</x:f>
        <x:v>6.792433123876858</x:v>
      </x:c>
      <x:c r="X110" s="40" t="n">
        <x:f>IF(Inputs!$C$27="ON",1,0)*(Inputs!$C$28*EXP(-(((A110)-Inputs!$C$29)^2)/(2*Inputs!$C$31^2))*EXP(-(((0)-Inputs!$C$30)^2)/(2*Inputs!$C$32^2))+-Inputs!$C$33*EXP(-(((((A110)-Inputs!$C$34)^2)+(((0)-Inputs!$C$35)^2))/(2*Inputs!$C$36^2)))+Inputs!$C$37*(0.55*SIN(2*PI()*(A110)/Inputs!$C$39)+0.35*COS(2*PI()*(0)/Inputs!$C$40)+0.2*SIN(2*PI()*((A110)+(0))/(0.5*(Inputs!$C$39+Inputs!$C$40))))+Inputs!$C$38*SIN(2*PI()*(A110)/Inputs!$C$39)*SIN(2*PI()*(0)/Inputs!$C$40)+-Inputs!$C$41*EXP(-(((0)-Inputs!$C$43)^2)/(2*Inputs!$C$44^2))*EXP(-(((A110)-Inputs!$C$42)^2)/(2*Inputs!$C$45^2)))</x:f>
        <x:v>-57.317019168838485</x:v>
      </x:c>
      <x:c r="Y110" s="40" t="n">
        <x:f>IF(Inputs!$C$27="ON",1,0)*(Inputs!$C$28*EXP(-(((A110)-Inputs!$C$29)^2)/(2*Inputs!$C$31^2))*EXP(-(((Inputs!$C$6)-Inputs!$C$30)^2)/(2*Inputs!$C$32^2))+-Inputs!$C$33*EXP(-(((((A110)-Inputs!$C$34)^2)+(((Inputs!$C$6)-Inputs!$C$35)^2))/(2*Inputs!$C$36^2)))+Inputs!$C$37*(0.55*SIN(2*PI()*(A110)/Inputs!$C$39)+0.35*COS(2*PI()*(Inputs!$C$6)/Inputs!$C$40)+0.2*SIN(2*PI()*((A110)+(Inputs!$C$6))/(0.5*(Inputs!$C$39+Inputs!$C$40))))+Inputs!$C$38*SIN(2*PI()*(A110)/Inputs!$C$39)*SIN(2*PI()*(Inputs!$C$6)/Inputs!$C$40)+-Inputs!$C$41*EXP(-(((Inputs!$C$6)-Inputs!$C$43)^2)/(2*Inputs!$C$44^2))*EXP(-(((A110)-Inputs!$C$42)^2)/(2*Inputs!$C$45^2)))</x:f>
        <x:v>319.63531234666027</x:v>
      </x:c>
      <x:c r="Z110" s="40" t="n">
        <x:f>B110-X110/1000</x:f>
        <x:v>400.0973170191689</x:v>
      </x:c>
      <x:c r="AA110" s="40" t="n">
        <x:f>SQRT(A110^2+Inputs!$C$6^2+(B110-Y110/1000)^2)</x:f>
        <x:v>400.5463393242168</x:v>
      </x:c>
      <x:c r="AB110" s="40" t="n">
        <x:f>(AA110-Z110)*1000</x:f>
        <x:v>449.0223050478903</x:v>
      </x:c>
      <x:c r="AC110" s="40" t="n">
        <x:f>AB110/Inputs!$C$12</x:f>
        <x:v>252.25972193701702</x:v>
      </x:c>
      <x:c r="AD110" s="40" t="n">
        <x:f>2*AB110/Inputs!$C$21*1000000</x:f>
        <x:v>2.995554378141763</x:v>
      </x:c>
      <x:c r="AE110" s="40" t="n">
        <x:f>DEGREES(ATAN(H110/(B110-Y110/1000)))</x:f>
        <x:v>3.6801816993198506</x:v>
      </x:c>
      <x:c r="AF110" s="40" t="n">
        <x:f>DEGREES((2*PI()/Inputs!$C$13)*Inputs!$C$15*SIN(RADIANS(AE110)))</x:f>
        <x:v>23.107367079641595</x:v>
      </x:c>
      <x:c r="AG110" s="40" t="n">
        <x:f>(Z110/AA110)^4</x:f>
        <x:v>0.9955234360913443</x:v>
      </x:c>
      <x:c r="AH110" s="40" t="n">
        <x:f>10*LOG10(AG110)</x:f>
        <x:v>-0.0194851158298776</x:v>
      </x:c>
      <x:c r="AI110" s="40" t="n">
        <x:f>AC110-F110</x:f>
        <x:v>-211.40097199501847</x:v>
      </x:c>
      <x:c r="AJ110" s="40" t="n">
        <x:f>AD110-G110</x:f>
        <x:v>-2.510361552532004</x:v>
      </x:c>
      <x:c r="AK110" s="40" t="n">
        <x:f>Y110-X110</x:f>
        <x:v>376.95233151549877</x:v>
      </x:c>
      <x:c r="AL110" s="40" t="n">
        <x:f>1000*(AA111-AA109)/(A111-A109)*Inputs!$C$11</x:f>
        <x:v>-92.64943932635106</x:v>
      </x:c>
      <x:c r="AM110" s="40" t="n">
        <x:f>-2*AL110/Inputs!$C$13</x:f>
        <x:v>37.05977573054042</x:v>
      </x:c>
      <x:c r="AN110" s="40" t="n">
        <x:f>-2*AL110/Inputs!$C$14</x:f>
        <x:v>5.564530890471535</x:v>
      </x:c>
      <x:c r="AO110" s="40" t="n">
        <x:f>ABS(AM110)</x:f>
        <x:v>37.05977573054042</x:v>
      </x:c>
      <x:c r="AP110" s="40" t="n">
        <x:f>ABS(AN110)</x:f>
        <x:v>5.564530890471535</x:v>
      </x:c>
      <x:c r="AQ110" s="40" t="n">
        <x:f>IF(Inputs!$C$27="ON",Inputs!$C$46/Inputs!$C$12,0)</x:f>
        <x:v>42.13483146067416</x:v>
      </x:c>
      <x:c r="AR110" s="40" t="n">
        <x:f>AC110-AQ110</x:f>
        <x:v>210.12489047634287</x:v>
      </x:c>
      <x:c r="AS110" s="40" t="n">
        <x:f>AC110+AQ110</x:f>
        <x:v>294.3945533976912</x:v>
      </x:c>
    </x:row>
    <x:row r="111">
      <x:c r="A111" s="40" t="n">
        <x:f>Inputs!$C$7+109*(Inputs!$C$8-Inputs!$C$7)/240</x:f>
        <x:v>-5.5</x:v>
      </x:c>
      <x:c r="B111" s="40" t="n">
        <x:f>Inputs!$C$5+Inputs!$C$9*(A111/Inputs!$C$10)^2</x:f>
        <x:v>400.0336111111111</x:v>
      </x:c>
      <x:c r="C111" s="40" t="n">
        <x:f>B111</x:f>
        <x:v>400.0336111111111</x:v>
      </x:c>
      <x:c r="D111" s="40" t="n">
        <x:f>SQRT(A111^2+Inputs!$C$6^2+B111^2)</x:f>
        <x:v>400.8517681370455</x:v>
      </x:c>
      <x:c r="E111" s="40" t="n">
        <x:f>(D111-C111)*1000</x:f>
        <x:v>818.1570259343971</x:v>
      </x:c>
      <x:c r="F111" s="40" t="n">
        <x:f>E111/Inputs!$C$12</x:f>
        <x:v>459.63877861482985</x:v>
      </x:c>
      <x:c r="G111" s="40" t="n">
        <x:f>2*E111/Inputs!$C$21*1000000</x:f>
        <x:v>5.458156161716364</x:v>
      </x:c>
      <x:c r="H111" s="40" t="n">
        <x:f>SQRT(A111^2+Inputs!$C$6^2)</x:f>
        <x:v>25.59785147234041</x:v>
      </x:c>
      <x:c r="I111" s="40" t="n">
        <x:f>DEGREES(ATAN(H111/B111))</x:f>
        <x:v>3.6613222610928524</x:v>
      </x:c>
      <x:c r="J111" s="40" t="n">
        <x:f>DEGREES((2*PI()/Inputs!$C$13)*Inputs!$C$15*SIN(RADIANS(I111)))</x:f>
        <x:v>22.989112840565028</x:v>
      </x:c>
      <x:c r="K111" s="40" t="n">
        <x:f>(C111/D111)^4</x:f>
        <x:v>0.9918607759497502</x:v>
      </x:c>
      <x:c r="L111" s="40" t="n">
        <x:f>10*LOG10(K111)</x:f>
        <x:v>-0.0354928397500539</x:v>
      </x:c>
      <x:c r="M111" s="40" t="n">
        <x:f>2*(Inputs!$C$9/(Inputs!$C$10^2))*A111</x:f>
        <x:v>-0.012222222222222223</x:v>
      </x:c>
      <x:c r="N111" s="40" t="n">
        <x:f>M111*Inputs!$C$11</x:f>
        <x:v>-0.04888888888888889</x:v>
      </x:c>
      <x:c r="O111" s="40" t="n">
        <x:f>1000*((A111*Inputs!$C$11)+(B111*N111))/D111</x:f>
        <x:v>-103.67223514709379</x:v>
      </x:c>
      <x:c r="P111" s="40" t="n">
        <x:f>-2*O111/Inputs!$C$13</x:f>
        <x:v>41.46889405883751</x:v>
      </x:c>
      <x:c r="Q111" s="40" t="n">
        <x:f>-2*O111/Inputs!$C$14</x:f>
        <x:v>6.2265606694951225</x:v>
      </x:c>
      <x:c r="R111" s="40" t="n">
        <x:f>F111-Inputs!$C$16/2</x:f>
        <x:v>444.63877861482985</x:v>
      </x:c>
      <x:c r="S111" s="40" t="n">
        <x:f>F111+Inputs!$C$16/2</x:f>
        <x:v>474.63877861482985</x:v>
      </x:c>
      <x:c r="T111" s="40" t="n">
        <x:f>F111-Inputs!$C$17/2</x:f>
        <x:v>309.63877861482985</x:v>
      </x:c>
      <x:c r="U111" s="40" t="n">
        <x:f>F111+Inputs!$C$17/2</x:f>
        <x:v>609.6387786148298</x:v>
      </x:c>
      <x:c r="V111" s="40" t="n">
        <x:f>ABS(P111)</x:f>
        <x:v>41.46889405883751</x:v>
      </x:c>
      <x:c r="W111" s="40" t="n">
        <x:f>ABS(Q111)</x:f>
        <x:v>6.2265606694951225</x:v>
      </x:c>
      <x:c r="X111" s="40" t="n">
        <x:f>IF(Inputs!$C$27="ON",1,0)*(Inputs!$C$28*EXP(-(((A111)-Inputs!$C$29)^2)/(2*Inputs!$C$31^2))*EXP(-(((0)-Inputs!$C$30)^2)/(2*Inputs!$C$32^2))+-Inputs!$C$33*EXP(-(((((A111)-Inputs!$C$34)^2)+(((0)-Inputs!$C$35)^2))/(2*Inputs!$C$36^2)))+Inputs!$C$37*(0.55*SIN(2*PI()*(A111)/Inputs!$C$39)+0.35*COS(2*PI()*(0)/Inputs!$C$40)+0.2*SIN(2*PI()*((A111)+(0))/(0.5*(Inputs!$C$39+Inputs!$C$40))))+Inputs!$C$38*SIN(2*PI()*(A111)/Inputs!$C$39)*SIN(2*PI()*(0)/Inputs!$C$40)+-Inputs!$C$41*EXP(-(((0)-Inputs!$C$43)^2)/(2*Inputs!$C$44^2))*EXP(-(((A111)-Inputs!$C$42)^2)/(2*Inputs!$C$45^2)))</x:f>
        <x:v>-58.772568232620095</x:v>
      </x:c>
      <x:c r="Y111" s="40" t="n">
        <x:f>IF(Inputs!$C$27="ON",1,0)*(Inputs!$C$28*EXP(-(((A111)-Inputs!$C$29)^2)/(2*Inputs!$C$31^2))*EXP(-(((Inputs!$C$6)-Inputs!$C$30)^2)/(2*Inputs!$C$32^2))+-Inputs!$C$33*EXP(-(((((A111)-Inputs!$C$34)^2)+(((Inputs!$C$6)-Inputs!$C$35)^2))/(2*Inputs!$C$36^2)))+Inputs!$C$37*(0.55*SIN(2*PI()*(A111)/Inputs!$C$39)+0.35*COS(2*PI()*(Inputs!$C$6)/Inputs!$C$40)+0.2*SIN(2*PI()*((A111)+(Inputs!$C$6))/(0.5*(Inputs!$C$39+Inputs!$C$40))))+Inputs!$C$38*SIN(2*PI()*(A111)/Inputs!$C$39)*SIN(2*PI()*(Inputs!$C$6)/Inputs!$C$40)+-Inputs!$C$41*EXP(-(((Inputs!$C$6)-Inputs!$C$43)^2)/(2*Inputs!$C$44^2))*EXP(-(((A111)-Inputs!$C$42)^2)/(2*Inputs!$C$45^2)))</x:f>
        <x:v>317.40268736979453</x:v>
      </x:c>
      <x:c r="Z111" s="40" t="n">
        <x:f>B111-X111/1000</x:f>
        <x:v>400.0923836793437</x:v>
      </x:c>
      <x:c r="AA111" s="40" t="n">
        <x:f>SQRT(A111^2+Inputs!$C$6^2+(B111-Y111/1000)^2)</x:f>
        <x:v>400.5350137961122</x:v>
      </x:c>
      <x:c r="AB111" s="40" t="n">
        <x:f>(AA111-Z111)*1000</x:f>
        <x:v>442.6301167684983</x:v>
      </x:c>
      <x:c r="AC111" s="40" t="n">
        <x:f>AB111/Inputs!$C$12</x:f>
        <x:v>248.66860492612264</x:v>
      </x:c>
      <x:c r="AD111" s="40" t="n">
        <x:f>2*AB111/Inputs!$C$21*1000000</x:f>
        <x:v>2.9529102881467306</x:v>
      </x:c>
      <x:c r="AE111" s="40" t="n">
        <x:f>DEGREES(ATAN(H111/(B111-Y111/1000)))</x:f>
        <x:v>3.6642216899451285</x:v>
      </x:c>
      <x:c r="AF111" s="40" t="n">
        <x:f>DEGREES((2*PI()/Inputs!$C$13)*Inputs!$C$15*SIN(RADIANS(AE111)))</x:f>
        <x:v>23.00729327682062</x:v>
      </x:c>
      <x:c r="AG111" s="40" t="n">
        <x:f>(Z111/AA111)^4</x:f>
        <x:v>0.9955869332966062</x:v>
      </x:c>
      <x:c r="AH111" s="40" t="n">
        <x:f>10*LOG10(AG111)</x:f>
        <x:v>-0.019208119774863898</x:v>
      </x:c>
      <x:c r="AI111" s="40" t="n">
        <x:f>AC111-F111</x:f>
        <x:v>-210.9701736887072</x:v>
      </x:c>
      <x:c r="AJ111" s="40" t="n">
        <x:f>AD111-G111</x:f>
        <x:v>-2.505245873569633</x:v>
      </x:c>
      <x:c r="AK111" s="40" t="n">
        <x:f>Y111-X111</x:f>
        <x:v>376.1752556024146</x:v>
      </x:c>
      <x:c r="AL111" s="40" t="n">
        <x:f>1000*(AA112-AA110)/(A112-A110)*Inputs!$C$11</x:f>
        <x:v>-89.11883933751596</x:v>
      </x:c>
      <x:c r="AM111" s="40" t="n">
        <x:f>-2*AL111/Inputs!$C$13</x:f>
        <x:v>35.647535735006386</x:v>
      </x:c>
      <x:c r="AN111" s="40" t="n">
        <x:f>-2*AL111/Inputs!$C$14</x:f>
        <x:v>5.3524828430940525</x:v>
      </x:c>
      <x:c r="AO111" s="40" t="n">
        <x:f>ABS(AM111)</x:f>
        <x:v>35.647535735006386</x:v>
      </x:c>
      <x:c r="AP111" s="40" t="n">
        <x:f>ABS(AN111)</x:f>
        <x:v>5.3524828430940525</x:v>
      </x:c>
      <x:c r="AQ111" s="40" t="n">
        <x:f>IF(Inputs!$C$27="ON",Inputs!$C$46/Inputs!$C$12,0)</x:f>
        <x:v>42.13483146067416</x:v>
      </x:c>
      <x:c r="AR111" s="40" t="n">
        <x:f>AC111-AQ111</x:f>
        <x:v>206.5337734654485</x:v>
      </x:c>
      <x:c r="AS111" s="40" t="n">
        <x:f>AC111+AQ111</x:f>
        <x:v>290.8034363867968</x:v>
      </x:c>
    </x:row>
    <x:row r="112">
      <x:c r="A112" s="40" t="n">
        <x:f>Inputs!$C$7+110*(Inputs!$C$8-Inputs!$C$7)/240</x:f>
        <x:v>-5</x:v>
      </x:c>
      <x:c r="B112" s="40" t="n">
        <x:f>Inputs!$C$5+Inputs!$C$9*(A112/Inputs!$C$10)^2</x:f>
        <x:v>400.02777777777777</x:v>
      </x:c>
      <x:c r="C112" s="40" t="n">
        <x:f>B112</x:f>
        <x:v>400.02777777777777</x:v>
      </x:c>
      <x:c r="D112" s="40" t="n">
        <x:f>SQRT(A112^2+Inputs!$C$6^2+B112^2)</x:f>
        <x:v>400.8393980060183</x:v>
      </x:c>
      <x:c r="E112" s="40" t="n">
        <x:f>(D112-C112)*1000</x:f>
        <x:v>811.6202282405425</x:v>
      </x:c>
      <x:c r="F112" s="40" t="n">
        <x:f>E112/Inputs!$C$12</x:f>
        <x:v>455.9664203598553</x:v>
      </x:c>
      <x:c r="G112" s="40" t="n">
        <x:f>2*E112/Inputs!$C$21*1000000</x:f>
        <x:v>5.414547341551484</x:v>
      </x:c>
      <x:c r="H112" s="40" t="n">
        <x:f>SQRT(A112^2+Inputs!$C$6^2)</x:f>
        <x:v>25.495097567963924</x:v>
      </x:c>
      <x:c r="I112" s="40" t="n">
        <x:f>DEGREES(ATAN(H112/B112))</x:f>
        <x:v>3.646717894415093</x:v>
      </x:c>
      <x:c r="J112" s="40" t="n">
        <x:f>DEGREES((2*PI()/Inputs!$C$13)*Inputs!$C$15*SIN(RADIANS(I112)))</x:f>
        <x:v>22.897537442986597</x:v>
      </x:c>
      <x:c r="K112" s="40" t="n">
        <x:f>(C112/D112)^4</x:f>
        <x:v>0.9919253596003422</x:v>
      </x:c>
      <x:c r="L112" s="40" t="n">
        <x:f>10*LOG10(K112)</x:f>
        <x:v>-0.0352100640759975</x:v>
      </x:c>
      <x:c r="M112" s="40" t="n">
        <x:f>2*(Inputs!$C$9/(Inputs!$C$10^2))*A112</x:f>
        <x:v>-0.011111111111111112</x:v>
      </x:c>
      <x:c r="N112" s="40" t="n">
        <x:f>M112*Inputs!$C$11</x:f>
        <x:v>-0.044444444444444446</x:v>
      </x:c>
      <x:c r="O112" s="40" t="n">
        <x:f>1000*((A112*Inputs!$C$11)+(B112*N112))/D112</x:f>
        <x:v>-94.24974823735214</x:v>
      </x:c>
      <x:c r="P112" s="40" t="n">
        <x:f>-2*O112/Inputs!$C$13</x:f>
        <x:v>37.699899294940856</x:v>
      </x:c>
      <x:c r="Q112" s="40" t="n">
        <x:f>-2*O112/Inputs!$C$14</x:f>
        <x:v>5.6606455397809095</x:v>
      </x:c>
      <x:c r="R112" s="40" t="n">
        <x:f>F112-Inputs!$C$16/2</x:f>
        <x:v>440.9664203598553</x:v>
      </x:c>
      <x:c r="S112" s="40" t="n">
        <x:f>F112+Inputs!$C$16/2</x:f>
        <x:v>470.9664203598553</x:v>
      </x:c>
      <x:c r="T112" s="40" t="n">
        <x:f>F112-Inputs!$C$17/2</x:f>
        <x:v>305.9664203598553</x:v>
      </x:c>
      <x:c r="U112" s="40" t="n">
        <x:f>F112+Inputs!$C$17/2</x:f>
        <x:v>605.9664203598553</x:v>
      </x:c>
      <x:c r="V112" s="40" t="n">
        <x:f>ABS(P112)</x:f>
        <x:v>37.699899294940856</x:v>
      </x:c>
      <x:c r="W112" s="40" t="n">
        <x:f>ABS(Q112)</x:f>
        <x:v>5.6606455397809095</x:v>
      </x:c>
      <x:c r="X112" s="40" t="n">
        <x:f>IF(Inputs!$C$27="ON",1,0)*(Inputs!$C$28*EXP(-(((A112)-Inputs!$C$29)^2)/(2*Inputs!$C$31^2))*EXP(-(((0)-Inputs!$C$30)^2)/(2*Inputs!$C$32^2))+-Inputs!$C$33*EXP(-(((((A112)-Inputs!$C$34)^2)+(((0)-Inputs!$C$35)^2))/(2*Inputs!$C$36^2)))+Inputs!$C$37*(0.55*SIN(2*PI()*(A112)/Inputs!$C$39)+0.35*COS(2*PI()*(0)/Inputs!$C$40)+0.2*SIN(2*PI()*((A112)+(0))/(0.5*(Inputs!$C$39+Inputs!$C$40))))+Inputs!$C$38*SIN(2*PI()*(A112)/Inputs!$C$39)*SIN(2*PI()*(0)/Inputs!$C$40)+-Inputs!$C$41*EXP(-(((0)-Inputs!$C$43)^2)/(2*Inputs!$C$44^2))*EXP(-(((A112)-Inputs!$C$42)^2)/(2*Inputs!$C$45^2)))</x:f>
        <x:v>-58.965448037333864</x:v>
      </x:c>
      <x:c r="Y112" s="40" t="n">
        <x:f>IF(Inputs!$C$27="ON",1,0)*(Inputs!$C$28*EXP(-(((A112)-Inputs!$C$29)^2)/(2*Inputs!$C$31^2))*EXP(-(((Inputs!$C$6)-Inputs!$C$30)^2)/(2*Inputs!$C$32^2))+-Inputs!$C$33*EXP(-(((((A112)-Inputs!$C$34)^2)+(((Inputs!$C$6)-Inputs!$C$35)^2))/(2*Inputs!$C$36^2)))+Inputs!$C$37*(0.55*SIN(2*PI()*(A112)/Inputs!$C$39)+0.35*COS(2*PI()*(Inputs!$C$6)/Inputs!$C$40)+0.2*SIN(2*PI()*((A112)+(Inputs!$C$6))/(0.5*(Inputs!$C$39+Inputs!$C$40))))+Inputs!$C$38*SIN(2*PI()*(A112)/Inputs!$C$39)*SIN(2*PI()*(Inputs!$C$6)/Inputs!$C$40)+-Inputs!$C$41*EXP(-(((Inputs!$C$6)-Inputs!$C$43)^2)/(2*Inputs!$C$44^2))*EXP(-(((A112)-Inputs!$C$42)^2)/(2*Inputs!$C$45^2)))</x:f>
        <x:v>315.9786900033575</x:v>
      </x:c>
      <x:c r="Z112" s="40" t="n">
        <x:f>B112-X112/1000</x:f>
        <x:v>400.0867432258151</x:v>
      </x:c>
      <x:c r="AA112" s="40" t="n">
        <x:f>SQRT(A112^2+Inputs!$C$6^2+(B112-Y112/1000)^2)</x:f>
        <x:v>400.5240596143824</x:v>
      </x:c>
      <x:c r="AB112" s="40" t="n">
        <x:f>(AA112-Z112)*1000</x:f>
        <x:v>437.3163885672966</x:v>
      </x:c>
      <x:c r="AC112" s="40" t="n">
        <x:f>AB112/Inputs!$C$12</x:f>
        <x:v>245.68336436364976</x:v>
      </x:c>
      <x:c r="AD112" s="40" t="n">
        <x:f>2*AB112/Inputs!$C$21*1000000</x:f>
        <x:v>2.9174609093554755</x:v>
      </x:c>
      <x:c r="AE112" s="40" t="n">
        <x:f>DEGREES(ATAN(H112/(B112-Y112/1000)))</x:f>
        <x:v>3.649592896040231</x:v>
      </x:c>
      <x:c r="AF112" s="40" t="n">
        <x:f>DEGREES((2*PI()/Inputs!$C$13)*Inputs!$C$15*SIN(RADIANS(AE112)))</x:f>
        <x:v>22.91556500576684</x:v>
      </x:c>
      <x:c r="AG112" s="40" t="n">
        <x:f>(Z112/AA112)^4</x:f>
        <x:v>0.9956397058645733</x:v>
      </x:c>
      <x:c r="AH112" s="40" t="n">
        <x:f>10*LOG10(AG112)</x:f>
        <x:v>-0.0189779216184251</x:v>
      </x:c>
      <x:c r="AI112" s="40" t="n">
        <x:f>AC112-F112</x:f>
        <x:v>-210.28305599620555</x:v>
      </x:c>
      <x:c r="AJ112" s="40" t="n">
        <x:f>AD112-G112</x:f>
        <x:v>-2.4970864321960082</x:v>
      </x:c>
      <x:c r="AK112" s="40" t="n">
        <x:f>Y112-X112</x:f>
        <x:v>374.94413804069137</x:v>
      </x:c>
      <x:c r="AL112" s="40" t="n">
        <x:f>1000*(AA113-AA111)/(A113-A111)*Inputs!$C$11</x:f>
        <x:v>-86.6204064059275</x:v>
      </x:c>
      <x:c r="AM112" s="40" t="n">
        <x:f>-2*AL112/Inputs!$C$13</x:f>
        <x:v>34.648162562371</x:v>
      </x:c>
      <x:c r="AN112" s="40" t="n">
        <x:f>-2*AL112/Inputs!$C$14</x:f>
        <x:v>5.202426811166817</x:v>
      </x:c>
      <x:c r="AO112" s="40" t="n">
        <x:f>ABS(AM112)</x:f>
        <x:v>34.648162562371</x:v>
      </x:c>
      <x:c r="AP112" s="40" t="n">
        <x:f>ABS(AN112)</x:f>
        <x:v>5.202426811166817</x:v>
      </x:c>
      <x:c r="AQ112" s="40" t="n">
        <x:f>IF(Inputs!$C$27="ON",Inputs!$C$46/Inputs!$C$12,0)</x:f>
        <x:v>42.13483146067416</x:v>
      </x:c>
      <x:c r="AR112" s="40" t="n">
        <x:f>AC112-AQ112</x:f>
        <x:v>203.5485329029756</x:v>
      </x:c>
      <x:c r="AS112" s="40" t="n">
        <x:f>AC112+AQ112</x:f>
        <x:v>287.81819582432394</x:v>
      </x:c>
    </x:row>
    <x:row r="113">
      <x:c r="A113" s="40" t="n">
        <x:f>Inputs!$C$7+111*(Inputs!$C$8-Inputs!$C$7)/240</x:f>
        <x:v>-4.5</x:v>
      </x:c>
      <x:c r="B113" s="40" t="n">
        <x:f>Inputs!$C$5+Inputs!$C$9*(A113/Inputs!$C$10)^2</x:f>
        <x:v>400.0225</x:v>
      </x:c>
      <x:c r="C113" s="40" t="n">
        <x:f>B113</x:f>
        <x:v>400.0225</x:v>
      </x:c>
      <x:c r="D113" s="40" t="n">
        <x:f>SQRT(A113^2+Inputs!$C$6^2+B113^2)</x:f>
        <x:v>400.82820572690486</x:v>
      </x:c>
      <x:c r="E113" s="40" t="n">
        <x:f>(D113-C113)*1000</x:f>
        <x:v>805.7057269048755</x:v>
      </x:c>
      <x:c r="F113" s="40" t="n">
        <x:f>E113/Inputs!$C$12</x:f>
        <x:v>452.64366680049187</x:v>
      </x:c>
      <x:c r="G113" s="40" t="n">
        <x:f>2*E113/Inputs!$C$21*1000000</x:f>
        <x:v>5.375090035819884</x:v>
      </x:c>
      <x:c r="H113" s="40" t="n">
        <x:f>SQRT(A113^2+Inputs!$C$6^2)</x:f>
        <x:v>25.401771591761076</x:v>
      </x:c>
      <x:c r="I113" s="40" t="n">
        <x:f>DEGREES(ATAN(H113/B113))</x:f>
        <x:v>3.6334525503982564</x:v>
      </x:c>
      <x:c r="J113" s="40" t="n">
        <x:f>DEGREES((2*PI()/Inputs!$C$13)*Inputs!$C$15*SIN(RADIANS(I113)))</x:f>
        <x:v>22.814356979819124</x:v>
      </x:c>
      <x:c r="K113" s="40" t="n">
        <x:f>(C113/D113)^4</x:f>
        <x:v>0.9919838011121314</x:v>
      </x:c>
      <x:c r="L113" s="40" t="n">
        <x:f>10*LOG10(K113)</x:f>
        <x:v>-0.0349541972591687</x:v>
      </x:c>
      <x:c r="M113" s="40" t="n">
        <x:f>2*(Inputs!$C$9/(Inputs!$C$10^2))*A113</x:f>
        <x:v>-0.01</x:v>
      </x:c>
      <x:c r="N113" s="40" t="n">
        <x:f>M113*Inputs!$C$11</x:f>
        <x:v>-0.04</x:v>
      </x:c>
      <x:c r="O113" s="40" t="n">
        <x:f>1000*((A113*Inputs!$C$11)+(B113*N113))/D113</x:f>
        <x:v>-84.82661527858082</x:v>
      </x:c>
      <x:c r="P113" s="40" t="n">
        <x:f>-2*O113/Inputs!$C$13</x:f>
        <x:v>33.930646111432324</x:v>
      </x:c>
      <x:c r="Q113" s="40" t="n">
        <x:f>-2*O113/Inputs!$C$14</x:f>
        <x:v>5.094691608323172</x:v>
      </x:c>
      <x:c r="R113" s="40" t="n">
        <x:f>F113-Inputs!$C$16/2</x:f>
        <x:v>437.64366680049187</x:v>
      </x:c>
      <x:c r="S113" s="40" t="n">
        <x:f>F113+Inputs!$C$16/2</x:f>
        <x:v>467.64366680049187</x:v>
      </x:c>
      <x:c r="T113" s="40" t="n">
        <x:f>F113-Inputs!$C$17/2</x:f>
        <x:v>302.64366680049187</x:v>
      </x:c>
      <x:c r="U113" s="40" t="n">
        <x:f>F113+Inputs!$C$17/2</x:f>
        <x:v>602.6436668004919</x:v>
      </x:c>
      <x:c r="V113" s="40" t="n">
        <x:f>ABS(P113)</x:f>
        <x:v>33.930646111432324</x:v>
      </x:c>
      <x:c r="W113" s="40" t="n">
        <x:f>ABS(Q113)</x:f>
        <x:v>5.094691608323172</x:v>
      </x:c>
      <x:c r="X113" s="40" t="n">
        <x:f>IF(Inputs!$C$27="ON",1,0)*(Inputs!$C$28*EXP(-(((A113)-Inputs!$C$29)^2)/(2*Inputs!$C$31^2))*EXP(-(((0)-Inputs!$C$30)^2)/(2*Inputs!$C$32^2))+-Inputs!$C$33*EXP(-(((((A113)-Inputs!$C$34)^2)+(((0)-Inputs!$C$35)^2))/(2*Inputs!$C$36^2)))+Inputs!$C$37*(0.55*SIN(2*PI()*(A113)/Inputs!$C$39)+0.35*COS(2*PI()*(0)/Inputs!$C$40)+0.2*SIN(2*PI()*((A113)+(0))/(0.5*(Inputs!$C$39+Inputs!$C$40))))+Inputs!$C$38*SIN(2*PI()*(A113)/Inputs!$C$39)*SIN(2*PI()*(0)/Inputs!$C$40)+-Inputs!$C$41*EXP(-(((0)-Inputs!$C$43)^2)/(2*Inputs!$C$44^2))*EXP(-(((A113)-Inputs!$C$42)^2)/(2*Inputs!$C$45^2)))</x:f>
        <x:v>-57.78232885142646</x:v>
      </x:c>
      <x:c r="Y113" s="40" t="n">
        <x:f>IF(Inputs!$C$27="ON",1,0)*(Inputs!$C$28*EXP(-(((A113)-Inputs!$C$29)^2)/(2*Inputs!$C$31^2))*EXP(-(((Inputs!$C$6)-Inputs!$C$30)^2)/(2*Inputs!$C$32^2))+-Inputs!$C$33*EXP(-(((((A113)-Inputs!$C$34)^2)+(((Inputs!$C$6)-Inputs!$C$35)^2))/(2*Inputs!$C$36^2)))+Inputs!$C$37*(0.55*SIN(2*PI()*(A113)/Inputs!$C$39)+0.35*COS(2*PI()*(Inputs!$C$6)/Inputs!$C$40)+0.2*SIN(2*PI()*((A113)+(Inputs!$C$6))/(0.5*(Inputs!$C$39+Inputs!$C$40))))+Inputs!$C$38*SIN(2*PI()*(A113)/Inputs!$C$39)*SIN(2*PI()*(Inputs!$C$6)/Inputs!$C$40)+-Inputs!$C$41*EXP(-(((Inputs!$C$6)-Inputs!$C$43)^2)/(2*Inputs!$C$44^2))*EXP(-(((A113)-Inputs!$C$42)^2)/(2*Inputs!$C$45^2)))</x:f>
        <x:v>315.48168188509385</x:v>
      </x:c>
      <x:c r="Z113" s="40" t="n">
        <x:f>B113-X113/1000</x:f>
        <x:v>400.0802823288514</x:v>
      </x:c>
      <x:c r="AA113" s="40" t="n">
        <x:f>SQRT(A113^2+Inputs!$C$6^2+(B113-Y113/1000)^2)</x:f>
        <x:v>400.5133586945107</x:v>
      </x:c>
      <x:c r="AB113" s="40" t="n">
        <x:f>(AA113-Z113)*1000</x:f>
        <x:v>433.0763656593035</x:v>
      </x:c>
      <x:c r="AC113" s="40" t="n">
        <x:f>AB113/Inputs!$C$12</x:f>
        <x:v>243.30132902208064</x:v>
      </x:c>
      <x:c r="AD113" s="40" t="n">
        <x:f>2*AB113/Inputs!$C$21*1000000</x:f>
        <x:v>2.8891745212569924</x:v>
      </x:c>
      <x:c r="AE113" s="40" t="n">
        <x:f>DEGREES(ATAN(H113/(B113-Y113/1000)))</x:f>
        <x:v>3.6363126786371653</x:v>
      </x:c>
      <x:c r="AF113" s="40" t="n">
        <x:f>DEGREES((2*PI()/Inputs!$C$13)*Inputs!$C$15*SIN(RADIANS(AE113)))</x:f>
        <x:v>22.832291544135504</x:v>
      </x:c>
      <x:c r="AG113" s="40" t="n">
        <x:f>(Z113/AA113)^4</x:f>
        <x:v>0.9956817975508313</x:v>
      </x:c>
      <x:c r="AH113" s="40" t="n">
        <x:f>10*LOG10(AG113)</x:f>
        <x:v>-0.0187943230679426</x:v>
      </x:c>
      <x:c r="AI113" s="40" t="n">
        <x:f>AC113-F113</x:f>
        <x:v>-209.34233777841123</x:v>
      </x:c>
      <x:c r="AJ113" s="40" t="n">
        <x:f>AD113-G113</x:f>
        <x:v>-2.4859155145628917</x:v>
      </x:c>
      <x:c r="AK113" s="40" t="n">
        <x:f>Y113-X113</x:f>
        <x:v>373.26401073652033</x:v>
      </x:c>
      <x:c r="AL113" s="40" t="n">
        <x:f>1000*(AA114-AA112)/(A114-A112)*Inputs!$C$11</x:f>
        <x:v>-84.96175280993157</x:v>
      </x:c>
      <x:c r="AM113" s="40" t="n">
        <x:f>-2*AL113/Inputs!$C$13</x:f>
        <x:v>33.98470112397263</x:v>
      </x:c>
      <x:c r="AN113" s="40" t="n">
        <x:f>-2*AL113/Inputs!$C$14</x:f>
        <x:v>5.102807976572467</x:v>
      </x:c>
      <x:c r="AO113" s="40" t="n">
        <x:f>ABS(AM113)</x:f>
        <x:v>33.98470112397263</x:v>
      </x:c>
      <x:c r="AP113" s="40" t="n">
        <x:f>ABS(AN113)</x:f>
        <x:v>5.102807976572467</x:v>
      </x:c>
      <x:c r="AQ113" s="40" t="n">
        <x:f>IF(Inputs!$C$27="ON",Inputs!$C$46/Inputs!$C$12,0)</x:f>
        <x:v>42.13483146067416</x:v>
      </x:c>
      <x:c r="AR113" s="40" t="n">
        <x:f>AC113-AQ113</x:f>
        <x:v>201.1664975614065</x:v>
      </x:c>
      <x:c r="AS113" s="40" t="n">
        <x:f>AC113+AQ113</x:f>
        <x:v>285.4361604827548</x:v>
      </x:c>
    </x:row>
    <x:row r="114">
      <x:c r="A114" s="40" t="n">
        <x:f>Inputs!$C$7+112*(Inputs!$C$8-Inputs!$C$7)/240</x:f>
        <x:v>-4</x:v>
      </x:c>
      <x:c r="B114" s="40" t="n">
        <x:f>Inputs!$C$5+Inputs!$C$9*(A114/Inputs!$C$10)^2</x:f>
        <x:v>400.0177777777778</x:v>
      </x:c>
      <x:c r="C114" s="40" t="n">
        <x:f>B114</x:f>
        <x:v>400.0177777777778</x:v>
      </x:c>
      <x:c r="D114" s="40" t="n">
        <x:f>SQRT(A114^2+Inputs!$C$6^2+B114^2)</x:f>
        <x:v>400.8181913764289</x:v>
      </x:c>
      <x:c r="E114" s="40" t="n">
        <x:f>(D114-C114)*1000</x:f>
        <x:v>800.4135986511187</x:v>
      </x:c>
      <x:c r="F114" s="40" t="n">
        <x:f>E114/Inputs!$C$12</x:f>
        <x:v>449.67056103995435</x:v>
      </x:c>
      <x:c r="G114" s="40" t="n">
        <x:f>2*E114/Inputs!$C$21*1000000</x:f>
        <x:v>5.339784756367145</x:v>
      </x:c>
      <x:c r="H114" s="40" t="n">
        <x:f>SQRT(A114^2+Inputs!$C$6^2)</x:f>
        <x:v>25.317977802344327</x:v>
      </x:c>
      <x:c r="I114" s="40" t="n">
        <x:f>DEGREES(ATAN(H114/B114))</x:f>
        <x:v>3.62154133083556</x:v>
      </x:c>
      <x:c r="J114" s="40" t="n">
        <x:f>DEGREES((2*PI()/Inputs!$C$13)*Inputs!$C$15*SIN(RADIANS(I114)))</x:f>
        <x:v>22.739666524476903</x:v>
      </x:c>
      <x:c r="K114" s="40" t="n">
        <x:f>(C114/D114)^4</x:f>
        <x:v>0.9920360978809625</x:v>
      </x:c>
      <x:c r="L114" s="40" t="n">
        <x:f>10*LOG10(K114)</x:f>
        <x:v>-0.0347252459453083</x:v>
      </x:c>
      <x:c r="M114" s="40" t="n">
        <x:f>2*(Inputs!$C$9/(Inputs!$C$10^2))*A114</x:f>
        <x:v>-0.008888888888888889</x:v>
      </x:c>
      <x:c r="N114" s="40" t="n">
        <x:f>M114*Inputs!$C$11</x:f>
        <x:v>-0.035555555555555556</x:v>
      </x:c>
      <x:c r="O114" s="40" t="n">
        <x:f>1000*((A114*Inputs!$C$11)+(B114*N114))/D114</x:f>
        <x:v>-75.40290079449969</x:v>
      </x:c>
      <x:c r="P114" s="40" t="n">
        <x:f>-2*O114/Inputs!$C$13</x:f>
        <x:v>30.161160317799876</x:v>
      </x:c>
      <x:c r="Q114" s="40" t="n">
        <x:f>-2*O114/Inputs!$C$14</x:f>
        <x:v>4.528702750420402</x:v>
      </x:c>
      <x:c r="R114" s="40" t="n">
        <x:f>F114-Inputs!$C$16/2</x:f>
        <x:v>434.67056103995435</x:v>
      </x:c>
      <x:c r="S114" s="40" t="n">
        <x:f>F114+Inputs!$C$16/2</x:f>
        <x:v>464.67056103995435</x:v>
      </x:c>
      <x:c r="T114" s="40" t="n">
        <x:f>F114-Inputs!$C$17/2</x:f>
        <x:v>299.67056103995435</x:v>
      </x:c>
      <x:c r="U114" s="40" t="n">
        <x:f>F114+Inputs!$C$17/2</x:f>
        <x:v>599.6705610399544</x:v>
      </x:c>
      <x:c r="V114" s="40" t="n">
        <x:f>ABS(P114)</x:f>
        <x:v>30.161160317799876</x:v>
      </x:c>
      <x:c r="W114" s="40" t="n">
        <x:f>ABS(Q114)</x:f>
        <x:v>4.528702750420402</x:v>
      </x:c>
      <x:c r="X114" s="40" t="n">
        <x:f>IF(Inputs!$C$27="ON",1,0)*(Inputs!$C$28*EXP(-(((A114)-Inputs!$C$29)^2)/(2*Inputs!$C$31^2))*EXP(-(((0)-Inputs!$C$30)^2)/(2*Inputs!$C$32^2))+-Inputs!$C$33*EXP(-(((((A114)-Inputs!$C$34)^2)+(((0)-Inputs!$C$35)^2))/(2*Inputs!$C$36^2)))+Inputs!$C$37*(0.55*SIN(2*PI()*(A114)/Inputs!$C$39)+0.35*COS(2*PI()*(0)/Inputs!$C$40)+0.2*SIN(2*PI()*((A114)+(0))/(0.5*(Inputs!$C$39+Inputs!$C$40))))+Inputs!$C$38*SIN(2*PI()*(A114)/Inputs!$C$39)*SIN(2*PI()*(0)/Inputs!$C$40)+-Inputs!$C$41*EXP(-(((0)-Inputs!$C$43)^2)/(2*Inputs!$C$44^2))*EXP(-(((A114)-Inputs!$C$42)^2)/(2*Inputs!$C$45^2)))</x:f>
        <x:v>-55.161282825184074</x:v>
      </x:c>
      <x:c r="Y114" s="40" t="n">
        <x:f>IF(Inputs!$C$27="ON",1,0)*(Inputs!$C$28*EXP(-(((A114)-Inputs!$C$29)^2)/(2*Inputs!$C$31^2))*EXP(-(((Inputs!$C$6)-Inputs!$C$30)^2)/(2*Inputs!$C$32^2))+-Inputs!$C$33*EXP(-(((((A114)-Inputs!$C$34)^2)+(((Inputs!$C$6)-Inputs!$C$35)^2))/(2*Inputs!$C$36^2)))+Inputs!$C$37*(0.55*SIN(2*PI()*(A114)/Inputs!$C$39)+0.35*COS(2*PI()*(Inputs!$C$6)/Inputs!$C$40)+0.2*SIN(2*PI()*((A114)+(Inputs!$C$6))/(0.5*(Inputs!$C$39+Inputs!$C$40))))+Inputs!$C$38*SIN(2*PI()*(A114)/Inputs!$C$39)*SIN(2*PI()*(Inputs!$C$6)/Inputs!$C$40)+-Inputs!$C$41*EXP(-(((Inputs!$C$6)-Inputs!$C$43)^2)/(2*Inputs!$C$44^2))*EXP(-(((A114)-Inputs!$C$42)^2)/(2*Inputs!$C$45^2)))</x:f>
        <x:v>316.00374109944835</x:v>
      </x:c>
      <x:c r="Z114" s="40" t="n">
        <x:f>B114-X114/1000</x:f>
        <x:v>400.07293906060295</x:v>
      </x:c>
      <x:c r="AA114" s="40" t="n">
        <x:f>SQRT(A114^2+Inputs!$C$6^2+(B114-Y114/1000)^2)</x:f>
        <x:v>400.5028191761799</x:v>
      </x:c>
      <x:c r="AB114" s="40" t="n">
        <x:f>(AA114-Z114)*1000</x:f>
        <x:v>429.8801155769638</x:v>
      </x:c>
      <x:c r="AC114" s="40" t="n">
        <x:f>AB114/Inputs!$C$12</x:f>
        <x:v>241.50568290840664</x:v>
      </x:c>
      <x:c r="AD114" s="40" t="n">
        <x:f>2*AB114/Inputs!$C$21*1000000</x:f>
        <x:v>2.867851435922139</x:v>
      </x:c>
      <x:c r="AE114" s="40" t="n">
        <x:f>DEGREES(ATAN(H114/(B114-Y114/1000)))</x:f>
        <x:v>3.624396888075202</x:v>
      </x:c>
      <x:c r="AF114" s="40" t="n">
        <x:f>DEGREES((2*PI()/Inputs!$C$13)*Inputs!$C$15*SIN(RADIANS(AE114)))</x:f>
        <x:v>22.757572662265158</x:v>
      </x:c>
      <x:c r="AG114" s="40" t="n">
        <x:f>(Z114/AA114)^4</x:f>
        <x:v>0.995713503408704</x:v>
      </x:c>
      <x:c r="AH114" s="40" t="n">
        <x:f>10*LOG10(AG114)</x:f>
        <x:v>-0.0186560312972163</x:v>
      </x:c>
      <x:c r="AI114" s="40" t="n">
        <x:f>AC114-F114</x:f>
        <x:v>-208.1648781315477</x:v>
      </x:c>
      <x:c r="AJ114" s="40" t="n">
        <x:f>AD114-G114</x:f>
        <x:v>-2.4719333204450056</x:v>
      </x:c>
      <x:c r="AK114" s="40" t="n">
        <x:f>Y114-X114</x:f>
        <x:v>371.1650239246324</x:v>
      </x:c>
      <x:c r="AL114" s="40" t="n">
        <x:f>1000*(AA115-AA113)/(A115-A113)*Inputs!$C$11</x:f>
        <x:v>-83.91777789938715</x:v>
      </x:c>
      <x:c r="AM114" s="40" t="n">
        <x:f>-2*AL114/Inputs!$C$13</x:f>
        <x:v>33.56711115975486</x:v>
      </x:c>
      <x:c r="AN114" s="40" t="n">
        <x:f>-2*AL114/Inputs!$C$14</x:f>
        <x:v>5.040106780743973</x:v>
      </x:c>
      <x:c r="AO114" s="40" t="n">
        <x:f>ABS(AM114)</x:f>
        <x:v>33.56711115975486</x:v>
      </x:c>
      <x:c r="AP114" s="40" t="n">
        <x:f>ABS(AN114)</x:f>
        <x:v>5.040106780743973</x:v>
      </x:c>
      <x:c r="AQ114" s="40" t="n">
        <x:f>IF(Inputs!$C$27="ON",Inputs!$C$46/Inputs!$C$12,0)</x:f>
        <x:v>42.13483146067416</x:v>
      </x:c>
      <x:c r="AR114" s="40" t="n">
        <x:f>AC114-AQ114</x:f>
        <x:v>199.3708514477325</x:v>
      </x:c>
      <x:c r="AS114" s="40" t="n">
        <x:f>AC114+AQ114</x:f>
        <x:v>283.6405143690808</x:v>
      </x:c>
    </x:row>
    <x:row r="115">
      <x:c r="A115" s="40" t="n">
        <x:f>Inputs!$C$7+113*(Inputs!$C$8-Inputs!$C$7)/240</x:f>
        <x:v>-3.5</x:v>
      </x:c>
      <x:c r="B115" s="40" t="n">
        <x:f>Inputs!$C$5+Inputs!$C$9*(A115/Inputs!$C$10)^2</x:f>
        <x:v>400.0136111111111</x:v>
      </x:c>
      <x:c r="C115" s="40" t="n">
        <x:f>B115</x:f>
        <x:v>400.0136111111111</x:v>
      </x:c>
      <x:c r="D115" s="40" t="n">
        <x:f>SQRT(A115^2+Inputs!$C$6^2+B115^2)</x:f>
        <x:v>400.80935502324695</x:v>
      </x:c>
      <x:c r="E115" s="40" t="n">
        <x:f>(D115-C115)*1000</x:f>
        <x:v>795.7439121358334</x:v>
      </x:c>
      <x:c r="F115" s="40" t="n">
        <x:f>E115/Inputs!$C$12</x:f>
        <x:v>447.0471416493446</x:v>
      </x:c>
      <x:c r="G115" s="40" t="n">
        <x:f>2*E115/Inputs!$C$21*1000000</x:f>
        <x:v>5.3086319612205415</x:v>
      </x:c>
      <x:c r="H115" s="40" t="n">
        <x:f>SQRT(A115^2+Inputs!$C$6^2)</x:f>
        <x:v>25.243811122728676</x:v>
      </x:c>
      <x:c r="I115" s="40" t="n">
        <x:f>DEGREES(ATAN(H115/B115))</x:f>
        <x:v>3.6109979838002473</x:v>
      </x:c>
      <x:c r="J115" s="40" t="n">
        <x:f>DEGREES((2*PI()/Inputs!$C$13)*Inputs!$C$15*SIN(RADIANS(I115)))</x:f>
        <x:v>22.673552626173688</x:v>
      </x:c>
      <x:c r="K115" s="40" t="n">
        <x:f>(C115/D115)^4</x:f>
        <x:v>0.9920822475760858</x:v>
      </x:c>
      <x:c r="L115" s="40" t="n">
        <x:f>10*LOG10(K115)</x:f>
        <x:v>-0.0345232160816858</x:v>
      </x:c>
      <x:c r="M115" s="40" t="n">
        <x:f>2*(Inputs!$C$9/(Inputs!$C$10^2))*A115</x:f>
        <x:v>-0.0077777777777777776</x:v>
      </x:c>
      <x:c r="N115" s="40" t="n">
        <x:f>M115*Inputs!$C$11</x:f>
        <x:v>-0.03111111111111111</x:v>
      </x:c>
      <x:c r="O115" s="40" t="n">
        <x:f>1000*((A115*Inputs!$C$11)+(B115*N115))/D115</x:f>
        <x:v>-65.97866933445394</x:v>
      </x:c>
      <x:c r="P115" s="40" t="n">
        <x:f>-2*O115/Inputs!$C$13</x:f>
        <x:v>26.391467733781575</x:v>
      </x:c>
      <x:c r="Q115" s="40" t="n">
        <x:f>-2*O115/Inputs!$C$14</x:f>
        <x:v>3.962682842910147</x:v>
      </x:c>
      <x:c r="R115" s="40" t="n">
        <x:f>F115-Inputs!$C$16/2</x:f>
        <x:v>432.0471416493446</x:v>
      </x:c>
      <x:c r="S115" s="40" t="n">
        <x:f>F115+Inputs!$C$16/2</x:f>
        <x:v>462.0471416493446</x:v>
      </x:c>
      <x:c r="T115" s="40" t="n">
        <x:f>F115-Inputs!$C$17/2</x:f>
        <x:v>297.0471416493446</x:v>
      </x:c>
      <x:c r="U115" s="40" t="n">
        <x:f>F115+Inputs!$C$17/2</x:f>
        <x:v>597.0471416493447</x:v>
      </x:c>
      <x:c r="V115" s="40" t="n">
        <x:f>ABS(P115)</x:f>
        <x:v>26.391467733781575</x:v>
      </x:c>
      <x:c r="W115" s="40" t="n">
        <x:f>ABS(Q115)</x:f>
        <x:v>3.962682842910147</x:v>
      </x:c>
      <x:c r="X115" s="40" t="n">
        <x:f>IF(Inputs!$C$27="ON",1,0)*(Inputs!$C$28*EXP(-(((A115)-Inputs!$C$29)^2)/(2*Inputs!$C$31^2))*EXP(-(((0)-Inputs!$C$30)^2)/(2*Inputs!$C$32^2))+-Inputs!$C$33*EXP(-(((((A115)-Inputs!$C$34)^2)+(((0)-Inputs!$C$35)^2))/(2*Inputs!$C$36^2)))+Inputs!$C$37*(0.55*SIN(2*PI()*(A115)/Inputs!$C$39)+0.35*COS(2*PI()*(0)/Inputs!$C$40)+0.2*SIN(2*PI()*((A115)+(0))/(0.5*(Inputs!$C$39+Inputs!$C$40))))+Inputs!$C$38*SIN(2*PI()*(A115)/Inputs!$C$39)*SIN(2*PI()*(0)/Inputs!$C$40)+-Inputs!$C$41*EXP(-(((0)-Inputs!$C$43)^2)/(2*Inputs!$C$44^2))*EXP(-(((A115)-Inputs!$C$42)^2)/(2*Inputs!$C$45^2)))</x:f>
        <x:v>-51.094609917042554</x:v>
      </x:c>
      <x:c r="Y115" s="40" t="n">
        <x:f>IF(Inputs!$C$27="ON",1,0)*(Inputs!$C$28*EXP(-(((A115)-Inputs!$C$29)^2)/(2*Inputs!$C$31^2))*EXP(-(((Inputs!$C$6)-Inputs!$C$30)^2)/(2*Inputs!$C$32^2))+-Inputs!$C$33*EXP(-(((((A115)-Inputs!$C$34)^2)+(((Inputs!$C$6)-Inputs!$C$35)^2))/(2*Inputs!$C$36^2)))+Inputs!$C$37*(0.55*SIN(2*PI()*(A115)/Inputs!$C$39)+0.35*COS(2*PI()*(Inputs!$C$6)/Inputs!$C$40)+0.2*SIN(2*PI()*((A115)+(Inputs!$C$6))/(0.5*(Inputs!$C$39+Inputs!$C$40))))+Inputs!$C$38*SIN(2*PI()*(A115)/Inputs!$C$39)*SIN(2*PI()*(Inputs!$C$6)/Inputs!$C$40)+-Inputs!$C$41*EXP(-(((Inputs!$C$6)-Inputs!$C$43)^2)/(2*Inputs!$C$44^2))*EXP(-(((A115)-Inputs!$C$42)^2)/(2*Inputs!$C$45^2)))</x:f>
        <x:v>317.6068311651404</x:v>
      </x:c>
      <x:c r="Z115" s="40" t="n">
        <x:f>B115-X115/1000</x:f>
        <x:v>400.06470572102813</x:v>
      </x:c>
      <x:c r="AA115" s="40" t="n">
        <x:f>SQRT(A115^2+Inputs!$C$6^2+(B115-Y115/1000)^2)</x:f>
        <x:v>400.49237925003587</x:v>
      </x:c>
      <x:c r="AB115" s="40" t="n">
        <x:f>(AA115-Z115)*1000</x:f>
        <x:v>427.67352900773403</x:v>
      </x:c>
      <x:c r="AC115" s="40" t="n">
        <x:f>AB115/Inputs!$C$12</x:f>
        <x:v>240.26602753243483</x:v>
      </x:c>
      <x:c r="AD115" s="40" t="n">
        <x:f>2*AB115/Inputs!$C$21*1000000</x:f>
        <x:v>2.8531306748733085</x:v>
      </x:c>
      <x:c r="AE115" s="40" t="n">
        <x:f>DEGREES(ATAN(H115/(B115-Y115/1000)))</x:f>
        <x:v>3.613859757468461</x:v>
      </x:c>
      <x:c r="AF115" s="40" t="n">
        <x:f>DEGREES((2*PI()/Inputs!$C$13)*Inputs!$C$15*SIN(RADIANS(AE115)))</x:f>
        <x:v>22.691497953594354</x:v>
      </x:c>
      <x:c r="AG115" s="40" t="n">
        <x:f>(Z115/AA115)^4</x:f>
        <x:v>0.9957353598767136</x:v>
      </x:c>
      <x:c r="AH115" s="40" t="n">
        <x:f>10*LOG10(AG115)</x:f>
        <x:v>-0.0185607022769655</x:v>
      </x:c>
      <x:c r="AI115" s="40" t="n">
        <x:f>AC115-F115</x:f>
        <x:v>-206.78111411690978</x:v>
      </x:c>
      <x:c r="AJ115" s="40" t="n">
        <x:f>AD115-G115</x:f>
        <x:v>-2.455501286347233</x:v>
      </x:c>
      <x:c r="AK115" s="40" t="n">
        <x:f>Y115-X115</x:f>
        <x:v>368.70144108218295</x:v>
      </x:c>
      <x:c r="AL115" s="40" t="n">
        <x:f>1000*(AA116-AA114)/(A116-A114)*Inputs!$C$11</x:f>
        <x:v>-83.23549468468627</x:v>
      </x:c>
      <x:c r="AM115" s="40" t="n">
        <x:f>-2*AL115/Inputs!$C$13</x:f>
        <x:v>33.29419787387451</x:v>
      </x:c>
      <x:c r="AN115" s="40" t="n">
        <x:f>-2*AL115/Inputs!$C$14</x:f>
        <x:v>4.999128809891068</x:v>
      </x:c>
      <x:c r="AO115" s="40" t="n">
        <x:f>ABS(AM115)</x:f>
        <x:v>33.29419787387451</x:v>
      </x:c>
      <x:c r="AP115" s="40" t="n">
        <x:f>ABS(AN115)</x:f>
        <x:v>4.999128809891068</x:v>
      </x:c>
      <x:c r="AQ115" s="40" t="n">
        <x:f>IF(Inputs!$C$27="ON",Inputs!$C$46/Inputs!$C$12,0)</x:f>
        <x:v>42.13483146067416</x:v>
      </x:c>
      <x:c r="AR115" s="40" t="n">
        <x:f>AC115-AQ115</x:f>
        <x:v>198.13119607176068</x:v>
      </x:c>
      <x:c r="AS115" s="40" t="n">
        <x:f>AC115+AQ115</x:f>
        <x:v>282.400858993109</x:v>
      </x:c>
    </x:row>
    <x:row r="116">
      <x:c r="A116" s="40" t="n">
        <x:f>Inputs!$C$7+114*(Inputs!$C$8-Inputs!$C$7)/240</x:f>
        <x:v>-3</x:v>
      </x:c>
      <x:c r="B116" s="40" t="n">
        <x:f>Inputs!$C$5+Inputs!$C$9*(A116/Inputs!$C$10)^2</x:f>
        <x:v>400.01</x:v>
      </x:c>
      <x:c r="C116" s="40" t="n">
        <x:f>B116</x:f>
        <x:v>400.01</x:v>
      </x:c>
      <x:c r="D116" s="40" t="n">
        <x:f>SQRT(A116^2+Inputs!$C$6^2+B116^2)</x:f>
        <x:v>400.8016967279455</x:v>
      </x:c>
      <x:c r="E116" s="40" t="n">
        <x:f>(D116-C116)*1000</x:f>
        <x:v>791.6967279455207</x:v>
      </x:c>
      <x:c r="F116" s="40" t="n">
        <x:f>E116/Inputs!$C$12</x:f>
        <x:v>444.77344266602285</x:v>
      </x:c>
      <x:c r="G116" s="40" t="n">
        <x:f>2*E116/Inputs!$C$21*1000000</x:f>
        <x:v>5.2816320545697035</x:v>
      </x:c>
      <x:c r="H116" s="40" t="n">
        <x:f>SQRT(A116^2+Inputs!$C$6^2)</x:f>
        <x:v>25.179356624028344</x:v>
      </x:c>
      <x:c r="I116" s="40" t="n">
        <x:f>DEGREES(ATAN(H116/B116))</x:f>
        <x:v>3.601834829314978</x:v>
      </x:c>
      <x:c r="J116" s="40" t="n">
        <x:f>DEGREES((2*PI()/Inputs!$C$13)*Inputs!$C$15*SIN(RADIANS(I116)))</x:f>
        <x:v>22.616092842548554</x:v>
      </x:c>
      <x:c r="K116" s="40" t="n">
        <x:f>(C116/D116)^4</x:f>
        <x:v>0.9921222481403926</x:v>
      </x:c>
      <x:c r="L116" s="40" t="n">
        <x:f>10*LOG10(K116)</x:f>
        <x:v>-0.0343481129167515</x:v>
      </x:c>
      <x:c r="M116" s="40" t="n">
        <x:f>2*(Inputs!$C$9/(Inputs!$C$10^2))*A116</x:f>
        <x:v>-0.006666666666666666</x:v>
      </x:c>
      <x:c r="N116" s="40" t="n">
        <x:f>M116*Inputs!$C$11</x:f>
        <x:v>-0.026666666666666665</x:v>
      </x:c>
      <x:c r="O116" s="40" t="n">
        <x:f>1000*((A116*Inputs!$C$11)+(B116*N116))/D116</x:f>
        <x:v>-56.553985470573245</x:v>
      </x:c>
      <x:c r="P116" s="40" t="n">
        <x:f>-2*O116/Inputs!$C$13</x:f>
        <x:v>22.6215941882293</x:v>
      </x:c>
      <x:c r="Q116" s="40" t="n">
        <x:f>-2*O116/Inputs!$C$14</x:f>
        <x:v>3.3966357639983933</x:v>
      </x:c>
      <x:c r="R116" s="40" t="n">
        <x:f>F116-Inputs!$C$16/2</x:f>
        <x:v>429.77344266602285</x:v>
      </x:c>
      <x:c r="S116" s="40" t="n">
        <x:f>F116+Inputs!$C$16/2</x:f>
        <x:v>459.77344266602285</x:v>
      </x:c>
      <x:c r="T116" s="40" t="n">
        <x:f>F116-Inputs!$C$17/2</x:f>
        <x:v>294.77344266602285</x:v>
      </x:c>
      <x:c r="U116" s="40" t="n">
        <x:f>F116+Inputs!$C$17/2</x:f>
        <x:v>594.7734426660229</x:v>
      </x:c>
      <x:c r="V116" s="40" t="n">
        <x:f>ABS(P116)</x:f>
        <x:v>22.6215941882293</x:v>
      </x:c>
      <x:c r="W116" s="40" t="n">
        <x:f>ABS(Q116)</x:f>
        <x:v>3.3966357639983933</x:v>
      </x:c>
      <x:c r="X116" s="40" t="n">
        <x:f>IF(Inputs!$C$27="ON",1,0)*(Inputs!$C$28*EXP(-(((A116)-Inputs!$C$29)^2)/(2*Inputs!$C$31^2))*EXP(-(((0)-Inputs!$C$30)^2)/(2*Inputs!$C$32^2))+-Inputs!$C$33*EXP(-(((((A116)-Inputs!$C$34)^2)+(((0)-Inputs!$C$35)^2))/(2*Inputs!$C$36^2)))+Inputs!$C$37*(0.55*SIN(2*PI()*(A116)/Inputs!$C$39)+0.35*COS(2*PI()*(0)/Inputs!$C$40)+0.2*SIN(2*PI()*((A116)+(0))/(0.5*(Inputs!$C$39+Inputs!$C$40))))+Inputs!$C$38*SIN(2*PI()*(A116)/Inputs!$C$39)*SIN(2*PI()*(0)/Inputs!$C$40)+-Inputs!$C$41*EXP(-(((0)-Inputs!$C$43)^2)/(2*Inputs!$C$44^2))*EXP(-(((A116)-Inputs!$C$42)^2)/(2*Inputs!$C$45^2)))</x:f>
        <x:v>-45.62965176508784</x:v>
      </x:c>
      <x:c r="Y116" s="40" t="n">
        <x:f>IF(Inputs!$C$27="ON",1,0)*(Inputs!$C$28*EXP(-(((A116)-Inputs!$C$29)^2)/(2*Inputs!$C$31^2))*EXP(-(((Inputs!$C$6)-Inputs!$C$30)^2)/(2*Inputs!$C$32^2))+-Inputs!$C$33*EXP(-(((((A116)-Inputs!$C$34)^2)+(((Inputs!$C$6)-Inputs!$C$35)^2))/(2*Inputs!$C$36^2)))+Inputs!$C$37*(0.55*SIN(2*PI()*(A116)/Inputs!$C$39)+0.35*COS(2*PI()*(Inputs!$C$6)/Inputs!$C$40)+0.2*SIN(2*PI()*((A116)+(Inputs!$C$6))/(0.5*(Inputs!$C$39+Inputs!$C$40))))+Inputs!$C$38*SIN(2*PI()*(A116)/Inputs!$C$39)*SIN(2*PI()*(Inputs!$C$6)/Inputs!$C$40)+-Inputs!$C$41*EXP(-(((Inputs!$C$6)-Inputs!$C$43)^2)/(2*Inputs!$C$44^2))*EXP(-(((A116)-Inputs!$C$42)^2)/(2*Inputs!$C$45^2)))</x:f>
        <x:v>320.3196529353521</x:v>
      </x:c>
      <x:c r="Z116" s="40" t="n">
        <x:f>B116-X116/1000</x:f>
        <x:v>400.05562965176506</x:v>
      </x:c>
      <x:c r="AA116" s="40" t="n">
        <x:f>SQRT(A116^2+Inputs!$C$6^2+(B116-Y116/1000)^2)</x:f>
        <x:v>400.48201030250874</x:v>
      </x:c>
      <x:c r="AB116" s="40" t="n">
        <x:f>(AA116-Z116)*1000</x:f>
        <x:v>426.38065074368114</x:v>
      </x:c>
      <x:c r="AC116" s="40" t="n">
        <x:f>AB116/Inputs!$C$12</x:f>
        <x:v>239.53969142903435</x:v>
      </x:c>
      <x:c r="AD116" s="40" t="n">
        <x:f>2*AB116/Inputs!$C$21*1000000</x:f>
        <x:v>2.844505519506306</x:v>
      </x:c>
      <x:c r="AE116" s="40" t="n">
        <x:f>DEGREES(ATAN(H116/(B116-Y116/1000)))</x:f>
        <x:v>3.604713806896764</x:v>
      </x:c>
      <x:c r="AF116" s="40" t="n">
        <x:f>DEGREES((2*PI()/Inputs!$C$13)*Inputs!$C$15*SIN(RADIANS(AE116)))</x:f>
        <x:v>22.634146232444188</x:v>
      </x:c>
      <x:c r="AG116" s="40" t="n">
        <x:f>(Z116/AA116)^4</x:f>
        <x:v>0.9957481215955609</x:v>
      </x:c>
      <x:c r="AH116" s="40" t="n">
        <x:f>10*LOG10(AG116)</x:f>
        <x:v>-0.0185050418195563</x:v>
      </x:c>
      <x:c r="AI116" s="40" t="n">
        <x:f>AC116-F116</x:f>
        <x:v>-205.2337512369885</x:v>
      </x:c>
      <x:c r="AJ116" s="40" t="n">
        <x:f>AD116-G116</x:f>
        <x:v>-2.4371265350633977</x:v>
      </x:c>
      <x:c r="AK116" s="40" t="n">
        <x:f>Y116-X116</x:f>
        <x:v>365.94930470043994</x:v>
      </x:c>
      <x:c r="AL116" s="40" t="n">
        <x:f>1000*(AA117-AA115)/(A117-A115)*Inputs!$C$11</x:f>
        <x:v>-82.64007370735271</x:v>
      </x:c>
      <x:c r="AM116" s="40" t="n">
        <x:f>-2*AL116/Inputs!$C$13</x:f>
        <x:v>33.056029482941085</x:v>
      </x:c>
      <x:c r="AN116" s="40" t="n">
        <x:f>-2*AL116/Inputs!$C$14</x:f>
        <x:v>4.963367790231395</x:v>
      </x:c>
      <x:c r="AO116" s="40" t="n">
        <x:f>ABS(AM116)</x:f>
        <x:v>33.056029482941085</x:v>
      </x:c>
      <x:c r="AP116" s="40" t="n">
        <x:f>ABS(AN116)</x:f>
        <x:v>4.963367790231395</x:v>
      </x:c>
      <x:c r="AQ116" s="40" t="n">
        <x:f>IF(Inputs!$C$27="ON",Inputs!$C$46/Inputs!$C$12,0)</x:f>
        <x:v>42.13483146067416</x:v>
      </x:c>
      <x:c r="AR116" s="40" t="n">
        <x:f>AC116-AQ116</x:f>
        <x:v>197.4048599683602</x:v>
      </x:c>
      <x:c r="AS116" s="40" t="n">
        <x:f>AC116+AQ116</x:f>
        <x:v>281.6745228897085</x:v>
      </x:c>
    </x:row>
    <x:row r="117">
      <x:c r="A117" s="40" t="n">
        <x:f>Inputs!$C$7+115*(Inputs!$C$8-Inputs!$C$7)/240</x:f>
        <x:v>-2.5</x:v>
      </x:c>
      <x:c r="B117" s="40" t="n">
        <x:f>Inputs!$C$5+Inputs!$C$9*(A117/Inputs!$C$10)^2</x:f>
        <x:v>400.00694444444446</x:v>
      </x:c>
      <x:c r="C117" s="40" t="n">
        <x:f>B117</x:f>
        <x:v>400.00694444444446</x:v>
      </x:c>
      <x:c r="D117" s="40" t="n">
        <x:f>SQRT(A117^2+Inputs!$C$6^2+B117^2)</x:f>
        <x:v>400.7952165430382</x:v>
      </x:c>
      <x:c r="E117" s="40" t="n">
        <x:f>(D117-C117)*1000</x:f>
        <x:v>788.2720985937226</x:v>
      </x:c>
      <x:c r="F117" s="40" t="n">
        <x:f>E117/Inputs!$C$12</x:f>
        <x:v>442.849493591979</x:v>
      </x:c>
      <x:c r="G117" s="40" t="n">
        <x:f>2*E117/Inputs!$C$21*1000000</x:f>
        <x:v>5.258785386747272</x:v>
      </x:c>
      <x:c r="H117" s="40" t="n">
        <x:f>SQRT(A117^2+Inputs!$C$6^2)</x:f>
        <x:v>25.124689052802225</x:v>
      </x:c>
      <x:c r="I117" s="40" t="n">
        <x:f>DEGREES(ATAN(H117/B117))</x:f>
        <x:v>3.594062691308639</x:v>
      </x:c>
      <x:c r="J117" s="40" t="n">
        <x:f>DEGREES((2*PI()/Inputs!$C$13)*Inputs!$C$15*SIN(RADIANS(I117)))</x:f>
        <x:v>22.567355311830532</x:v>
      </x:c>
      <x:c r="K117" s="40" t="n">
        <x:f>(C117/D117)^4</x:f>
        <x:v>0.9921560977906302</x:v>
      </x:c>
      <x:c r="L117" s="40" t="n">
        <x:f>10*LOG10(K117)</x:f>
        <x:v>-0.034199940999801504</x:v>
      </x:c>
      <x:c r="M117" s="40" t="n">
        <x:f>2*(Inputs!$C$9/(Inputs!$C$10^2))*A117</x:f>
        <x:v>-0.005555555555555556</x:v>
      </x:c>
      <x:c r="N117" s="40" t="n">
        <x:f>M117*Inputs!$C$11</x:f>
        <x:v>-0.022222222222222223</x:v>
      </x:c>
      <x:c r="O117" s="40" t="n">
        <x:f>1000*((A117*Inputs!$C$11)+(B117*N117))/D117</x:f>
        <x:v>-47.12891379492849</x:v>
      </x:c>
      <x:c r="P117" s="40" t="n">
        <x:f>-2*O117/Inputs!$C$13</x:f>
        <x:v>18.851565517971398</x:v>
      </x:c>
      <x:c r="Q117" s="40" t="n">
        <x:f>-2*O117/Inputs!$C$14</x:f>
        <x:v>2.830565393088799</x:v>
      </x:c>
      <x:c r="R117" s="40" t="n">
        <x:f>F117-Inputs!$C$16/2</x:f>
        <x:v>427.849493591979</x:v>
      </x:c>
      <x:c r="S117" s="40" t="n">
        <x:f>F117+Inputs!$C$16/2</x:f>
        <x:v>457.849493591979</x:v>
      </x:c>
      <x:c r="T117" s="40" t="n">
        <x:f>F117-Inputs!$C$17/2</x:f>
        <x:v>292.849493591979</x:v>
      </x:c>
      <x:c r="U117" s="40" t="n">
        <x:f>F117+Inputs!$C$17/2</x:f>
        <x:v>592.849493591979</x:v>
      </x:c>
      <x:c r="V117" s="40" t="n">
        <x:f>ABS(P117)</x:f>
        <x:v>18.851565517971398</x:v>
      </x:c>
      <x:c r="W117" s="40" t="n">
        <x:f>ABS(Q117)</x:f>
        <x:v>2.830565393088799</x:v>
      </x:c>
      <x:c r="X117" s="40" t="n">
        <x:f>IF(Inputs!$C$27="ON",1,0)*(Inputs!$C$28*EXP(-(((A117)-Inputs!$C$29)^2)/(2*Inputs!$C$31^2))*EXP(-(((0)-Inputs!$C$30)^2)/(2*Inputs!$C$32^2))+-Inputs!$C$33*EXP(-(((((A117)-Inputs!$C$34)^2)+(((0)-Inputs!$C$35)^2))/(2*Inputs!$C$36^2)))+Inputs!$C$37*(0.55*SIN(2*PI()*(A117)/Inputs!$C$39)+0.35*COS(2*PI()*(0)/Inputs!$C$40)+0.2*SIN(2*PI()*((A117)+(0))/(0.5*(Inputs!$C$39+Inputs!$C$40))))+Inputs!$C$38*SIN(2*PI()*(A117)/Inputs!$C$39)*SIN(2*PI()*(0)/Inputs!$C$40)+-Inputs!$C$41*EXP(-(((0)-Inputs!$C$43)^2)/(2*Inputs!$C$44^2))*EXP(-(((A117)-Inputs!$C$42)^2)/(2*Inputs!$C$45^2)))</x:f>
        <x:v>-38.867554015501</x:v>
      </x:c>
      <x:c r="Y117" s="40" t="n">
        <x:f>IF(Inputs!$C$27="ON",1,0)*(Inputs!$C$28*EXP(-(((A117)-Inputs!$C$29)^2)/(2*Inputs!$C$31^2))*EXP(-(((Inputs!$C$6)-Inputs!$C$30)^2)/(2*Inputs!$C$32^2))+-Inputs!$C$33*EXP(-(((((A117)-Inputs!$C$34)^2)+(((Inputs!$C$6)-Inputs!$C$35)^2))/(2*Inputs!$C$36^2)))+Inputs!$C$37*(0.55*SIN(2*PI()*(A117)/Inputs!$C$39)+0.35*COS(2*PI()*(Inputs!$C$6)/Inputs!$C$40)+0.2*SIN(2*PI()*((A117)+(Inputs!$C$6))/(0.5*(Inputs!$C$39+Inputs!$C$40))))+Inputs!$C$38*SIN(2*PI()*(A117)/Inputs!$C$39)*SIN(2*PI()*(Inputs!$C$6)/Inputs!$C$40)+-Inputs!$C$41*EXP(-(((Inputs!$C$6)-Inputs!$C$43)^2)/(2*Inputs!$C$44^2))*EXP(-(((A117)-Inputs!$C$42)^2)/(2*Inputs!$C$45^2)))</x:f>
        <x:v>324.1353266132595</x:v>
      </x:c>
      <x:c r="Z117" s="40" t="n">
        <x:f>B117-X117/1000</x:f>
        <x:v>400.04581199845995</x:v>
      </x:c>
      <x:c r="AA117" s="40" t="n">
        <x:f>SQRT(A117^2+Inputs!$C$6^2+(B117-Y117/1000)^2)</x:f>
        <x:v>400.47171923160903</x:v>
      </x:c>
      <x:c r="AB117" s="40" t="n">
        <x:f>(AA117-Z117)*1000</x:f>
        <x:v>425.90723314907564</x:v>
      </x:c>
      <x:c r="AC117" s="40" t="n">
        <x:f>AB117/Inputs!$C$12</x:f>
        <x:v>239.27372648824473</x:v>
      </x:c>
      <x:c r="AD117" s="40" t="n">
        <x:f>2*AB117/Inputs!$C$21*1000000</x:f>
        <x:v>2.841347217274396</x:v>
      </x:c>
      <x:c r="AE117" s="40" t="n">
        <x:f>DEGREES(ATAN(H117/(B117-Y117/1000)))</x:f>
        <x:v>3.5969697601246056</x:v>
      </x:c>
      <x:c r="AF117" s="40" t="n">
        <x:f>DEGREES((2*PI()/Inputs!$C$13)*Inputs!$C$15*SIN(RADIANS(AE117)))</x:f>
        <x:v>22.58558501050551</x:v>
      </x:c>
      <x:c r="AG117" s="40" t="n">
        <x:f>(Z117/AA117)^4</x:f>
        <x:v>0.9957527260283819</x:v>
      </x:c>
      <x:c r="AH117" s="40" t="n">
        <x:f>10*LOG10(AG117)</x:f>
        <x:v>-0.0184849596813152</x:v>
      </x:c>
      <x:c r="AI117" s="40" t="n">
        <x:f>AC117-F117</x:f>
        <x:v>-203.57576710373428</x:v>
      </x:c>
      <x:c r="AJ117" s="40" t="n">
        <x:f>AD117-G117</x:f>
        <x:v>-2.417438169472876</x:v>
      </x:c>
      <x:c r="AK117" s="40" t="n">
        <x:f>Y117-X117</x:f>
        <x:v>363.0028806287605</x:v>
      </x:c>
      <x:c r="AL117" s="40" t="n">
        <x:f>1000*(AA118-AA116)/(A118-A116)*Inputs!$C$11</x:f>
        <x:v>-81.84199606239417</x:v>
      </x:c>
      <x:c r="AM117" s="40" t="n">
        <x:f>-2*AL117/Inputs!$C$13</x:f>
        <x:v>32.73679842495767</x:v>
      </x:c>
      <x:c r="AN117" s="40" t="n">
        <x:f>-2*AL117/Inputs!$C$14</x:f>
        <x:v>4.9154351989425935</x:v>
      </x:c>
      <x:c r="AO117" s="40" t="n">
        <x:f>ABS(AM117)</x:f>
        <x:v>32.73679842495767</x:v>
      </x:c>
      <x:c r="AP117" s="40" t="n">
        <x:f>ABS(AN117)</x:f>
        <x:v>4.9154351989425935</x:v>
      </x:c>
      <x:c r="AQ117" s="40" t="n">
        <x:f>IF(Inputs!$C$27="ON",Inputs!$C$46/Inputs!$C$12,0)</x:f>
        <x:v>42.13483146067416</x:v>
      </x:c>
      <x:c r="AR117" s="40" t="n">
        <x:f>AC117-AQ117</x:f>
        <x:v>197.13889502757058</x:v>
      </x:c>
      <x:c r="AS117" s="40" t="n">
        <x:f>AC117+AQ117</x:f>
        <x:v>281.4085579489189</x:v>
      </x:c>
    </x:row>
    <x:row r="118">
      <x:c r="A118" s="40" t="n">
        <x:f>Inputs!$C$7+116*(Inputs!$C$8-Inputs!$C$7)/240</x:f>
        <x:v>-2</x:v>
      </x:c>
      <x:c r="B118" s="40" t="n">
        <x:f>Inputs!$C$5+Inputs!$C$9*(A118/Inputs!$C$10)^2</x:f>
        <x:v>400.00444444444446</x:v>
      </x:c>
      <x:c r="C118" s="40" t="n">
        <x:f>B118</x:f>
        <x:v>400.00444444444446</x:v>
      </x:c>
      <x:c r="D118" s="40" t="n">
        <x:f>SQRT(A118^2+Inputs!$C$6^2+B118^2)</x:f>
        <x:v>400.78991451296355</x:v>
      </x:c>
      <x:c r="E118" s="40" t="n">
        <x:f>(D118-C118)*1000</x:f>
        <x:v>785.4700685190892</x:v>
      </x:c>
      <x:c r="F118" s="40" t="n">
        <x:f>E118/Inputs!$C$12</x:f>
        <x:v>441.2753193927467</x:v>
      </x:c>
      <x:c r="G118" s="40" t="n">
        <x:f>2*E118/Inputs!$C$21*1000000</x:f>
        <x:v>5.24009225421601</x:v>
      </x:c>
      <x:c r="H118" s="40" t="n">
        <x:f>SQRT(A118^2+Inputs!$C$6^2)</x:f>
        <x:v>25.079872407968907</x:v>
      </x:c>
      <x:c r="I118" s="40" t="n">
        <x:f>DEGREES(ATAN(H118/B118))</x:f>
        <x:v>3.5876908367118427</x:v>
      </x:c>
      <x:c r="J118" s="40" t="n">
        <x:f>DEGREES((2*PI()/Inputs!$C$13)*Inputs!$C$15*SIN(RADIANS(I118)))</x:f>
        <x:v>22.52739836989279</x:v>
      </x:c>
      <x:c r="K118" s="40" t="n">
        <x:f>(C118/D118)^4</x:f>
        <x:v>0.9921837950175804</x:v>
      </x:c>
      <x:c r="L118" s="40" t="n">
        <x:f>10*LOG10(K118)</x:f>
        <x:v>-0.034078704180717595</x:v>
      </x:c>
      <x:c r="M118" s="40" t="n">
        <x:f>2*(Inputs!$C$9/(Inputs!$C$10^2))*A118</x:f>
        <x:v>-0.0044444444444444444</x:v>
      </x:c>
      <x:c r="N118" s="40" t="n">
        <x:f>M118*Inputs!$C$11</x:f>
        <x:v>-0.017777777777777778</x:v>
      </x:c>
      <x:c r="O118" s="40" t="n">
        <x:f>1000*((A118*Inputs!$C$11)+(B118*N118))/D118</x:f>
        <x:v>-37.70351891668676</x:v>
      </x:c>
      <x:c r="P118" s="40" t="n">
        <x:f>-2*O118/Inputs!$C$13</x:f>
        <x:v>15.081407566674704</x:v>
      </x:c>
      <x:c r="Q118" s="40" t="n">
        <x:f>-2*O118/Inputs!$C$14</x:f>
        <x:v>2.2644756106118176</x:v>
      </x:c>
      <x:c r="R118" s="40" t="n">
        <x:f>F118-Inputs!$C$16/2</x:f>
        <x:v>426.2753193927467</x:v>
      </x:c>
      <x:c r="S118" s="40" t="n">
        <x:f>F118+Inputs!$C$16/2</x:f>
        <x:v>456.2753193927467</x:v>
      </x:c>
      <x:c r="T118" s="40" t="n">
        <x:f>F118-Inputs!$C$17/2</x:f>
        <x:v>291.2753193927467</x:v>
      </x:c>
      <x:c r="U118" s="40" t="n">
        <x:f>F118+Inputs!$C$17/2</x:f>
        <x:v>591.2753193927467</x:v>
      </x:c>
      <x:c r="V118" s="40" t="n">
        <x:f>ABS(P118)</x:f>
        <x:v>15.081407566674704</x:v>
      </x:c>
      <x:c r="W118" s="40" t="n">
        <x:f>ABS(Q118)</x:f>
        <x:v>2.2644756106118176</x:v>
      </x:c>
      <x:c r="X118" s="40" t="n">
        <x:f>IF(Inputs!$C$27="ON",1,0)*(Inputs!$C$28*EXP(-(((A118)-Inputs!$C$29)^2)/(2*Inputs!$C$31^2))*EXP(-(((0)-Inputs!$C$30)^2)/(2*Inputs!$C$32^2))+-Inputs!$C$33*EXP(-(((((A118)-Inputs!$C$34)^2)+(((0)-Inputs!$C$35)^2))/(2*Inputs!$C$36^2)))+Inputs!$C$37*(0.55*SIN(2*PI()*(A118)/Inputs!$C$39)+0.35*COS(2*PI()*(0)/Inputs!$C$40)+0.2*SIN(2*PI()*((A118)+(0))/(0.5*(Inputs!$C$39+Inputs!$C$40))))+Inputs!$C$38*SIN(2*PI()*(A118)/Inputs!$C$39)*SIN(2*PI()*(0)/Inputs!$C$40)+-Inputs!$C$41*EXP(-(((0)-Inputs!$C$43)^2)/(2*Inputs!$C$44^2))*EXP(-(((A118)-Inputs!$C$42)^2)/(2*Inputs!$C$45^2)))</x:f>
        <x:v>-30.96001518310699</x:v>
      </x:c>
      <x:c r="Y118" s="40" t="n">
        <x:f>IF(Inputs!$C$27="ON",1,0)*(Inputs!$C$28*EXP(-(((A118)-Inputs!$C$29)^2)/(2*Inputs!$C$31^2))*EXP(-(((Inputs!$C$6)-Inputs!$C$30)^2)/(2*Inputs!$C$32^2))+-Inputs!$C$33*EXP(-(((((A118)-Inputs!$C$34)^2)+(((Inputs!$C$6)-Inputs!$C$35)^2))/(2*Inputs!$C$36^2)))+Inputs!$C$37*(0.55*SIN(2*PI()*(A118)/Inputs!$C$39)+0.35*COS(2*PI()*(Inputs!$C$6)/Inputs!$C$40)+0.2*SIN(2*PI()*((A118)+(Inputs!$C$6))/(0.5*(Inputs!$C$39+Inputs!$C$40))))+Inputs!$C$38*SIN(2*PI()*(A118)/Inputs!$C$39)*SIN(2*PI()*(Inputs!$C$6)/Inputs!$C$40)+-Inputs!$C$41*EXP(-(((Inputs!$C$6)-Inputs!$C$43)^2)/(2*Inputs!$C$44^2))*EXP(-(((A118)-Inputs!$C$42)^2)/(2*Inputs!$C$45^2)))</x:f>
        <x:v>329.0100342024772</x:v>
      </x:c>
      <x:c r="Z118" s="40" t="n">
        <x:f>B118-X118/1000</x:f>
        <x:v>400.03540445962756</x:v>
      </x:c>
      <x:c r="AA118" s="40" t="n">
        <x:f>SQRT(A118^2+Inputs!$C$6^2+(B118-Y118/1000)^2)</x:f>
        <x:v>400.46154980349314</x:v>
      </x:c>
      <x:c r="AB118" s="40" t="n">
        <x:f>(AA118-Z118)*1000</x:f>
        <x:v>426.1453438655849</x:v>
      </x:c>
      <x:c r="AC118" s="40" t="n">
        <x:f>AB118/Inputs!$C$12</x:f>
        <x:v>239.40749655369936</x:v>
      </x:c>
      <x:c r="AD118" s="40" t="n">
        <x:f>2*AB118/Inputs!$C$21*1000000</x:f>
        <x:v>2.8429357209885837</x:v>
      </x:c>
      <x:c r="AE118" s="40" t="n">
        <x:f>DEGREES(ATAN(H118/(B118-Y118/1000)))</x:f>
        <x:v>3.5906364755034486</x:v>
      </x:c>
      <x:c r="AF118" s="40" t="n">
        <x:f>DEGREES((2*PI()/Inputs!$C$13)*Inputs!$C$15*SIN(RADIANS(AE118)))</x:f>
        <x:v>22.545870062429774</x:v>
      </x:c>
      <x:c r="AG118" s="40" t="n">
        <x:f>(Z118/AA118)^4</x:f>
        <x:v>0.9957502475637359</x:v>
      </x:c>
      <x:c r="AH118" s="40" t="n">
        <x:f>10*LOG10(AG118)</x:f>
        <x:v>-0.0184957694419197</x:v>
      </x:c>
      <x:c r="AI118" s="40" t="n">
        <x:f>AC118-F118</x:f>
        <x:v>-201.86782283904736</x:v>
      </x:c>
      <x:c r="AJ118" s="40" t="n">
        <x:f>AD118-G118</x:f>
        <x:v>-2.397156533227426</x:v>
      </x:c>
      <x:c r="AK118" s="40" t="n">
        <x:f>Y118-X118</x:f>
        <x:v>359.97004938558416</x:v>
      </x:c>
      <x:c r="AL118" s="40" t="n">
        <x:f>1000*(AA119-AA117)/(A119-A117)*Inputs!$C$11</x:f>
        <x:v>-80.54515432877452</x:v>
      </x:c>
      <x:c r="AM118" s="40" t="n">
        <x:f>-2*AL118/Inputs!$C$13</x:f>
        <x:v>32.218061731509806</x:v>
      </x:c>
      <x:c r="AN118" s="40" t="n">
        <x:f>-2*AL118/Inputs!$C$14</x:f>
        <x:v>4.8375468065330045</x:v>
      </x:c>
      <x:c r="AO118" s="40" t="n">
        <x:f>ABS(AM118)</x:f>
        <x:v>32.218061731509806</x:v>
      </x:c>
      <x:c r="AP118" s="40" t="n">
        <x:f>ABS(AN118)</x:f>
        <x:v>4.8375468065330045</x:v>
      </x:c>
      <x:c r="AQ118" s="40" t="n">
        <x:f>IF(Inputs!$C$27="ON",Inputs!$C$46/Inputs!$C$12,0)</x:f>
        <x:v>42.13483146067416</x:v>
      </x:c>
      <x:c r="AR118" s="40" t="n">
        <x:f>AC118-AQ118</x:f>
        <x:v>197.2726650930252</x:v>
      </x:c>
      <x:c r="AS118" s="40" t="n">
        <x:f>AC118+AQ118</x:f>
        <x:v>281.54232801437354</x:v>
      </x:c>
    </x:row>
    <x:row r="119">
      <x:c r="A119" s="40" t="n">
        <x:f>Inputs!$C$7+117*(Inputs!$C$8-Inputs!$C$7)/240</x:f>
        <x:v>-1.5</x:v>
      </x:c>
      <x:c r="B119" s="40" t="n">
        <x:f>Inputs!$C$5+Inputs!$C$9*(A119/Inputs!$C$10)^2</x:f>
        <x:v>400.0025</x:v>
      </x:c>
      <x:c r="C119" s="40" t="n">
        <x:f>B119</x:f>
        <x:v>400.0025</x:v>
      </x:c>
      <x:c r="D119" s="40" t="n">
        <x:f>SQRT(A119^2+Inputs!$C$6^2+B119^2)</x:f>
        <x:v>400.78579067408316</x:v>
      </x:c>
      <x:c r="E119" s="40" t="n">
        <x:f>(D119-C119)*1000</x:f>
        <x:v>783.2906740831618</x:v>
      </x:c>
      <x:c r="F119" s="40" t="n">
        <x:f>E119/Inputs!$C$12</x:f>
        <x:v>440.0509404961583</x:v>
      </x:c>
      <x:c r="G119" s="40" t="n">
        <x:f>2*E119/Inputs!$C$21*1000000</x:f>
        <x:v>5.2255528995540095</x:v>
      </x:c>
      <x:c r="H119" s="40" t="n">
        <x:f>SQRT(A119^2+Inputs!$C$6^2)</x:f>
        <x:v>25.04495957273639</x:v>
      </x:c>
      <x:c r="I119" s="40" t="n">
        <x:f>DEGREES(ATAN(H119/B119))</x:f>
        <x:v>3.582726922473895</x:v>
      </x:c>
      <x:c r="J119" s="40" t="n">
        <x:f>DEGREES((2*PI()/Inputs!$C$13)*Inputs!$C$15*SIN(RADIANS(I119)))</x:f>
        <x:v>22.49627021711709</x:v>
      </x:c>
      <x:c r="K119" s="40" t="n">
        <x:f>(C119/D119)^4</x:f>
        <x:v>0.992205338586216</x:v>
      </x:c>
      <x:c r="L119" s="40" t="n">
        <x:f>10*LOG10(K119)</x:f>
        <x:v>-0.033984405609728</x:v>
      </x:c>
      <x:c r="M119" s="40" t="n">
        <x:f>2*(Inputs!$C$9/(Inputs!$C$10^2))*A119</x:f>
        <x:v>-0.003333333333333333</x:v>
      </x:c>
      <x:c r="N119" s="40" t="n">
        <x:f>M119*Inputs!$C$11</x:f>
        <x:v>-0.013333333333333332</x:v>
      </x:c>
      <x:c r="O119" s="40" t="n">
        <x:f>1000*((A119*Inputs!$C$11)+(B119*N119))/D119</x:f>
        <x:v>-28.277865459264497</x:v>
      </x:c>
      <x:c r="P119" s="40" t="n">
        <x:f>-2*O119/Inputs!$C$13</x:f>
        <x:v>11.311146183705798</x:v>
      </x:c>
      <x:c r="Q119" s="40" t="n">
        <x:f>-2*O119/Inputs!$C$14</x:f>
        <x:v>1.6983702978537236</x:v>
      </x:c>
      <x:c r="R119" s="40" t="n">
        <x:f>F119-Inputs!$C$16/2</x:f>
        <x:v>425.0509404961583</x:v>
      </x:c>
      <x:c r="S119" s="40" t="n">
        <x:f>F119+Inputs!$C$16/2</x:f>
        <x:v>455.0509404961583</x:v>
      </x:c>
      <x:c r="T119" s="40" t="n">
        <x:f>F119-Inputs!$C$17/2</x:f>
        <x:v>290.0509404961583</x:v>
      </x:c>
      <x:c r="U119" s="40" t="n">
        <x:f>F119+Inputs!$C$17/2</x:f>
        <x:v>590.0509404961583</x:v>
      </x:c>
      <x:c r="V119" s="40" t="n">
        <x:f>ABS(P119)</x:f>
        <x:v>11.311146183705798</x:v>
      </x:c>
      <x:c r="W119" s="40" t="n">
        <x:f>ABS(Q119)</x:f>
        <x:v>1.6983702978537236</x:v>
      </x:c>
      <x:c r="X119" s="40" t="n">
        <x:f>IF(Inputs!$C$27="ON",1,0)*(Inputs!$C$28*EXP(-(((A119)-Inputs!$C$29)^2)/(2*Inputs!$C$31^2))*EXP(-(((0)-Inputs!$C$30)^2)/(2*Inputs!$C$32^2))+-Inputs!$C$33*EXP(-(((((A119)-Inputs!$C$34)^2)+(((0)-Inputs!$C$35)^2))/(2*Inputs!$C$36^2)))+Inputs!$C$37*(0.55*SIN(2*PI()*(A119)/Inputs!$C$39)+0.35*COS(2*PI()*(0)/Inputs!$C$40)+0.2*SIN(2*PI()*((A119)+(0))/(0.5*(Inputs!$C$39+Inputs!$C$40))))+Inputs!$C$38*SIN(2*PI()*(A119)/Inputs!$C$39)*SIN(2*PI()*(0)/Inputs!$C$40)+-Inputs!$C$41*EXP(-(((0)-Inputs!$C$43)^2)/(2*Inputs!$C$44^2))*EXP(-(((A119)-Inputs!$C$42)^2)/(2*Inputs!$C$45^2)))</x:f>
        <x:v>-22.10413647832253</x:v>
      </x:c>
      <x:c r="Y119" s="40" t="n">
        <x:f>IF(Inputs!$C$27="ON",1,0)*(Inputs!$C$28*EXP(-(((A119)-Inputs!$C$29)^2)/(2*Inputs!$C$31^2))*EXP(-(((Inputs!$C$6)-Inputs!$C$30)^2)/(2*Inputs!$C$32^2))+-Inputs!$C$33*EXP(-(((((A119)-Inputs!$C$34)^2)+(((Inputs!$C$6)-Inputs!$C$35)^2))/(2*Inputs!$C$36^2)))+Inputs!$C$37*(0.55*SIN(2*PI()*(A119)/Inputs!$C$39)+0.35*COS(2*PI()*(Inputs!$C$6)/Inputs!$C$40)+0.2*SIN(2*PI()*((A119)+(Inputs!$C$6))/(0.5*(Inputs!$C$39+Inputs!$C$40))))+Inputs!$C$38*SIN(2*PI()*(A119)/Inputs!$C$39)*SIN(2*PI()*(Inputs!$C$6)/Inputs!$C$40)+-Inputs!$C$41*EXP(-(((Inputs!$C$6)-Inputs!$C$43)^2)/(2*Inputs!$C$44^2))*EXP(-(((A119)-Inputs!$C$42)^2)/(2*Inputs!$C$45^2)))</x:f>
        <x:v>334.86272925983457</x:v>
      </x:c>
      <x:c r="Z119" s="40" t="n">
        <x:f>B119-X119/1000</x:f>
        <x:v>400.02460413647833</x:v>
      </x:c>
      <x:c r="AA119" s="40" t="n">
        <x:f>SQRT(A119^2+Inputs!$C$6^2+(B119-Y119/1000)^2)</x:f>
        <x:v>400.45158294302684</x:v>
      </x:c>
      <x:c r="AB119" s="40" t="n">
        <x:f>(AA119-Z119)*1000</x:f>
        <x:v>426.9788065485045</x:v>
      </x:c>
      <x:c r="AC119" s="40" t="n">
        <x:f>AB119/Inputs!$C$12</x:f>
        <x:v>239.87573401601375</x:v>
      </x:c>
      <x:c r="AD119" s="40" t="n">
        <x:f>2*AB119/Inputs!$C$21*1000000</x:f>
        <x:v>2.8484959855027743</x:v>
      </x:c>
      <x:c r="AE119" s="40" t="n">
        <x:f>DEGREES(ATAN(H119/(B119-Y119/1000)))</x:f>
        <x:v>3.5857208925105803</x:v>
      </x:c>
      <x:c r="AF119" s="40" t="n">
        <x:f>DEGREES((2*PI()/Inputs!$C$13)*Inputs!$C$15*SIN(RADIANS(AE119)))</x:f>
        <x:v>22.515045089652837</x:v>
      </x:c>
      <x:c r="AG119" s="40" t="n">
        <x:f>(Z119/AA119)^4</x:f>
        <x:v>0.9957418433081259</x:v>
      </x:c>
      <x:c r="AH119" s="40" t="n">
        <x:f>10*LOG10(AG119)</x:f>
        <x:v>-0.0185324245896119</x:v>
      </x:c>
      <x:c r="AI119" s="40" t="n">
        <x:f>AC119-F119</x:f>
        <x:v>-200.17520648014457</x:v>
      </x:c>
      <x:c r="AJ119" s="40" t="n">
        <x:f>AD119-G119</x:f>
        <x:v>-2.377056914051235</x:v>
      </x:c>
      <x:c r="AK119" s="40" t="n">
        <x:f>Y119-X119</x:f>
        <x:v>356.9668657381571</x:v>
      </x:c>
      <x:c r="AL119" s="40" t="n">
        <x:f>1000*(AA120-AA118)/(A120-A118)*Inputs!$C$11</x:f>
        <x:v>-78.45568949323933</x:v>
      </x:c>
      <x:c r="AM119" s="40" t="n">
        <x:f>-2*AL119/Inputs!$C$13</x:f>
        <x:v>31.382275797295733</x:v>
      </x:c>
      <x:c r="AN119" s="40" t="n">
        <x:f>-2*AL119/Inputs!$C$14</x:f>
        <x:v>4.712053423017378</x:v>
      </x:c>
      <x:c r="AO119" s="40" t="n">
        <x:f>ABS(AM119)</x:f>
        <x:v>31.382275797295733</x:v>
      </x:c>
      <x:c r="AP119" s="40" t="n">
        <x:f>ABS(AN119)</x:f>
        <x:v>4.712053423017378</x:v>
      </x:c>
      <x:c r="AQ119" s="40" t="n">
        <x:f>IF(Inputs!$C$27="ON",Inputs!$C$46/Inputs!$C$12,0)</x:f>
        <x:v>42.13483146067416</x:v>
      </x:c>
      <x:c r="AR119" s="40" t="n">
        <x:f>AC119-AQ119</x:f>
        <x:v>197.7409025553396</x:v>
      </x:c>
      <x:c r="AS119" s="40" t="n">
        <x:f>AC119+AQ119</x:f>
        <x:v>282.01056547668793</x:v>
      </x:c>
    </x:row>
    <x:row r="120">
      <x:c r="A120" s="40" t="n">
        <x:f>Inputs!$C$7+118*(Inputs!$C$8-Inputs!$C$7)/240</x:f>
        <x:v>-1</x:v>
      </x:c>
      <x:c r="B120" s="40" t="n">
        <x:f>Inputs!$C$5+Inputs!$C$9*(A120/Inputs!$C$10)^2</x:f>
        <x:v>400.00111111111113</x:v>
      </x:c>
      <x:c r="C120" s="40" t="n">
        <x:f>B120</x:f>
        <x:v>400.00111111111113</x:v>
      </x:c>
      <x:c r="D120" s="40" t="n">
        <x:f>SQRT(A120^2+Inputs!$C$6^2+B120^2)</x:f>
        <x:v>400.7828450546798</x:v>
      </x:c>
      <x:c r="E120" s="40" t="n">
        <x:f>(D120-C120)*1000</x:f>
        <x:v>781.7339435686677</x:v>
      </x:c>
      <x:c r="F120" s="40" t="n">
        <x:f>E120/Inputs!$C$12</x:f>
        <x:v>439.1763727913863</x:v>
      </x:c>
      <x:c r="G120" s="40" t="n">
        <x:f>2*E120/Inputs!$C$21*1000000</x:f>
        <x:v>5.215167511443318</x:v>
      </x:c>
      <x:c r="H120" s="40" t="n">
        <x:f>SQRT(A120^2+Inputs!$C$6^2)</x:f>
        <x:v>25.019992006393608</x:v>
      </x:c>
      <x:c r="I120" s="40" t="n">
        <x:f>DEGREES(ATAN(H120/B120))</x:f>
        <x:v>3.5791769511981175</x:v>
      </x:c>
      <x:c r="J120" s="40" t="n">
        <x:f>DEGREES((2*PI()/Inputs!$C$13)*Inputs!$C$15*SIN(RADIANS(I120)))</x:f>
        <x:v>22.474008639448687</x:v>
      </x:c>
      <x:c r="K120" s="40" t="n">
        <x:f>(C120/D120)^4</x:f>
        <x:v>0.9922207275358317</x:v>
      </x:c>
      <x:c r="L120" s="40" t="n">
        <x:f>10*LOG10(K120)</x:f>
        <x:v>-0.0339170477371962</x:v>
      </x:c>
      <x:c r="M120" s="40" t="n">
        <x:f>2*(Inputs!$C$9/(Inputs!$C$10^2))*A120</x:f>
        <x:v>-0.0022222222222222222</x:v>
      </x:c>
      <x:c r="N120" s="40" t="n">
        <x:f>M120*Inputs!$C$11</x:f>
        <x:v>-0.008888888888888889</x:v>
      </x:c>
      <x:c r="O120" s="40" t="n">
        <x:f>1000*((A120*Inputs!$C$11)+(B120*N120))/D120</x:f>
        <x:v>-18.852018057479334</x:v>
      </x:c>
      <x:c r="P120" s="40" t="n">
        <x:f>-2*O120/Inputs!$C$13</x:f>
        <x:v>7.540807222991734</x:v>
      </x:c>
      <x:c r="Q120" s="40" t="n">
        <x:f>-2*O120/Inputs!$C$14</x:f>
        <x:v>1.1322533367855456</x:v>
      </x:c>
      <x:c r="R120" s="40" t="n">
        <x:f>F120-Inputs!$C$16/2</x:f>
        <x:v>424.1763727913863</x:v>
      </x:c>
      <x:c r="S120" s="40" t="n">
        <x:f>F120+Inputs!$C$16/2</x:f>
        <x:v>454.1763727913863</x:v>
      </x:c>
      <x:c r="T120" s="40" t="n">
        <x:f>F120-Inputs!$C$17/2</x:f>
        <x:v>289.1763727913863</x:v>
      </x:c>
      <x:c r="U120" s="40" t="n">
        <x:f>F120+Inputs!$C$17/2</x:f>
        <x:v>589.1763727913863</x:v>
      </x:c>
      <x:c r="V120" s="40" t="n">
        <x:f>ABS(P120)</x:f>
        <x:v>7.540807222991734</x:v>
      </x:c>
      <x:c r="W120" s="40" t="n">
        <x:f>ABS(Q120)</x:f>
        <x:v>1.1322533367855456</x:v>
      </x:c>
      <x:c r="X120" s="40" t="n">
        <x:f>IF(Inputs!$C$27="ON",1,0)*(Inputs!$C$28*EXP(-(((A120)-Inputs!$C$29)^2)/(2*Inputs!$C$31^2))*EXP(-(((0)-Inputs!$C$30)^2)/(2*Inputs!$C$32^2))+-Inputs!$C$33*EXP(-(((((A120)-Inputs!$C$34)^2)+(((0)-Inputs!$C$35)^2))/(2*Inputs!$C$36^2)))+Inputs!$C$37*(0.55*SIN(2*PI()*(A120)/Inputs!$C$39)+0.35*COS(2*PI()*(0)/Inputs!$C$40)+0.2*SIN(2*PI()*((A120)+(0))/(0.5*(Inputs!$C$39+Inputs!$C$40))))+Inputs!$C$38*SIN(2*PI()*(A120)/Inputs!$C$39)*SIN(2*PI()*(0)/Inputs!$C$40)+-Inputs!$C$41*EXP(-(((0)-Inputs!$C$43)^2)/(2*Inputs!$C$44^2))*EXP(-(((A120)-Inputs!$C$42)^2)/(2*Inputs!$C$45^2)))</x:f>
        <x:v>-12.53555922152693</x:v>
      </x:c>
      <x:c r="Y120" s="40" t="n">
        <x:f>IF(Inputs!$C$27="ON",1,0)*(Inputs!$C$28*EXP(-(((A120)-Inputs!$C$29)^2)/(2*Inputs!$C$31^2))*EXP(-(((Inputs!$C$6)-Inputs!$C$30)^2)/(2*Inputs!$C$32^2))+-Inputs!$C$33*EXP(-(((((A120)-Inputs!$C$34)^2)+(((Inputs!$C$6)-Inputs!$C$35)^2))/(2*Inputs!$C$36^2)))+Inputs!$C$37*(0.55*SIN(2*PI()*(A120)/Inputs!$C$39)+0.35*COS(2*PI()*(Inputs!$C$6)/Inputs!$C$40)+0.2*SIN(2*PI()*((A120)+(Inputs!$C$6))/(0.5*(Inputs!$C$39+Inputs!$C$40))))+Inputs!$C$38*SIN(2*PI()*(A120)/Inputs!$C$39)*SIN(2*PI()*(Inputs!$C$6)/Inputs!$C$40)+-Inputs!$C$41*EXP(-(((Inputs!$C$6)-Inputs!$C$43)^2)/(2*Inputs!$C$44^2))*EXP(-(((A120)-Inputs!$C$42)^2)/(2*Inputs!$C$45^2)))</x:f>
        <x:v>341.57599125577957</x:v>
      </x:c>
      <x:c r="Z120" s="40" t="n">
        <x:f>B120-X120/1000</x:f>
        <x:v>400.01364667033266</x:v>
      </x:c>
      <x:c r="AA120" s="40" t="n">
        <x:f>SQRT(A120^2+Inputs!$C$6^2+(B120-Y120/1000)^2)</x:f>
        <x:v>400.44193588111983</x:v>
      </x:c>
      <x:c r="AB120" s="40" t="n">
        <x:f>(AA120-Z120)*1000</x:f>
        <x:v>428.2892107871703</x:v>
      </x:c>
      <x:c r="AC120" s="40" t="n">
        <x:f>AB120/Inputs!$C$12</x:f>
        <x:v>240.6119161725676</x:v>
      </x:c>
      <x:c r="AD120" s="40" t="n">
        <x:f>2*AB120/Inputs!$C$21*1000000</x:f>
        <x:v>2.857238061587062</x:v>
      </x:c>
      <x:c r="AE120" s="40" t="n">
        <x:f>DEGREES(ATAN(H120/(B120-Y120/1000)))</x:f>
        <x:v>3.582227995125343</x:v>
      </x:c>
      <x:c r="AF120" s="40" t="n">
        <x:f>DEGREES((2*PI()/Inputs!$C$13)*Inputs!$C$15*SIN(RADIANS(AE120)))</x:f>
        <x:v>22.49314148999541</x:v>
      </x:c>
      <x:c r="AG120" s="40" t="n">
        <x:f>(Z120/AA120)^4</x:f>
        <x:v>0.9957286931988387</x:v>
      </x:c>
      <x:c r="AH120" s="40" t="n">
        <x:f>10*LOG10(AG120)</x:f>
        <x:v>-0.0185897793914554</x:v>
      </x:c>
      <x:c r="AI120" s="40" t="n">
        <x:f>AC120-F120</x:f>
        <x:v>-198.56445661881872</x:v>
      </x:c>
      <x:c r="AJ120" s="40" t="n">
        <x:f>AD120-G120</x:f>
        <x:v>-2.357929449856256</x:v>
      </x:c>
      <x:c r="AK120" s="40" t="n">
        <x:f>Y120-X120</x:f>
        <x:v>354.1115504773065</x:v>
      </x:c>
      <x:c r="AL120" s="40" t="n">
        <x:f>1000*(AA121-AA119)/(A121-A119)*Inputs!$C$11</x:f>
        <x:v>-75.29130616944713</x:v>
      </x:c>
      <x:c r="AM120" s="40" t="n">
        <x:f>-2*AL120/Inputs!$C$13</x:f>
        <x:v>30.11652246777885</x:v>
      </x:c>
      <x:c r="AN120" s="40" t="n">
        <x:f>-2*AL120/Inputs!$C$14</x:f>
        <x:v>4.5220003705373655</x:v>
      </x:c>
      <x:c r="AO120" s="40" t="n">
        <x:f>ABS(AM120)</x:f>
        <x:v>30.11652246777885</x:v>
      </x:c>
      <x:c r="AP120" s="40" t="n">
        <x:f>ABS(AN120)</x:f>
        <x:v>4.5220003705373655</x:v>
      </x:c>
      <x:c r="AQ120" s="40" t="n">
        <x:f>IF(Inputs!$C$27="ON",Inputs!$C$46/Inputs!$C$12,0)</x:f>
        <x:v>42.13483146067416</x:v>
      </x:c>
      <x:c r="AR120" s="40" t="n">
        <x:f>AC120-AQ120</x:f>
        <x:v>198.47708471189344</x:v>
      </x:c>
      <x:c r="AS120" s="40" t="n">
        <x:f>AC120+AQ120</x:f>
        <x:v>282.74674763324174</x:v>
      </x:c>
    </x:row>
    <x:row r="121">
      <x:c r="A121" s="40" t="n">
        <x:f>Inputs!$C$7+119*(Inputs!$C$8-Inputs!$C$7)/240</x:f>
        <x:v>-0.5</x:v>
      </x:c>
      <x:c r="B121" s="40" t="n">
        <x:f>Inputs!$C$5+Inputs!$C$9*(A121/Inputs!$C$10)^2</x:f>
        <x:v>400.0002777777778</x:v>
      </x:c>
      <x:c r="C121" s="40" t="n">
        <x:f>B121</x:f>
        <x:v>400.0002777777778</x:v>
      </x:c>
      <x:c r="D121" s="40" t="n">
        <x:f>SQRT(A121^2+Inputs!$C$6^2+B121^2)</x:f>
        <x:v>400.78107767495635</x:v>
      </x:c>
      <x:c r="E121" s="40" t="n">
        <x:f>(D121-C121)*1000</x:f>
        <x:v>780.7998971785537</x:v>
      </x:c>
      <x:c r="F121" s="40" t="n">
        <x:f>E121/Inputs!$C$12</x:f>
        <x:v>438.65162762840095</x:v>
      </x:c>
      <x:c r="G121" s="40" t="n">
        <x:f>2*E121/Inputs!$C$21*1000000</x:f>
        <x:v>5.208936224663488</x:v>
      </x:c>
      <x:c r="H121" s="40" t="n">
        <x:f>SQRT(A121^2+Inputs!$C$6^2)</x:f>
        <x:v>25.004999500099974</x:v>
      </x:c>
      <x:c r="I121" s="40" t="n">
        <x:f>DEGREES(ATAN(H121/B121))</x:f>
        <x:v>3.5770452359901275</x:v>
      </x:c>
      <x:c r="J121" s="40" t="n">
        <x:f>DEGREES((2*PI()/Inputs!$C$13)*Inputs!$C$15*SIN(RADIANS(I121)))</x:f>
        <x:v>22.46064078737939</x:v>
      </x:c>
      <x:c r="K121" s="40" t="n">
        <x:f>(C121/D121)^4</x:f>
        <x:v>0.9922299611801368</x:v>
      </x:c>
      <x:c r="L121" s="40" t="n">
        <x:f>10*LOG10(K121)</x:f>
        <x:v>-0.0338766323134981</x:v>
      </x:c>
      <x:c r="M121" s="40" t="n">
        <x:f>2*(Inputs!$C$9/(Inputs!$C$10^2))*A121</x:f>
        <x:v>-0.0011111111111111111</x:v>
      </x:c>
      <x:c r="N121" s="40" t="n">
        <x:f>M121*Inputs!$C$11</x:f>
        <x:v>-0.0044444444444444444</x:v>
      </x:c>
      <x:c r="O121" s="40" t="n">
        <x:f>1000*((A121*Inputs!$C$11)+(B121*N121))/D121</x:f>
        <x:v>-9.426041354700766</x:v>
      </x:c>
      <x:c r="P121" s="40" t="n">
        <x:f>-2*O121/Inputs!$C$13</x:f>
        <x:v>3.7704165418803064</x:v>
      </x:c>
      <x:c r="Q121" s="40" t="n">
        <x:f>-2*O121/Inputs!$C$14</x:f>
        <x:v>0.5661286098919379</x:v>
      </x:c>
      <x:c r="R121" s="40" t="n">
        <x:f>F121-Inputs!$C$16/2</x:f>
        <x:v>423.65162762840095</x:v>
      </x:c>
      <x:c r="S121" s="40" t="n">
        <x:f>F121+Inputs!$C$16/2</x:f>
        <x:v>453.65162762840095</x:v>
      </x:c>
      <x:c r="T121" s="40" t="n">
        <x:f>F121-Inputs!$C$17/2</x:f>
        <x:v>288.65162762840095</x:v>
      </x:c>
      <x:c r="U121" s="40" t="n">
        <x:f>F121+Inputs!$C$17/2</x:f>
        <x:v>588.651627628401</x:v>
      </x:c>
      <x:c r="V121" s="40" t="n">
        <x:f>ABS(P121)</x:f>
        <x:v>3.7704165418803064</x:v>
      </x:c>
      <x:c r="W121" s="40" t="n">
        <x:f>ABS(Q121)</x:f>
        <x:v>0.5661286098919379</x:v>
      </x:c>
      <x:c r="X121" s="40" t="n">
        <x:f>IF(Inputs!$C$27="ON",1,0)*(Inputs!$C$28*EXP(-(((A121)-Inputs!$C$29)^2)/(2*Inputs!$C$31^2))*EXP(-(((0)-Inputs!$C$30)^2)/(2*Inputs!$C$32^2))+-Inputs!$C$33*EXP(-(((((A121)-Inputs!$C$34)^2)+(((0)-Inputs!$C$35)^2))/(2*Inputs!$C$36^2)))+Inputs!$C$37*(0.55*SIN(2*PI()*(A121)/Inputs!$C$39)+0.35*COS(2*PI()*(0)/Inputs!$C$40)+0.2*SIN(2*PI()*((A121)+(0))/(0.5*(Inputs!$C$39+Inputs!$C$40))))+Inputs!$C$38*SIN(2*PI()*(A121)/Inputs!$C$39)*SIN(2*PI()*(0)/Inputs!$C$40)+-Inputs!$C$41*EXP(-(((0)-Inputs!$C$43)^2)/(2*Inputs!$C$44^2))*EXP(-(((A121)-Inputs!$C$42)^2)/(2*Inputs!$C$45^2)))</x:f>
        <x:v>-2.5201416694227667</x:v>
      </x:c>
      <x:c r="Y121" s="40" t="n">
        <x:f>IF(Inputs!$C$27="ON",1,0)*(Inputs!$C$28*EXP(-(((A121)-Inputs!$C$29)^2)/(2*Inputs!$C$31^2))*EXP(-(((Inputs!$C$6)-Inputs!$C$30)^2)/(2*Inputs!$C$32^2))+-Inputs!$C$33*EXP(-(((((A121)-Inputs!$C$34)^2)+(((Inputs!$C$6)-Inputs!$C$35)^2))/(2*Inputs!$C$36^2)))+Inputs!$C$37*(0.55*SIN(2*PI()*(A121)/Inputs!$C$39)+0.35*COS(2*PI()*(Inputs!$C$6)/Inputs!$C$40)+0.2*SIN(2*PI()*((A121)+(Inputs!$C$6))/(0.5*(Inputs!$C$39+Inputs!$C$40))))+Inputs!$C$38*SIN(2*PI()*(A121)/Inputs!$C$39)*SIN(2*PI()*(Inputs!$C$6)/Inputs!$C$40)+-Inputs!$C$41*EXP(-(((Inputs!$C$6)-Inputs!$C$43)^2)/(2*Inputs!$C$44^2))*EXP(-(((A121)-Inputs!$C$42)^2)/(2*Inputs!$C$45^2)))</x:f>
        <x:v>348.9980669453948</x:v>
      </x:c>
      <x:c r="Z121" s="40" t="n">
        <x:f>B121-X121/1000</x:f>
        <x:v>400.00279791944723</x:v>
      </x:c>
      <x:c r="AA121" s="40" t="n">
        <x:f>SQRT(A121^2+Inputs!$C$6^2+(B121-Y121/1000)^2)</x:f>
        <x:v>400.4327601164845</x:v>
      </x:c>
      <x:c r="AB121" s="40" t="n">
        <x:f>(AA121-Z121)*1000</x:f>
        <x:v>429.96219703724137</x:v>
      </x:c>
      <x:c r="AC121" s="40" t="n">
        <x:f>AB121/Inputs!$C$12</x:f>
        <x:v>241.55179608833785</x:v>
      </x:c>
      <x:c r="AD121" s="40" t="n">
        <x:f>2*AB121/Inputs!$C$21*1000000</x:f>
        <x:v>2.86839902448274</x:v>
      </x:c>
      <x:c r="AE121" s="40" t="n">
        <x:f>DEGREES(ATAN(H121/(B121-Y121/1000)))</x:f>
        <x:v>3.5801607929448713</x:v>
      </x:c>
      <x:c r="AF121" s="40" t="n">
        <x:f>DEGREES((2*PI()/Inputs!$C$13)*Inputs!$C$15*SIN(RADIANS(AE121)))</x:f>
        <x:v>22.480178238707037</x:v>
      </x:c>
      <x:c r="AG121" s="40" t="n">
        <x:f>(Z121/AA121)^4</x:f>
        <x:v>0.9957119373687295</x:v>
      </x:c>
      <x:c r="AH121" s="40" t="n">
        <x:f>10*LOG10(AG121)</x:f>
        <x:v>-0.0186628618067139</x:v>
      </x:c>
      <x:c r="AI121" s="40" t="n">
        <x:f>AC121-F121</x:f>
        <x:v>-197.0998315400631</x:v>
      </x:c>
      <x:c r="AJ121" s="40" t="n">
        <x:f>AD121-G121</x:f>
        <x:v>-2.3405372001807483</x:v>
      </x:c>
      <x:c r="AK121" s="40" t="n">
        <x:f>Y121-X121</x:f>
        <x:v>351.5182086148175</x:v>
      </x:c>
      <x:c r="AL121" s="40" t="n">
        <x:f>1000*(AA122-AA120)/(A122-A120)*Inputs!$C$11</x:f>
        <x:v>-70.79076997706579</x:v>
      </x:c>
      <x:c r="AM121" s="40" t="n">
        <x:f>-2*AL121/Inputs!$C$13</x:f>
        <x:v>28.316307990826317</x:v>
      </x:c>
      <x:c r="AN121" s="40" t="n">
        <x:f>-2*AL121/Inputs!$C$14</x:f>
        <x:v>4.251697896520469</x:v>
      </x:c>
      <x:c r="AO121" s="40" t="n">
        <x:f>ABS(AM121)</x:f>
        <x:v>28.316307990826317</x:v>
      </x:c>
      <x:c r="AP121" s="40" t="n">
        <x:f>ABS(AN121)</x:f>
        <x:v>4.251697896520469</x:v>
      </x:c>
      <x:c r="AQ121" s="40" t="n">
        <x:f>IF(Inputs!$C$27="ON",Inputs!$C$46/Inputs!$C$12,0)</x:f>
        <x:v>42.13483146067416</x:v>
      </x:c>
      <x:c r="AR121" s="40" t="n">
        <x:f>AC121-AQ121</x:f>
        <x:v>199.4169646276637</x:v>
      </x:c>
      <x:c r="AS121" s="40" t="n">
        <x:f>AC121+AQ121</x:f>
        <x:v>283.68662754901203</x:v>
      </x:c>
    </x:row>
    <x:row r="122">
      <x:c r="A122" s="40" t="n">
        <x:f>Inputs!$C$7+120*(Inputs!$C$8-Inputs!$C$7)/240</x:f>
        <x:v>0</x:v>
      </x:c>
      <x:c r="B122" s="40" t="n">
        <x:f>Inputs!$C$5+Inputs!$C$9*(A122/Inputs!$C$10)^2</x:f>
        <x:v>400</x:v>
      </x:c>
      <x:c r="C122" s="40" t="n">
        <x:f>B122</x:f>
        <x:v>400</x:v>
      </x:c>
      <x:c r="D122" s="40" t="n">
        <x:f>SQRT(A122^2+Inputs!$C$6^2+B122^2)</x:f>
        <x:v>400.7804885470349</x:v>
      </x:c>
      <x:c r="E122" s="40" t="n">
        <x:f>(D122-C122)*1000</x:f>
        <x:v>780.4885470349063</x:v>
      </x:c>
      <x:c r="F122" s="40" t="n">
        <x:f>E122/Inputs!$C$12</x:f>
        <x:v>438.4767118173631</x:v>
      </x:c>
      <x:c r="G122" s="40" t="n">
        <x:f>2*E122/Inputs!$C$21*1000000</x:f>
        <x:v>5.206859120084377</x:v>
      </x:c>
      <x:c r="H122" s="40" t="n">
        <x:f>SQRT(A122^2+Inputs!$C$6^2)</x:f>
        <x:v>25</x:v>
      </x:c>
      <x:c r="I122" s="40" t="n">
        <x:f>DEGREES(ATAN(H122/B122))</x:f>
        <x:v>3.5763343749973515</x:v>
      </x:c>
      <x:c r="J122" s="40" t="n">
        <x:f>DEGREES((2*PI()/Inputs!$C$13)*Inputs!$C$15*SIN(RADIANS(I122)))</x:f>
        <x:v>22.456183015864994</x:v>
      </x:c>
      <x:c r="K122" s="40" t="n">
        <x:f>(C122/D122)^4</x:f>
        <x:v>0.9922330391073297</x:v>
      </x:c>
      <x:c r="L122" s="40" t="n">
        <x:f>10*LOG10(K122)</x:f>
        <x:v>-0.033863160388898</x:v>
      </x:c>
      <x:c r="M122" s="40" t="n">
        <x:f>2*(Inputs!$C$9/(Inputs!$C$10^2))*A122</x:f>
        <x:v>0</x:v>
      </x:c>
      <x:c r="N122" s="40" t="n">
        <x:f>M122*Inputs!$C$11</x:f>
        <x:v>0</x:v>
      </x:c>
      <x:c r="O122" s="40" t="n">
        <x:f>1000*((A122*Inputs!$C$11)+(B122*N122))/D122</x:f>
        <x:v>0</x:v>
      </x:c>
      <x:c r="P122" s="40" t="n">
        <x:f>-2*O122/Inputs!$C$13</x:f>
        <x:v>0</x:v>
      </x:c>
      <x:c r="Q122" s="40" t="n">
        <x:f>-2*O122/Inputs!$C$14</x:f>
        <x:v>0</x:v>
      </x:c>
      <x:c r="R122" s="40" t="n">
        <x:f>F122-Inputs!$C$16/2</x:f>
        <x:v>423.4767118173631</x:v>
      </x:c>
      <x:c r="S122" s="40" t="n">
        <x:f>F122+Inputs!$C$16/2</x:f>
        <x:v>453.4767118173631</x:v>
      </x:c>
      <x:c r="T122" s="40" t="n">
        <x:f>F122-Inputs!$C$17/2</x:f>
        <x:v>288.4767118173631</x:v>
      </x:c>
      <x:c r="U122" s="40" t="n">
        <x:f>F122+Inputs!$C$17/2</x:f>
        <x:v>588.4767118173631</x:v>
      </x:c>
      <x:c r="V122" s="40" t="n">
        <x:f>ABS(P122)</x:f>
        <x:v>0</x:v>
      </x:c>
      <x:c r="W122" s="40" t="n">
        <x:f>ABS(Q122)</x:f>
        <x:v>0</x:v>
      </x:c>
      <x:c r="X122" s="40" t="n">
        <x:f>IF(Inputs!$C$27="ON",1,0)*(Inputs!$C$28*EXP(-(((A122)-Inputs!$C$29)^2)/(2*Inputs!$C$31^2))*EXP(-(((0)-Inputs!$C$30)^2)/(2*Inputs!$C$32^2))+-Inputs!$C$33*EXP(-(((((A122)-Inputs!$C$34)^2)+(((0)-Inputs!$C$35)^2))/(2*Inputs!$C$36^2)))+Inputs!$C$37*(0.55*SIN(2*PI()*(A122)/Inputs!$C$39)+0.35*COS(2*PI()*(0)/Inputs!$C$40)+0.2*SIN(2*PI()*((A122)+(0))/(0.5*(Inputs!$C$39+Inputs!$C$40))))+Inputs!$C$38*SIN(2*PI()*(A122)/Inputs!$C$39)*SIN(2*PI()*(0)/Inputs!$C$40)+-Inputs!$C$41*EXP(-(((0)-Inputs!$C$43)^2)/(2*Inputs!$C$44^2))*EXP(-(((A122)-Inputs!$C$42)^2)/(2*Inputs!$C$45^2)))</x:f>
        <x:v>7.655517242962714</x:v>
      </x:c>
      <x:c r="Y122" s="40" t="n">
        <x:f>IF(Inputs!$C$27="ON",1,0)*(Inputs!$C$28*EXP(-(((A122)-Inputs!$C$29)^2)/(2*Inputs!$C$31^2))*EXP(-(((Inputs!$C$6)-Inputs!$C$30)^2)/(2*Inputs!$C$32^2))+-Inputs!$C$33*EXP(-(((((A122)-Inputs!$C$34)^2)+(((Inputs!$C$6)-Inputs!$C$35)^2))/(2*Inputs!$C$36^2)))+Inputs!$C$37*(0.55*SIN(2*PI()*(A122)/Inputs!$C$39)+0.35*COS(2*PI()*(Inputs!$C$6)/Inputs!$C$40)+0.2*SIN(2*PI()*((A122)+(Inputs!$C$6))/(0.5*(Inputs!$C$39+Inputs!$C$40))))+Inputs!$C$38*SIN(2*PI()*(A122)/Inputs!$C$39)*SIN(2*PI()*(Inputs!$C$6)/Inputs!$C$40)+-Inputs!$C$41*EXP(-(((Inputs!$C$6)-Inputs!$C$43)^2)/(2*Inputs!$C$44^2))*EXP(-(((A122)-Inputs!$C$42)^2)/(2*Inputs!$C$45^2)))</x:f>
        <x:v>356.94610197323505</x:v>
      </x:c>
      <x:c r="Z122" s="40" t="n">
        <x:f>B122-X122/1000</x:f>
        <x:v>399.99234448275706</x:v>
      </x:c>
      <x:c r="AA122" s="40" t="n">
        <x:f>SQRT(A122^2+Inputs!$C$6^2+(B122-Y122/1000)^2)</x:f>
        <x:v>400.42423818862557</x:v>
      </x:c>
      <x:c r="AB122" s="40" t="n">
        <x:f>(AA122-Z122)*1000</x:f>
        <x:v>431.89370586850373</x:v>
      </x:c>
      <x:c r="AC122" s="40" t="n">
        <x:f>AB122/Inputs!$C$12</x:f>
        <x:v>242.63691340927176</x:v>
      </x:c>
      <x:c r="AD122" s="40" t="n">
        <x:f>2*AB122/Inputs!$C$21*1000000</x:f>
        <x:v>2.881284664396085</x:v>
      </x:c>
      <x:c r="AE122" s="40" t="n">
        <x:f>DEGREES(ATAN(H122/(B122-Y122/1000)))</x:f>
        <x:v>3.5795203206019375</x:v>
      </x:c>
      <x:c r="AF122" s="40" t="n">
        <x:f>DEGREES((2*PI()/Inputs!$C$13)*Inputs!$C$15*SIN(RADIANS(AE122)))</x:f>
        <x:v>22.476161884487176</x:v>
      </x:c>
      <x:c r="AG122" s="40" t="n">
        <x:f>(Z122/AA122)^4</x:f>
        <x:v>0.9956926138579753</x:v>
      </x:c>
      <x:c r="AH122" s="40" t="n">
        <x:f>10*LOG10(AG122)</x:f>
        <x:v>-0.0187471449734535</x:v>
      </x:c>
      <x:c r="AI122" s="40" t="n">
        <x:f>AC122-F122</x:f>
        <x:v>-195.83979840809133</x:v>
      </x:c>
      <x:c r="AJ122" s="40" t="n">
        <x:f>AD122-G122</x:f>
        <x:v>-2.3255744556882916</x:v>
      </x:c>
      <x:c r="AK122" s="40" t="n">
        <x:f>Y122-X122</x:f>
        <x:v>349.2905847302723</x:v>
      </x:c>
      <x:c r="AL122" s="40" t="n">
        <x:f>1000*(AA123-AA121)/(A123-A121)*Inputs!$C$11</x:f>
        <x:v>-64.72326205675927</x:v>
      </x:c>
      <x:c r="AM122" s="40" t="n">
        <x:f>-2*AL122/Inputs!$C$13</x:f>
        <x:v>25.889304822703707</x:v>
      </x:c>
      <x:c r="AN122" s="40" t="n">
        <x:f>-2*AL122/Inputs!$C$14</x:f>
        <x:v>3.8872830064119683</x:v>
      </x:c>
      <x:c r="AO122" s="40" t="n">
        <x:f>ABS(AM122)</x:f>
        <x:v>25.889304822703707</x:v>
      </x:c>
      <x:c r="AP122" s="40" t="n">
        <x:f>ABS(AN122)</x:f>
        <x:v>3.8872830064119683</x:v>
      </x:c>
      <x:c r="AQ122" s="40" t="n">
        <x:f>IF(Inputs!$C$27="ON",Inputs!$C$46/Inputs!$C$12,0)</x:f>
        <x:v>42.13483146067416</x:v>
      </x:c>
      <x:c r="AR122" s="40" t="n">
        <x:f>AC122-AQ122</x:f>
        <x:v>200.5020819485976</x:v>
      </x:c>
      <x:c r="AS122" s="40" t="n">
        <x:f>AC122+AQ122</x:f>
        <x:v>284.7717448699459</x:v>
      </x:c>
    </x:row>
    <x:row r="123">
      <x:c r="A123" s="40" t="n">
        <x:f>Inputs!$C$7+121*(Inputs!$C$8-Inputs!$C$7)/240</x:f>
        <x:v>0.5</x:v>
      </x:c>
      <x:c r="B123" s="40" t="n">
        <x:f>Inputs!$C$5+Inputs!$C$9*(A123/Inputs!$C$10)^2</x:f>
        <x:v>400.0002777777778</x:v>
      </x:c>
      <x:c r="C123" s="40" t="n">
        <x:f>B123</x:f>
        <x:v>400.0002777777778</x:v>
      </x:c>
      <x:c r="D123" s="40" t="n">
        <x:f>SQRT(A123^2+Inputs!$C$6^2+B123^2)</x:f>
        <x:v>400.78107767495635</x:v>
      </x:c>
      <x:c r="E123" s="40" t="n">
        <x:f>(D123-C123)*1000</x:f>
        <x:v>780.7998971785537</x:v>
      </x:c>
      <x:c r="F123" s="40" t="n">
        <x:f>E123/Inputs!$C$12</x:f>
        <x:v>438.65162762840095</x:v>
      </x:c>
      <x:c r="G123" s="40" t="n">
        <x:f>2*E123/Inputs!$C$21*1000000</x:f>
        <x:v>5.208936224663488</x:v>
      </x:c>
      <x:c r="H123" s="40" t="n">
        <x:f>SQRT(A123^2+Inputs!$C$6^2)</x:f>
        <x:v>25.004999500099974</x:v>
      </x:c>
      <x:c r="I123" s="40" t="n">
        <x:f>DEGREES(ATAN(H123/B123))</x:f>
        <x:v>3.5770452359901275</x:v>
      </x:c>
      <x:c r="J123" s="40" t="n">
        <x:f>DEGREES((2*PI()/Inputs!$C$13)*Inputs!$C$15*SIN(RADIANS(I123)))</x:f>
        <x:v>22.46064078737939</x:v>
      </x:c>
      <x:c r="K123" s="40" t="n">
        <x:f>(C123/D123)^4</x:f>
        <x:v>0.9922299611801368</x:v>
      </x:c>
      <x:c r="L123" s="40" t="n">
        <x:f>10*LOG10(K123)</x:f>
        <x:v>-0.0338766323134981</x:v>
      </x:c>
      <x:c r="M123" s="40" t="n">
        <x:f>2*(Inputs!$C$9/(Inputs!$C$10^2))*A123</x:f>
        <x:v>0.0011111111111111111</x:v>
      </x:c>
      <x:c r="N123" s="40" t="n">
        <x:f>M123*Inputs!$C$11</x:f>
        <x:v>0.0044444444444444444</x:v>
      </x:c>
      <x:c r="O123" s="40" t="n">
        <x:f>1000*((A123*Inputs!$C$11)+(B123*N123))/D123</x:f>
        <x:v>9.426041354700766</x:v>
      </x:c>
      <x:c r="P123" s="40" t="n">
        <x:f>-2*O123/Inputs!$C$13</x:f>
        <x:v>-3.7704165418803064</x:v>
      </x:c>
      <x:c r="Q123" s="40" t="n">
        <x:f>-2*O123/Inputs!$C$14</x:f>
        <x:v>-0.5661286098919379</x:v>
      </x:c>
      <x:c r="R123" s="40" t="n">
        <x:f>F123-Inputs!$C$16/2</x:f>
        <x:v>423.65162762840095</x:v>
      </x:c>
      <x:c r="S123" s="40" t="n">
        <x:f>F123+Inputs!$C$16/2</x:f>
        <x:v>453.65162762840095</x:v>
      </x:c>
      <x:c r="T123" s="40" t="n">
        <x:f>F123-Inputs!$C$17/2</x:f>
        <x:v>288.65162762840095</x:v>
      </x:c>
      <x:c r="U123" s="40" t="n">
        <x:f>F123+Inputs!$C$17/2</x:f>
        <x:v>588.651627628401</x:v>
      </x:c>
      <x:c r="V123" s="40" t="n">
        <x:f>ABS(P123)</x:f>
        <x:v>3.7704165418803064</x:v>
      </x:c>
      <x:c r="W123" s="40" t="n">
        <x:f>ABS(Q123)</x:f>
        <x:v>0.5661286098919379</x:v>
      </x:c>
      <x:c r="X123" s="40" t="n">
        <x:f>IF(Inputs!$C$27="ON",1,0)*(Inputs!$C$28*EXP(-(((A123)-Inputs!$C$29)^2)/(2*Inputs!$C$31^2))*EXP(-(((0)-Inputs!$C$30)^2)/(2*Inputs!$C$32^2))+-Inputs!$C$33*EXP(-(((((A123)-Inputs!$C$34)^2)+(((0)-Inputs!$C$35)^2))/(2*Inputs!$C$36^2)))+Inputs!$C$37*(0.55*SIN(2*PI()*(A123)/Inputs!$C$39)+0.35*COS(2*PI()*(0)/Inputs!$C$40)+0.2*SIN(2*PI()*((A123)+(0))/(0.5*(Inputs!$C$39+Inputs!$C$40))))+Inputs!$C$38*SIN(2*PI()*(A123)/Inputs!$C$39)*SIN(2*PI()*(0)/Inputs!$C$40)+-Inputs!$C$41*EXP(-(((0)-Inputs!$C$43)^2)/(2*Inputs!$C$44^2))*EXP(-(((A123)-Inputs!$C$42)^2)/(2*Inputs!$C$45^2)))</x:f>
        <x:v>17.694355756721052</x:v>
      </x:c>
      <x:c r="Y123" s="40" t="n">
        <x:f>IF(Inputs!$C$27="ON",1,0)*(Inputs!$C$28*EXP(-(((A123)-Inputs!$C$29)^2)/(2*Inputs!$C$31^2))*EXP(-(((Inputs!$C$6)-Inputs!$C$30)^2)/(2*Inputs!$C$32^2))+-Inputs!$C$33*EXP(-(((((A123)-Inputs!$C$34)^2)+(((Inputs!$C$6)-Inputs!$C$35)^2))/(2*Inputs!$C$36^2)))+Inputs!$C$37*(0.55*SIN(2*PI()*(A123)/Inputs!$C$39)+0.35*COS(2*PI()*(Inputs!$C$6)/Inputs!$C$40)+0.2*SIN(2*PI()*((A123)+(Inputs!$C$6))/(0.5*(Inputs!$C$39+Inputs!$C$40))))+Inputs!$C$38*SIN(2*PI()*(A123)/Inputs!$C$39)*SIN(2*PI()*(Inputs!$C$6)/Inputs!$C$40)+-Inputs!$C$41*EXP(-(((Inputs!$C$6)-Inputs!$C$43)^2)/(2*Inputs!$C$44^2))*EXP(-(((A123)-Inputs!$C$42)^2)/(2*Inputs!$C$45^2)))</x:f>
        <x:v>365.2105238013953</x:v>
      </x:c>
      <x:c r="Z123" s="40" t="n">
        <x:f>B123-X123/1000</x:f>
        <x:v>399.9825834220211</x:v>
      </x:c>
      <x:c r="AA123" s="40" t="n">
        <x:f>SQRT(A123^2+Inputs!$C$6^2+(B123-Y123/1000)^2)</x:f>
        <x:v>400.4165793009703</x:v>
      </x:c>
      <x:c r="AB123" s="40" t="n">
        <x:f>(AA123-Z123)*1000</x:f>
        <x:v>433.9958789491902</x:v>
      </x:c>
      <x:c r="AC123" s="40" t="n">
        <x:f>AB123/Inputs!$C$12</x:f>
        <x:v>243.81790952201698</x:v>
      </x:c>
      <x:c r="AD123" s="40" t="n">
        <x:f>2*AB123/Inputs!$C$21*1000000</x:f>
        <x:v>2.895308853628267</x:v>
      </x:c>
      <x:c r="AE123" s="40" t="n">
        <x:f>DEGREES(ATAN(H123/(B123-Y123/1000)))</x:f>
        <x:v>3.5803056556744393</x:v>
      </x:c>
      <x:c r="AF123" s="40" t="n">
        <x:f>DEGREES((2*PI()/Inputs!$C$13)*Inputs!$C$15*SIN(RADIANS(AE123)))</x:f>
        <x:v>22.481086661673537</x:v>
      </x:c>
      <x:c r="AG123" s="40" t="n">
        <x:f>(Z123/AA123)^4</x:f>
        <x:v>0.995671599785882</x:v>
      </x:c>
      <x:c r="AH123" s="40" t="n">
        <x:f>10*LOG10(AG123)</x:f>
        <x:v>-0.0188388037015777</x:v>
      </x:c>
      <x:c r="AI123" s="40" t="n">
        <x:f>AC123-F123</x:f>
        <x:v>-194.83371810638397</x:v>
      </x:c>
      <x:c r="AJ123" s="40" t="n">
        <x:f>AD123-G123</x:f>
        <x:v>-2.313627371035221</x:v>
      </x:c>
      <x:c r="AK123" s="40" t="n">
        <x:f>Y123-X123</x:f>
        <x:v>347.51616804467426</x:v>
      </x:c>
      <x:c r="AL123" s="40" t="n">
        <x:f>1000*(AA124-AA122)/(A124-A122)*Inputs!$C$11</x:f>
        <x:v>-56.89724824219411</x:v>
      </x:c>
      <x:c r="AM123" s="40" t="n">
        <x:f>-2*AL123/Inputs!$C$13</x:f>
        <x:v>22.758899296877644</x:v>
      </x:c>
      <x:c r="AN123" s="40" t="n">
        <x:f>-2*AL123/Inputs!$C$14</x:f>
        <x:v>3.417252146678325</x:v>
      </x:c>
      <x:c r="AO123" s="40" t="n">
        <x:f>ABS(AM123)</x:f>
        <x:v>22.758899296877644</x:v>
      </x:c>
      <x:c r="AP123" s="40" t="n">
        <x:f>ABS(AN123)</x:f>
        <x:v>3.417252146678325</x:v>
      </x:c>
      <x:c r="AQ123" s="40" t="n">
        <x:f>IF(Inputs!$C$27="ON",Inputs!$C$46/Inputs!$C$12,0)</x:f>
        <x:v>42.13483146067416</x:v>
      </x:c>
      <x:c r="AR123" s="40" t="n">
        <x:f>AC123-AQ123</x:f>
        <x:v>201.68307806134283</x:v>
      </x:c>
      <x:c r="AS123" s="40" t="n">
        <x:f>AC123+AQ123</x:f>
        <x:v>285.9527409826911</x:v>
      </x:c>
    </x:row>
    <x:row r="124">
      <x:c r="A124" s="40" t="n">
        <x:f>Inputs!$C$7+122*(Inputs!$C$8-Inputs!$C$7)/240</x:f>
        <x:v>1</x:v>
      </x:c>
      <x:c r="B124" s="40" t="n">
        <x:f>Inputs!$C$5+Inputs!$C$9*(A124/Inputs!$C$10)^2</x:f>
        <x:v>400.00111111111113</x:v>
      </x:c>
      <x:c r="C124" s="40" t="n">
        <x:f>B124</x:f>
        <x:v>400.00111111111113</x:v>
      </x:c>
      <x:c r="D124" s="40" t="n">
        <x:f>SQRT(A124^2+Inputs!$C$6^2+B124^2)</x:f>
        <x:v>400.7828450546798</x:v>
      </x:c>
      <x:c r="E124" s="40" t="n">
        <x:f>(D124-C124)*1000</x:f>
        <x:v>781.7339435686677</x:v>
      </x:c>
      <x:c r="F124" s="40" t="n">
        <x:f>E124/Inputs!$C$12</x:f>
        <x:v>439.1763727913863</x:v>
      </x:c>
      <x:c r="G124" s="40" t="n">
        <x:f>2*E124/Inputs!$C$21*1000000</x:f>
        <x:v>5.215167511443318</x:v>
      </x:c>
      <x:c r="H124" s="40" t="n">
        <x:f>SQRT(A124^2+Inputs!$C$6^2)</x:f>
        <x:v>25.019992006393608</x:v>
      </x:c>
      <x:c r="I124" s="40" t="n">
        <x:f>DEGREES(ATAN(H124/B124))</x:f>
        <x:v>3.5791769511981175</x:v>
      </x:c>
      <x:c r="J124" s="40" t="n">
        <x:f>DEGREES((2*PI()/Inputs!$C$13)*Inputs!$C$15*SIN(RADIANS(I124)))</x:f>
        <x:v>22.474008639448687</x:v>
      </x:c>
      <x:c r="K124" s="40" t="n">
        <x:f>(C124/D124)^4</x:f>
        <x:v>0.9922207275358317</x:v>
      </x:c>
      <x:c r="L124" s="40" t="n">
        <x:f>10*LOG10(K124)</x:f>
        <x:v>-0.0339170477371962</x:v>
      </x:c>
      <x:c r="M124" s="40" t="n">
        <x:f>2*(Inputs!$C$9/(Inputs!$C$10^2))*A124</x:f>
        <x:v>0.0022222222222222222</x:v>
      </x:c>
      <x:c r="N124" s="40" t="n">
        <x:f>M124*Inputs!$C$11</x:f>
        <x:v>0.008888888888888889</x:v>
      </x:c>
      <x:c r="O124" s="40" t="n">
        <x:f>1000*((A124*Inputs!$C$11)+(B124*N124))/D124</x:f>
        <x:v>18.852018057479334</x:v>
      </x:c>
      <x:c r="P124" s="40" t="n">
        <x:f>-2*O124/Inputs!$C$13</x:f>
        <x:v>-7.540807222991734</x:v>
      </x:c>
      <x:c r="Q124" s="40" t="n">
        <x:f>-2*O124/Inputs!$C$14</x:f>
        <x:v>-1.1322533367855456</x:v>
      </x:c>
      <x:c r="R124" s="40" t="n">
        <x:f>F124-Inputs!$C$16/2</x:f>
        <x:v>424.1763727913863</x:v>
      </x:c>
      <x:c r="S124" s="40" t="n">
        <x:f>F124+Inputs!$C$16/2</x:f>
        <x:v>454.1763727913863</x:v>
      </x:c>
      <x:c r="T124" s="40" t="n">
        <x:f>F124-Inputs!$C$17/2</x:f>
        <x:v>289.1763727913863</x:v>
      </x:c>
      <x:c r="U124" s="40" t="n">
        <x:f>F124+Inputs!$C$17/2</x:f>
        <x:v>589.1763727913863</x:v>
      </x:c>
      <x:c r="V124" s="40" t="n">
        <x:f>ABS(P124)</x:f>
        <x:v>7.540807222991734</x:v>
      </x:c>
      <x:c r="W124" s="40" t="n">
        <x:f>ABS(Q124)</x:f>
        <x:v>1.1322533367855456</x:v>
      </x:c>
      <x:c r="X124" s="40" t="n">
        <x:f>IF(Inputs!$C$27="ON",1,0)*(Inputs!$C$28*EXP(-(((A124)-Inputs!$C$29)^2)/(2*Inputs!$C$31^2))*EXP(-(((0)-Inputs!$C$30)^2)/(2*Inputs!$C$32^2))+-Inputs!$C$33*EXP(-(((((A124)-Inputs!$C$34)^2)+(((0)-Inputs!$C$35)^2))/(2*Inputs!$C$36^2)))+Inputs!$C$37*(0.55*SIN(2*PI()*(A124)/Inputs!$C$39)+0.35*COS(2*PI()*(0)/Inputs!$C$40)+0.2*SIN(2*PI()*((A124)+(0))/(0.5*(Inputs!$C$39+Inputs!$C$40))))+Inputs!$C$38*SIN(2*PI()*(A124)/Inputs!$C$39)*SIN(2*PI()*(0)/Inputs!$C$40)+-Inputs!$C$41*EXP(-(((0)-Inputs!$C$43)^2)/(2*Inputs!$C$44^2))*EXP(-(((A124)-Inputs!$C$42)^2)/(2*Inputs!$C$45^2)))</x:f>
        <x:v>27.299546675477327</x:v>
      </x:c>
      <x:c r="Y124" s="40" t="n">
        <x:f>IF(Inputs!$C$27="ON",1,0)*(Inputs!$C$28*EXP(-(((A124)-Inputs!$C$29)^2)/(2*Inputs!$C$31^2))*EXP(-(((Inputs!$C$6)-Inputs!$C$30)^2)/(2*Inputs!$C$32^2))+-Inputs!$C$33*EXP(-(((((A124)-Inputs!$C$34)^2)+(((Inputs!$C$6)-Inputs!$C$35)^2))/(2*Inputs!$C$36^2)))+Inputs!$C$37*(0.55*SIN(2*PI()*(A124)/Inputs!$C$39)+0.35*COS(2*PI()*(Inputs!$C$6)/Inputs!$C$40)+0.2*SIN(2*PI()*((A124)+(Inputs!$C$6))/(0.5*(Inputs!$C$39+Inputs!$C$40))))+Inputs!$C$38*SIN(2*PI()*(A124)/Inputs!$C$39)*SIN(2*PI()*(Inputs!$C$6)/Inputs!$C$40)+-Inputs!$C$41*EXP(-(((Inputs!$C$6)-Inputs!$C$43)^2)/(2*Inputs!$C$44^2))*EXP(-(((A124)-Inputs!$C$42)^2)/(2*Inputs!$C$45^2)))</x:f>
        <x:v>373.5604935004755</x:v>
      </x:c>
      <x:c r="Z124" s="40" t="n">
        <x:f>B124-X124/1000</x:f>
        <x:v>399.97381156443566</x:v>
      </x:c>
      <x:c r="AA124" s="40" t="n">
        <x:f>SQRT(A124^2+Inputs!$C$6^2+(B124-Y124/1000)^2)</x:f>
        <x:v>400.410013876565</x:v>
      </x:c>
      <x:c r="AB124" s="40" t="n">
        <x:f>(AA124-Z124)*1000</x:f>
        <x:v>436.20231212935323</x:v>
      </x:c>
      <x:c r="AC124" s="40" t="n">
        <x:f>AB124/Inputs!$C$12</x:f>
        <x:v>245.05747872435575</x:v>
      </x:c>
      <x:c r="AD124" s="40" t="n">
        <x:f>2*AB124/Inputs!$C$21*1000000</x:f>
        <x:v>2.9100285913753923</x:v>
      </x:c>
      <x:c r="AE124" s="40" t="n">
        <x:f>DEGREES(ATAN(H124/(B124-Y124/1000)))</x:f>
        <x:v>3.5825139548781535</x:v>
      </x:c>
      <x:c r="AF124" s="40" t="n">
        <x:f>DEGREES((2*PI()/Inputs!$C$13)*Inputs!$C$15*SIN(RADIANS(AE124)))</x:f>
        <x:v>22.49493471728797</x:v>
      </x:c>
      <x:c r="AG124" s="40" t="n">
        <x:f>(Z124/AA124)^4</x:f>
        <x:v>0.9956495589671713</x:v>
      </x:c>
      <x:c r="AH124" s="40" t="n">
        <x:f>10*LOG10(AG124)</x:f>
        <x:v>-0.0189349429496444</x:v>
      </x:c>
      <x:c r="AI124" s="40" t="n">
        <x:f>AC124-F124</x:f>
        <x:v>-194.11889406703057</x:v>
      </x:c>
      <x:c r="AJ124" s="40" t="n">
        <x:f>AD124-G124</x:f>
        <x:v>-2.3051389200679258</x:v>
      </x:c>
      <x:c r="AK124" s="40" t="n">
        <x:f>Y124-X124</x:f>
        <x:v>346.2609468249982</x:v>
      </x:c>
      <x:c r="AL124" s="40" t="n">
        <x:f>1000*(AA125-AA123)/(A125-A123)*Inputs!$C$11</x:f>
        <x:v>-47.168515890462004</x:v>
      </x:c>
      <x:c r="AM124" s="40" t="n">
        <x:f>-2*AL124/Inputs!$C$13</x:f>
        <x:v>18.8674063561848</x:v>
      </x:c>
      <x:c r="AN124" s="40" t="n">
        <x:f>-2*AL124/Inputs!$C$14</x:f>
        <x:v>2.8329438973250456</x:v>
      </x:c>
      <x:c r="AO124" s="40" t="n">
        <x:f>ABS(AM124)</x:f>
        <x:v>18.8674063561848</x:v>
      </x:c>
      <x:c r="AP124" s="40" t="n">
        <x:f>ABS(AN124)</x:f>
        <x:v>2.8329438973250456</x:v>
      </x:c>
      <x:c r="AQ124" s="40" t="n">
        <x:f>IF(Inputs!$C$27="ON",Inputs!$C$46/Inputs!$C$12,0)</x:f>
        <x:v>42.13483146067416</x:v>
      </x:c>
      <x:c r="AR124" s="40" t="n">
        <x:f>AC124-AQ124</x:f>
        <x:v>202.9226472636816</x:v>
      </x:c>
      <x:c r="AS124" s="40" t="n">
        <x:f>AC124+AQ124</x:f>
        <x:v>287.1923101850299</x:v>
      </x:c>
    </x:row>
    <x:row r="125">
      <x:c r="A125" s="40" t="n">
        <x:f>Inputs!$C$7+123*(Inputs!$C$8-Inputs!$C$7)/240</x:f>
        <x:v>1.5</x:v>
      </x:c>
      <x:c r="B125" s="40" t="n">
        <x:f>Inputs!$C$5+Inputs!$C$9*(A125/Inputs!$C$10)^2</x:f>
        <x:v>400.0025</x:v>
      </x:c>
      <x:c r="C125" s="40" t="n">
        <x:f>B125</x:f>
        <x:v>400.0025</x:v>
      </x:c>
      <x:c r="D125" s="40" t="n">
        <x:f>SQRT(A125^2+Inputs!$C$6^2+B125^2)</x:f>
        <x:v>400.78579067408316</x:v>
      </x:c>
      <x:c r="E125" s="40" t="n">
        <x:f>(D125-C125)*1000</x:f>
        <x:v>783.2906740831618</x:v>
      </x:c>
      <x:c r="F125" s="40" t="n">
        <x:f>E125/Inputs!$C$12</x:f>
        <x:v>440.0509404961583</x:v>
      </x:c>
      <x:c r="G125" s="40" t="n">
        <x:f>2*E125/Inputs!$C$21*1000000</x:f>
        <x:v>5.2255528995540095</x:v>
      </x:c>
      <x:c r="H125" s="40" t="n">
        <x:f>SQRT(A125^2+Inputs!$C$6^2)</x:f>
        <x:v>25.04495957273639</x:v>
      </x:c>
      <x:c r="I125" s="40" t="n">
        <x:f>DEGREES(ATAN(H125/B125))</x:f>
        <x:v>3.582726922473895</x:v>
      </x:c>
      <x:c r="J125" s="40" t="n">
        <x:f>DEGREES((2*PI()/Inputs!$C$13)*Inputs!$C$15*SIN(RADIANS(I125)))</x:f>
        <x:v>22.49627021711709</x:v>
      </x:c>
      <x:c r="K125" s="40" t="n">
        <x:f>(C125/D125)^4</x:f>
        <x:v>0.992205338586216</x:v>
      </x:c>
      <x:c r="L125" s="40" t="n">
        <x:f>10*LOG10(K125)</x:f>
        <x:v>-0.033984405609728</x:v>
      </x:c>
      <x:c r="M125" s="40" t="n">
        <x:f>2*(Inputs!$C$9/(Inputs!$C$10^2))*A125</x:f>
        <x:v>0.003333333333333333</x:v>
      </x:c>
      <x:c r="N125" s="40" t="n">
        <x:f>M125*Inputs!$C$11</x:f>
        <x:v>0.013333333333333332</x:v>
      </x:c>
      <x:c r="O125" s="40" t="n">
        <x:f>1000*((A125*Inputs!$C$11)+(B125*N125))/D125</x:f>
        <x:v>28.277865459264497</x:v>
      </x:c>
      <x:c r="P125" s="40" t="n">
        <x:f>-2*O125/Inputs!$C$13</x:f>
        <x:v>-11.311146183705798</x:v>
      </x:c>
      <x:c r="Q125" s="40" t="n">
        <x:f>-2*O125/Inputs!$C$14</x:f>
        <x:v>-1.6983702978537236</x:v>
      </x:c>
      <x:c r="R125" s="40" t="n">
        <x:f>F125-Inputs!$C$16/2</x:f>
        <x:v>425.0509404961583</x:v>
      </x:c>
      <x:c r="S125" s="40" t="n">
        <x:f>F125+Inputs!$C$16/2</x:f>
        <x:v>455.0509404961583</x:v>
      </x:c>
      <x:c r="T125" s="40" t="n">
        <x:f>F125-Inputs!$C$17/2</x:f>
        <x:v>290.0509404961583</x:v>
      </x:c>
      <x:c r="U125" s="40" t="n">
        <x:f>F125+Inputs!$C$17/2</x:f>
        <x:v>590.0509404961583</x:v>
      </x:c>
      <x:c r="V125" s="40" t="n">
        <x:f>ABS(P125)</x:f>
        <x:v>11.311146183705798</x:v>
      </x:c>
      <x:c r="W125" s="40" t="n">
        <x:f>ABS(Q125)</x:f>
        <x:v>1.6983702978537236</x:v>
      </x:c>
      <x:c r="X125" s="40" t="n">
        <x:f>IF(Inputs!$C$27="ON",1,0)*(Inputs!$C$28*EXP(-(((A125)-Inputs!$C$29)^2)/(2*Inputs!$C$31^2))*EXP(-(((0)-Inputs!$C$30)^2)/(2*Inputs!$C$32^2))+-Inputs!$C$33*EXP(-(((((A125)-Inputs!$C$34)^2)+(((0)-Inputs!$C$35)^2))/(2*Inputs!$C$36^2)))+Inputs!$C$37*(0.55*SIN(2*PI()*(A125)/Inputs!$C$39)+0.35*COS(2*PI()*(0)/Inputs!$C$40)+0.2*SIN(2*PI()*((A125)+(0))/(0.5*(Inputs!$C$39+Inputs!$C$40))))+Inputs!$C$38*SIN(2*PI()*(A125)/Inputs!$C$39)*SIN(2*PI()*(0)/Inputs!$C$40)+-Inputs!$C$41*EXP(-(((0)-Inputs!$C$43)^2)/(2*Inputs!$C$44^2))*EXP(-(((A125)-Inputs!$C$42)^2)/(2*Inputs!$C$45^2)))</x:f>
        <x:v>36.18521623766938</x:v>
      </x:c>
      <x:c r="Y125" s="40" t="n">
        <x:f>IF(Inputs!$C$27="ON",1,0)*(Inputs!$C$28*EXP(-(((A125)-Inputs!$C$29)^2)/(2*Inputs!$C$31^2))*EXP(-(((Inputs!$C$6)-Inputs!$C$30)^2)/(2*Inputs!$C$32^2))+-Inputs!$C$33*EXP(-(((((A125)-Inputs!$C$34)^2)+(((Inputs!$C$6)-Inputs!$C$35)^2))/(2*Inputs!$C$36^2)))+Inputs!$C$37*(0.55*SIN(2*PI()*(A125)/Inputs!$C$39)+0.35*COS(2*PI()*(Inputs!$C$6)/Inputs!$C$40)+0.2*SIN(2*PI()*((A125)+(Inputs!$C$6))/(0.5*(Inputs!$C$39+Inputs!$C$40))))+Inputs!$C$38*SIN(2*PI()*(A125)/Inputs!$C$39)*SIN(2*PI()*(Inputs!$C$6)/Inputs!$C$40)+-Inputs!$C$41*EXP(-(((Inputs!$C$6)-Inputs!$C$43)^2)/(2*Inputs!$C$44^2))*EXP(-(((A125)-Inputs!$C$42)^2)/(2*Inputs!$C$45^2)))</x:f>
        <x:v>381.7503006722575</x:v>
      </x:c>
      <x:c r="Z125" s="40" t="n">
        <x:f>B125-X125/1000</x:f>
        <x:v>399.9663147837623</x:v>
      </x:c>
      <x:c r="AA125" s="40" t="n">
        <x:f>SQRT(A125^2+Inputs!$C$6^2+(B125-Y125/1000)^2)</x:f>
        <x:v>400.40478717199767</x:v>
      </x:c>
      <x:c r="AB125" s="40" t="n">
        <x:f>(AA125-Z125)*1000</x:f>
        <x:v>438.47238823536827</x:v>
      </x:c>
      <x:c r="AC125" s="40" t="n">
        <x:f>AB125/Inputs!$C$12</x:f>
        <x:v>246.33280237942037</x:v>
      </x:c>
      <x:c r="AD125" s="40" t="n">
        <x:f>2*AB125/Inputs!$C$21*1000000</x:f>
        <x:v>2.9251729090220695</x:v>
      </x:c>
      <x:c r="AE125" s="40" t="n">
        <x:f>DEGREES(ATAN(H125/(B125-Y125/1000)))</x:f>
        <x:v>3.5861405079217565</x:v>
      </x:c>
      <x:c r="AF125" s="40" t="n">
        <x:f>DEGREES((2*PI()/Inputs!$C$13)*Inputs!$C$15*SIN(RADIANS(AE125)))</x:f>
        <x:v>22.517676449038337</x:v>
      </x:c>
      <x:c r="AG125" s="40" t="n">
        <x:f>(Z125/AA125)^4</x:f>
        <x:v>0.9956268986870127</x:v>
      </x:c>
      <x:c r="AH125" s="40" t="n">
        <x:f>10*LOG10(AG125)</x:f>
        <x:v>-0.0190337864285985</x:v>
      </x:c>
      <x:c r="AI125" s="40" t="n">
        <x:f>AC125-F125</x:f>
        <x:v>-193.71813811673795</x:v>
      </x:c>
      <x:c r="AJ125" s="40" t="n">
        <x:f>AD125-G125</x:f>
        <x:v>-2.30037999053194</x:v>
      </x:c>
      <x:c r="AK125" s="40" t="n">
        <x:f>Y125-X125</x:f>
        <x:v>345.56508443458813</x:v>
      </x:c>
      <x:c r="AL125" s="40" t="n">
        <x:f>1000*(AA126-AA124)/(A126-A124)*Inputs!$C$11</x:f>
        <x:v>-35.447040763074256</x:v>
      </x:c>
      <x:c r="AM125" s="40" t="n">
        <x:f>-2*AL125/Inputs!$C$13</x:f>
        <x:v>14.178816305229702</x:v>
      </x:c>
      <x:c r="AN125" s="40" t="n">
        <x:f>-2*AL125/Inputs!$C$14</x:f>
        <x:v>2.128951397181637</x:v>
      </x:c>
      <x:c r="AO125" s="40" t="n">
        <x:f>ABS(AM125)</x:f>
        <x:v>14.178816305229702</x:v>
      </x:c>
      <x:c r="AP125" s="40" t="n">
        <x:f>ABS(AN125)</x:f>
        <x:v>2.128951397181637</x:v>
      </x:c>
      <x:c r="AQ125" s="40" t="n">
        <x:f>IF(Inputs!$C$27="ON",Inputs!$C$46/Inputs!$C$12,0)</x:f>
        <x:v>42.13483146067416</x:v>
      </x:c>
      <x:c r="AR125" s="40" t="n">
        <x:f>AC125-AQ125</x:f>
        <x:v>204.19797091874622</x:v>
      </x:c>
      <x:c r="AS125" s="40" t="n">
        <x:f>AC125+AQ125</x:f>
        <x:v>288.46763384009455</x:v>
      </x:c>
    </x:row>
    <x:row r="126">
      <x:c r="A126" s="40" t="n">
        <x:f>Inputs!$C$7+124*(Inputs!$C$8-Inputs!$C$7)/240</x:f>
        <x:v>2</x:v>
      </x:c>
      <x:c r="B126" s="40" t="n">
        <x:f>Inputs!$C$5+Inputs!$C$9*(A126/Inputs!$C$10)^2</x:f>
        <x:v>400.00444444444446</x:v>
      </x:c>
      <x:c r="C126" s="40" t="n">
        <x:f>B126</x:f>
        <x:v>400.00444444444446</x:v>
      </x:c>
      <x:c r="D126" s="40" t="n">
        <x:f>SQRT(A126^2+Inputs!$C$6^2+B126^2)</x:f>
        <x:v>400.78991451296355</x:v>
      </x:c>
      <x:c r="E126" s="40" t="n">
        <x:f>(D126-C126)*1000</x:f>
        <x:v>785.4700685190892</x:v>
      </x:c>
      <x:c r="F126" s="40" t="n">
        <x:f>E126/Inputs!$C$12</x:f>
        <x:v>441.2753193927467</x:v>
      </x:c>
      <x:c r="G126" s="40" t="n">
        <x:f>2*E126/Inputs!$C$21*1000000</x:f>
        <x:v>5.24009225421601</x:v>
      </x:c>
      <x:c r="H126" s="40" t="n">
        <x:f>SQRT(A126^2+Inputs!$C$6^2)</x:f>
        <x:v>25.079872407968907</x:v>
      </x:c>
      <x:c r="I126" s="40" t="n">
        <x:f>DEGREES(ATAN(H126/B126))</x:f>
        <x:v>3.5876908367118427</x:v>
      </x:c>
      <x:c r="J126" s="40" t="n">
        <x:f>DEGREES((2*PI()/Inputs!$C$13)*Inputs!$C$15*SIN(RADIANS(I126)))</x:f>
        <x:v>22.52739836989279</x:v>
      </x:c>
      <x:c r="K126" s="40" t="n">
        <x:f>(C126/D126)^4</x:f>
        <x:v>0.9921837950175804</x:v>
      </x:c>
      <x:c r="L126" s="40" t="n">
        <x:f>10*LOG10(K126)</x:f>
        <x:v>-0.034078704180717595</x:v>
      </x:c>
      <x:c r="M126" s="40" t="n">
        <x:f>2*(Inputs!$C$9/(Inputs!$C$10^2))*A126</x:f>
        <x:v>0.0044444444444444444</x:v>
      </x:c>
      <x:c r="N126" s="40" t="n">
        <x:f>M126*Inputs!$C$11</x:f>
        <x:v>0.017777777777777778</x:v>
      </x:c>
      <x:c r="O126" s="40" t="n">
        <x:f>1000*((A126*Inputs!$C$11)+(B126*N126))/D126</x:f>
        <x:v>37.70351891668676</x:v>
      </x:c>
      <x:c r="P126" s="40" t="n">
        <x:f>-2*O126/Inputs!$C$13</x:f>
        <x:v>-15.081407566674704</x:v>
      </x:c>
      <x:c r="Q126" s="40" t="n">
        <x:f>-2*O126/Inputs!$C$14</x:f>
        <x:v>-2.2644756106118176</x:v>
      </x:c>
      <x:c r="R126" s="40" t="n">
        <x:f>F126-Inputs!$C$16/2</x:f>
        <x:v>426.2753193927467</x:v>
      </x:c>
      <x:c r="S126" s="40" t="n">
        <x:f>F126+Inputs!$C$16/2</x:f>
        <x:v>456.2753193927467</x:v>
      </x:c>
      <x:c r="T126" s="40" t="n">
        <x:f>F126-Inputs!$C$17/2</x:f>
        <x:v>291.2753193927467</x:v>
      </x:c>
      <x:c r="U126" s="40" t="n">
        <x:f>F126+Inputs!$C$17/2</x:f>
        <x:v>591.2753193927467</x:v>
      </x:c>
      <x:c r="V126" s="40" t="n">
        <x:f>ABS(P126)</x:f>
        <x:v>15.081407566674704</x:v>
      </x:c>
      <x:c r="W126" s="40" t="n">
        <x:f>ABS(Q126)</x:f>
        <x:v>2.2644756106118176</x:v>
      </x:c>
      <x:c r="X126" s="40" t="n">
        <x:f>IF(Inputs!$C$27="ON",1,0)*(Inputs!$C$28*EXP(-(((A126)-Inputs!$C$29)^2)/(2*Inputs!$C$31^2))*EXP(-(((0)-Inputs!$C$30)^2)/(2*Inputs!$C$32^2))+-Inputs!$C$33*EXP(-(((((A126)-Inputs!$C$34)^2)+(((0)-Inputs!$C$35)^2))/(2*Inputs!$C$36^2)))+Inputs!$C$37*(0.55*SIN(2*PI()*(A126)/Inputs!$C$39)+0.35*COS(2*PI()*(0)/Inputs!$C$40)+0.2*SIN(2*PI()*((A126)+(0))/(0.5*(Inputs!$C$39+Inputs!$C$40))))+Inputs!$C$38*SIN(2*PI()*(A126)/Inputs!$C$39)*SIN(2*PI()*(0)/Inputs!$C$40)+-Inputs!$C$41*EXP(-(((0)-Inputs!$C$43)^2)/(2*Inputs!$C$44^2))*EXP(-(((A126)-Inputs!$C$42)^2)/(2*Inputs!$C$45^2)))</x:f>
        <x:v>44.08678565637301</x:v>
      </x:c>
      <x:c r="Y126" s="40" t="n">
        <x:f>IF(Inputs!$C$27="ON",1,0)*(Inputs!$C$28*EXP(-(((A126)-Inputs!$C$29)^2)/(2*Inputs!$C$31^2))*EXP(-(((Inputs!$C$6)-Inputs!$C$30)^2)/(2*Inputs!$C$32^2))+-Inputs!$C$33*EXP(-(((((A126)-Inputs!$C$34)^2)+(((Inputs!$C$6)-Inputs!$C$35)^2))/(2*Inputs!$C$36^2)))+Inputs!$C$37*(0.55*SIN(2*PI()*(A126)/Inputs!$C$39)+0.35*COS(2*PI()*(Inputs!$C$6)/Inputs!$C$40)+0.2*SIN(2*PI()*((A126)+(Inputs!$C$6))/(0.5*(Inputs!$C$39+Inputs!$C$40))))+Inputs!$C$38*SIN(2*PI()*(A126)/Inputs!$C$39)*SIN(2*PI()*(Inputs!$C$6)/Inputs!$C$40)+-Inputs!$C$41*EXP(-(((Inputs!$C$6)-Inputs!$C$43)^2)/(2*Inputs!$C$44^2))*EXP(-(((A126)-Inputs!$C$42)^2)/(2*Inputs!$C$45^2)))</x:f>
        <x:v>389.5265345648497</x:v>
      </x:c>
      <x:c r="Z126" s="40" t="n">
        <x:f>B126-X126/1000</x:f>
        <x:v>399.9603576587881</x:v>
      </x:c>
      <x:c r="AA126" s="40" t="n">
        <x:f>SQRT(A126^2+Inputs!$C$6^2+(B126-Y126/1000)^2)</x:f>
        <x:v>400.40115211637425</x:v>
      </x:c>
      <x:c r="AB126" s="40" t="n">
        <x:f>(AA126-Z126)*1000</x:f>
        <x:v>440.79445758615066</x:v>
      </x:c>
      <x:c r="AC126" s="40" t="n">
        <x:f>AB126/Inputs!$C$12</x:f>
        <x:v>247.63733572255654</x:v>
      </x:c>
      <x:c r="AD126" s="40" t="n">
        <x:f>2*AB126/Inputs!$C$21*1000000</x:f>
        <x:v>2.9406640882616912</x:v>
      </x:c>
      <x:c r="AE126" s="40" t="n">
        <x:f>DEGREES(ATAN(H126/(B126-Y126/1000)))</x:f>
        <x:v>3.5911788079873177</x:v>
      </x:c>
      <x:c r="AF126" s="40" t="n">
        <x:f>DEGREES((2*PI()/Inputs!$C$13)*Inputs!$C$15*SIN(RADIANS(AE126)))</x:f>
        <x:v>22.549270947763535</x:v>
      </x:c>
      <x:c r="AG126" s="40" t="n">
        <x:f>(Z126/AA126)^4</x:f>
        <x:v>0.9956037379488658</x:v>
      </x:c>
      <x:c r="AH126" s="40" t="n">
        <x:f>10*LOG10(AG126)</x:f>
        <x:v>-0.019134815215414</x:v>
      </x:c>
      <x:c r="AI126" s="40" t="n">
        <x:f>AC126-F126</x:f>
        <x:v>-193.63798367019018</x:v>
      </x:c>
      <x:c r="AJ126" s="40" t="n">
        <x:f>AD126-G126</x:f>
        <x:v>-2.2994281659543185</x:v>
      </x:c>
      <x:c r="AK126" s="40" t="n">
        <x:f>Y126-X126</x:f>
        <x:v>345.4397489084767</x:v>
      </x:c>
      <x:c r="AL126" s="40" t="n">
        <x:f>1000*(AA127-AA125)/(A127-A125)*Inputs!$C$11</x:f>
        <x:v>-21.70237007612741</x:v>
      </x:c>
      <x:c r="AM126" s="40" t="n">
        <x:f>-2*AL126/Inputs!$C$13</x:f>
        <x:v>8.680948030450963</x:v>
      </x:c>
      <x:c r="AN126" s="40" t="n">
        <x:f>-2*AL126/Inputs!$C$14</x:f>
        <x:v>1.3034456502178624</x:v>
      </x:c>
      <x:c r="AO126" s="40" t="n">
        <x:f>ABS(AM126)</x:f>
        <x:v>8.680948030450963</x:v>
      </x:c>
      <x:c r="AP126" s="40" t="n">
        <x:f>ABS(AN126)</x:f>
        <x:v>1.3034456502178624</x:v>
      </x:c>
      <x:c r="AQ126" s="40" t="n">
        <x:f>IF(Inputs!$C$27="ON",Inputs!$C$46/Inputs!$C$12,0)</x:f>
        <x:v>42.13483146067416</x:v>
      </x:c>
      <x:c r="AR126" s="40" t="n">
        <x:f>AC126-AQ126</x:f>
        <x:v>205.5025042618824</x:v>
      </x:c>
      <x:c r="AS126" s="40" t="n">
        <x:f>AC126+AQ126</x:f>
        <x:v>289.7721671832307</x:v>
      </x:c>
    </x:row>
    <x:row r="127">
      <x:c r="A127" s="40" t="n">
        <x:f>Inputs!$C$7+125*(Inputs!$C$8-Inputs!$C$7)/240</x:f>
        <x:v>2.5</x:v>
      </x:c>
      <x:c r="B127" s="40" t="n">
        <x:f>Inputs!$C$5+Inputs!$C$9*(A127/Inputs!$C$10)^2</x:f>
        <x:v>400.00694444444446</x:v>
      </x:c>
      <x:c r="C127" s="40" t="n">
        <x:f>B127</x:f>
        <x:v>400.00694444444446</x:v>
      </x:c>
      <x:c r="D127" s="40" t="n">
        <x:f>SQRT(A127^2+Inputs!$C$6^2+B127^2)</x:f>
        <x:v>400.7952165430382</x:v>
      </x:c>
      <x:c r="E127" s="40" t="n">
        <x:f>(D127-C127)*1000</x:f>
        <x:v>788.2720985937226</x:v>
      </x:c>
      <x:c r="F127" s="40" t="n">
        <x:f>E127/Inputs!$C$12</x:f>
        <x:v>442.849493591979</x:v>
      </x:c>
      <x:c r="G127" s="40" t="n">
        <x:f>2*E127/Inputs!$C$21*1000000</x:f>
        <x:v>5.258785386747272</x:v>
      </x:c>
      <x:c r="H127" s="40" t="n">
        <x:f>SQRT(A127^2+Inputs!$C$6^2)</x:f>
        <x:v>25.124689052802225</x:v>
      </x:c>
      <x:c r="I127" s="40" t="n">
        <x:f>DEGREES(ATAN(H127/B127))</x:f>
        <x:v>3.594062691308639</x:v>
      </x:c>
      <x:c r="J127" s="40" t="n">
        <x:f>DEGREES((2*PI()/Inputs!$C$13)*Inputs!$C$15*SIN(RADIANS(I127)))</x:f>
        <x:v>22.567355311830532</x:v>
      </x:c>
      <x:c r="K127" s="40" t="n">
        <x:f>(C127/D127)^4</x:f>
        <x:v>0.9921560977906302</x:v>
      </x:c>
      <x:c r="L127" s="40" t="n">
        <x:f>10*LOG10(K127)</x:f>
        <x:v>-0.034199940999801504</x:v>
      </x:c>
      <x:c r="M127" s="40" t="n">
        <x:f>2*(Inputs!$C$9/(Inputs!$C$10^2))*A127</x:f>
        <x:v>0.005555555555555556</x:v>
      </x:c>
      <x:c r="N127" s="40" t="n">
        <x:f>M127*Inputs!$C$11</x:f>
        <x:v>0.022222222222222223</x:v>
      </x:c>
      <x:c r="O127" s="40" t="n">
        <x:f>1000*((A127*Inputs!$C$11)+(B127*N127))/D127</x:f>
        <x:v>47.12891379492849</x:v>
      </x:c>
      <x:c r="P127" s="40" t="n">
        <x:f>-2*O127/Inputs!$C$13</x:f>
        <x:v>-18.851565517971398</x:v>
      </x:c>
      <x:c r="Q127" s="40" t="n">
        <x:f>-2*O127/Inputs!$C$14</x:f>
        <x:v>-2.830565393088799</x:v>
      </x:c>
      <x:c r="R127" s="40" t="n">
        <x:f>F127-Inputs!$C$16/2</x:f>
        <x:v>427.849493591979</x:v>
      </x:c>
      <x:c r="S127" s="40" t="n">
        <x:f>F127+Inputs!$C$16/2</x:f>
        <x:v>457.849493591979</x:v>
      </x:c>
      <x:c r="T127" s="40" t="n">
        <x:f>F127-Inputs!$C$17/2</x:f>
        <x:v>292.849493591979</x:v>
      </x:c>
      <x:c r="U127" s="40" t="n">
        <x:f>F127+Inputs!$C$17/2</x:f>
        <x:v>592.849493591979</x:v>
      </x:c>
      <x:c r="V127" s="40" t="n">
        <x:f>ABS(P127)</x:f>
        <x:v>18.851565517971398</x:v>
      </x:c>
      <x:c r="W127" s="40" t="n">
        <x:f>ABS(Q127)</x:f>
        <x:v>2.830565393088799</x:v>
      </x:c>
      <x:c r="X127" s="40" t="n">
        <x:f>IF(Inputs!$C$27="ON",1,0)*(Inputs!$C$28*EXP(-(((A127)-Inputs!$C$29)^2)/(2*Inputs!$C$31^2))*EXP(-(((0)-Inputs!$C$30)^2)/(2*Inputs!$C$32^2))+-Inputs!$C$33*EXP(-(((((A127)-Inputs!$C$34)^2)+(((0)-Inputs!$C$35)^2))/(2*Inputs!$C$36^2)))+Inputs!$C$37*(0.55*SIN(2*PI()*(A127)/Inputs!$C$39)+0.35*COS(2*PI()*(0)/Inputs!$C$40)+0.2*SIN(2*PI()*((A127)+(0))/(0.5*(Inputs!$C$39+Inputs!$C$40))))+Inputs!$C$38*SIN(2*PI()*(A127)/Inputs!$C$39)*SIN(2*PI()*(0)/Inputs!$C$40)+-Inputs!$C$41*EXP(-(((0)-Inputs!$C$43)^2)/(2*Inputs!$C$44^2))*EXP(-(((A127)-Inputs!$C$42)^2)/(2*Inputs!$C$45^2)))</x:f>
        <x:v>50.77055096330699</x:v>
      </x:c>
      <x:c r="Y127" s="40" t="n">
        <x:f>IF(Inputs!$C$27="ON",1,0)*(Inputs!$C$28*EXP(-(((A127)-Inputs!$C$29)^2)/(2*Inputs!$C$31^2))*EXP(-(((Inputs!$C$6)-Inputs!$C$30)^2)/(2*Inputs!$C$32^2))+-Inputs!$C$33*EXP(-(((((A127)-Inputs!$C$34)^2)+(((Inputs!$C$6)-Inputs!$C$35)^2))/(2*Inputs!$C$36^2)))+Inputs!$C$37*(0.55*SIN(2*PI()*(A127)/Inputs!$C$39)+0.35*COS(2*PI()*(Inputs!$C$6)/Inputs!$C$40)+0.2*SIN(2*PI()*((A127)+(Inputs!$C$6))/(0.5*(Inputs!$C$39+Inputs!$C$40))))+Inputs!$C$38*SIN(2*PI()*(A127)/Inputs!$C$39)*SIN(2*PI()*(Inputs!$C$6)/Inputs!$C$40)+-Inputs!$C$41*EXP(-(((Inputs!$C$6)-Inputs!$C$43)^2)/(2*Inputs!$C$44^2))*EXP(-(((A127)-Inputs!$C$42)^2)/(2*Inputs!$C$45^2)))</x:f>
        <x:v>396.63582709405546</x:v>
      </x:c>
      <x:c r="Z127" s="40" t="n">
        <x:f>B127-X127/1000</x:f>
        <x:v>399.95617389348115</x:v>
      </x:c>
      <x:c r="AA127" s="40" t="n">
        <x:f>SQRT(A127^2+Inputs!$C$6^2+(B127-Y127/1000)^2)</x:f>
        <x:v>400.39936157947864</x:v>
      </x:c>
      <x:c r="AB127" s="40" t="n">
        <x:f>(AA127-Z127)*1000</x:f>
        <x:v>443.18768599748637</x:v>
      </x:c>
      <x:c r="AC127" s="40" t="n">
        <x:f>AB127/Inputs!$C$12</x:f>
        <x:v>248.98184606600358</x:v>
      </x:c>
      <x:c r="AD127" s="40" t="n">
        <x:f>2*AB127/Inputs!$C$21*1000000</x:f>
        <x:v>2.956629989654285</x:v>
      </x:c>
      <x:c r="AE127" s="40" t="n">
        <x:f>DEGREES(ATAN(H127/(B127-Y127/1000)))</x:f>
        <x:v>3.5976206373926036</x:v>
      </x:c>
      <x:c r="AF127" s="40" t="n">
        <x:f>DEGREES((2*PI()/Inputs!$C$13)*Inputs!$C$15*SIN(RADIANS(AE127)))</x:f>
        <x:v>22.589666535253464</x:v>
      </x:c>
      <x:c r="AG127" s="40" t="n">
        <x:f>(Z127/AA127)^4</x:f>
        <x:v>0.9955798889963056</x:v>
      </x:c>
      <x:c r="AH127" s="40" t="n">
        <x:f>10*LOG10(AG127)</x:f>
        <x:v>-0.0192388484984967</x:v>
      </x:c>
      <x:c r="AI127" s="40" t="n">
        <x:f>AC127-F127</x:f>
        <x:v>-193.86764752597543</x:v>
      </x:c>
      <x:c r="AJ127" s="40" t="n">
        <x:f>AD127-G127</x:f>
        <x:v>-2.302155397092987</x:v>
      </x:c>
      <x:c r="AK127" s="40" t="n">
        <x:f>Y127-X127</x:f>
        <x:v>345.8652761307485</x:v>
      </x:c>
      <x:c r="AL127" s="40" t="n">
        <x:f>1000*(AA128-AA126)/(A128-A126)*Inputs!$C$11</x:f>
        <x:v>-5.96724566435114</x:v>
      </x:c>
      <x:c r="AM127" s="40" t="n">
        <x:f>-2*AL127/Inputs!$C$13</x:f>
        <x:v>2.386898265740456</x:v>
      </x:c>
      <x:c r="AN127" s="40" t="n">
        <x:f>-2*AL127/Inputs!$C$14</x:f>
        <x:v>0.35839313299406245</x:v>
      </x:c>
      <x:c r="AO127" s="40" t="n">
        <x:f>ABS(AM127)</x:f>
        <x:v>2.386898265740456</x:v>
      </x:c>
      <x:c r="AP127" s="40" t="n">
        <x:f>ABS(AN127)</x:f>
        <x:v>0.35839313299406245</x:v>
      </x:c>
      <x:c r="AQ127" s="40" t="n">
        <x:f>IF(Inputs!$C$27="ON",Inputs!$C$46/Inputs!$C$12,0)</x:f>
        <x:v>42.13483146067416</x:v>
      </x:c>
      <x:c r="AR127" s="40" t="n">
        <x:f>AC127-AQ127</x:f>
        <x:v>206.84701460532943</x:v>
      </x:c>
      <x:c r="AS127" s="40" t="n">
        <x:f>AC127+AQ127</x:f>
        <x:v>291.11667752667773</x:v>
      </x:c>
    </x:row>
    <x:row r="128">
      <x:c r="A128" s="40" t="n">
        <x:f>Inputs!$C$7+126*(Inputs!$C$8-Inputs!$C$7)/240</x:f>
        <x:v>3</x:v>
      </x:c>
      <x:c r="B128" s="40" t="n">
        <x:f>Inputs!$C$5+Inputs!$C$9*(A128/Inputs!$C$10)^2</x:f>
        <x:v>400.01</x:v>
      </x:c>
      <x:c r="C128" s="40" t="n">
        <x:f>B128</x:f>
        <x:v>400.01</x:v>
      </x:c>
      <x:c r="D128" s="40" t="n">
        <x:f>SQRT(A128^2+Inputs!$C$6^2+B128^2)</x:f>
        <x:v>400.8016967279455</x:v>
      </x:c>
      <x:c r="E128" s="40" t="n">
        <x:f>(D128-C128)*1000</x:f>
        <x:v>791.6967279455207</x:v>
      </x:c>
      <x:c r="F128" s="40" t="n">
        <x:f>E128/Inputs!$C$12</x:f>
        <x:v>444.77344266602285</x:v>
      </x:c>
      <x:c r="G128" s="40" t="n">
        <x:f>2*E128/Inputs!$C$21*1000000</x:f>
        <x:v>5.2816320545697035</x:v>
      </x:c>
      <x:c r="H128" s="40" t="n">
        <x:f>SQRT(A128^2+Inputs!$C$6^2)</x:f>
        <x:v>25.179356624028344</x:v>
      </x:c>
      <x:c r="I128" s="40" t="n">
        <x:f>DEGREES(ATAN(H128/B128))</x:f>
        <x:v>3.601834829314978</x:v>
      </x:c>
      <x:c r="J128" s="40" t="n">
        <x:f>DEGREES((2*PI()/Inputs!$C$13)*Inputs!$C$15*SIN(RADIANS(I128)))</x:f>
        <x:v>22.616092842548554</x:v>
      </x:c>
      <x:c r="K128" s="40" t="n">
        <x:f>(C128/D128)^4</x:f>
        <x:v>0.9921222481403926</x:v>
      </x:c>
      <x:c r="L128" s="40" t="n">
        <x:f>10*LOG10(K128)</x:f>
        <x:v>-0.0343481129167515</x:v>
      </x:c>
      <x:c r="M128" s="40" t="n">
        <x:f>2*(Inputs!$C$9/(Inputs!$C$10^2))*A128</x:f>
        <x:v>0.006666666666666666</x:v>
      </x:c>
      <x:c r="N128" s="40" t="n">
        <x:f>M128*Inputs!$C$11</x:f>
        <x:v>0.026666666666666665</x:v>
      </x:c>
      <x:c r="O128" s="40" t="n">
        <x:f>1000*((A128*Inputs!$C$11)+(B128*N128))/D128</x:f>
        <x:v>56.553985470573245</x:v>
      </x:c>
      <x:c r="P128" s="40" t="n">
        <x:f>-2*O128/Inputs!$C$13</x:f>
        <x:v>-22.6215941882293</x:v>
      </x:c>
      <x:c r="Q128" s="40" t="n">
        <x:f>-2*O128/Inputs!$C$14</x:f>
        <x:v>-3.3966357639983933</x:v>
      </x:c>
      <x:c r="R128" s="40" t="n">
        <x:f>F128-Inputs!$C$16/2</x:f>
        <x:v>429.77344266602285</x:v>
      </x:c>
      <x:c r="S128" s="40" t="n">
        <x:f>F128+Inputs!$C$16/2</x:f>
        <x:v>459.77344266602285</x:v>
      </x:c>
      <x:c r="T128" s="40" t="n">
        <x:f>F128-Inputs!$C$17/2</x:f>
        <x:v>294.77344266602285</x:v>
      </x:c>
      <x:c r="U128" s="40" t="n">
        <x:f>F128+Inputs!$C$17/2</x:f>
        <x:v>594.7734426660229</x:v>
      </x:c>
      <x:c r="V128" s="40" t="n">
        <x:f>ABS(P128)</x:f>
        <x:v>22.6215941882293</x:v>
      </x:c>
      <x:c r="W128" s="40" t="n">
        <x:f>ABS(Q128)</x:f>
        <x:v>3.3966357639983933</x:v>
      </x:c>
      <x:c r="X128" s="40" t="n">
        <x:f>IF(Inputs!$C$27="ON",1,0)*(Inputs!$C$28*EXP(-(((A128)-Inputs!$C$29)^2)/(2*Inputs!$C$31^2))*EXP(-(((0)-Inputs!$C$30)^2)/(2*Inputs!$C$32^2))+-Inputs!$C$33*EXP(-(((((A128)-Inputs!$C$34)^2)+(((0)-Inputs!$C$35)^2))/(2*Inputs!$C$36^2)))+Inputs!$C$37*(0.55*SIN(2*PI()*(A128)/Inputs!$C$39)+0.35*COS(2*PI()*(0)/Inputs!$C$40)+0.2*SIN(2*PI()*((A128)+(0))/(0.5*(Inputs!$C$39+Inputs!$C$40))))+Inputs!$C$38*SIN(2*PI()*(A128)/Inputs!$C$39)*SIN(2*PI()*(0)/Inputs!$C$40)+-Inputs!$C$41*EXP(-(((0)-Inputs!$C$43)^2)/(2*Inputs!$C$44^2))*EXP(-(((A128)-Inputs!$C$42)^2)/(2*Inputs!$C$45^2)))</x:f>
        <x:v>56.042145896701015</x:v>
      </x:c>
      <x:c r="Y128" s="40" t="n">
        <x:f>IF(Inputs!$C$27="ON",1,0)*(Inputs!$C$28*EXP(-(((A128)-Inputs!$C$29)^2)/(2*Inputs!$C$31^2))*EXP(-(((Inputs!$C$6)-Inputs!$C$30)^2)/(2*Inputs!$C$32^2))+-Inputs!$C$33*EXP(-(((((A128)-Inputs!$C$34)^2)+(((Inputs!$C$6)-Inputs!$C$35)^2))/(2*Inputs!$C$36^2)))+Inputs!$C$37*(0.55*SIN(2*PI()*(A128)/Inputs!$C$39)+0.35*COS(2*PI()*(Inputs!$C$6)/Inputs!$C$40)+0.2*SIN(2*PI()*((A128)+(Inputs!$C$6))/(0.5*(Inputs!$C$39+Inputs!$C$40))))+Inputs!$C$38*SIN(2*PI()*(A128)/Inputs!$C$39)*SIN(2*PI()*(Inputs!$C$6)/Inputs!$C$40)+-Inputs!$C$41*EXP(-(((Inputs!$C$6)-Inputs!$C$43)^2)/(2*Inputs!$C$44^2))*EXP(-(((A128)-Inputs!$C$42)^2)/(2*Inputs!$C$45^2)))</x:f>
        <x:v>402.8329317329924</x:v>
      </x:c>
      <x:c r="Z128" s="40" t="n">
        <x:f>B128-X128/1000</x:f>
        <x:v>399.9539578541033</x:v>
      </x:c>
      <x:c r="AA128" s="40" t="n">
        <x:f>SQRT(A128^2+Inputs!$C$6^2+(B128-Y128/1000)^2)</x:f>
        <x:v>400.39966030495816</x:v>
      </x:c>
      <x:c r="AB128" s="40" t="n">
        <x:f>(AA128-Z128)*1000</x:f>
        <x:v>445.70245085486704</x:v>
      </x:c>
      <x:c r="AC128" s="40" t="n">
        <x:f>AB128/Inputs!$C$12</x:f>
        <x:v>250.39463531172305</x:v>
      </x:c>
      <x:c r="AD128" s="40" t="n">
        <x:f>2*AB128/Inputs!$C$21*1000000</x:f>
        <x:v>2.973406694940051</x:v>
      </x:c>
      <x:c r="AE128" s="40" t="n">
        <x:f>DEGREES(ATAN(H128/(B128-Y128/1000)))</x:f>
        <x:v>3.60545616660696</x:v>
      </x:c>
      <x:c r="AF128" s="40" t="n">
        <x:f>DEGREES((2*PI()/Inputs!$C$13)*Inputs!$C$15*SIN(RADIANS(AE128)))</x:f>
        <x:v>22.638801385961013</x:v>
      </x:c>
      <x:c r="AG128" s="40" t="n">
        <x:f>(Z128/AA128)^4</x:f>
        <x:v>0.9955548533067003</x:v>
      </x:c>
      <x:c r="AH128" s="40" t="n">
        <x:f>10*LOG10(AG128)</x:f>
        <x:v>-0.0193480612164083</x:v>
      </x:c>
      <x:c r="AI128" s="40" t="n">
        <x:f>AC128-F128</x:f>
        <x:v>-194.3788073542998</x:v>
      </x:c>
      <x:c r="AJ128" s="40" t="n">
        <x:f>AD128-G128</x:f>
        <x:v>-2.3082253596296525</x:v>
      </x:c>
      <x:c r="AK128" s="40" t="n">
        <x:f>Y128-X128</x:f>
        <x:v>346.7907858362914</x:v>
      </x:c>
      <x:c r="AL128" s="40" t="n">
        <x:f>1000*(AA129-AA127)/(A129-A127)*Inputs!$C$11</x:f>
        <x:v>11.66075765468122</x:v>
      </x:c>
      <x:c r="AM128" s="40" t="n">
        <x:f>-2*AL128/Inputs!$C$13</x:f>
        <x:v>-4.664303061872488</x:v>
      </x:c>
      <x:c r="AN128" s="40" t="n">
        <x:f>-2*AL128/Inputs!$C$14</x:f>
        <x:v>-0.7003458050859592</x:v>
      </x:c>
      <x:c r="AO128" s="40" t="n">
        <x:f>ABS(AM128)</x:f>
        <x:v>4.664303061872488</x:v>
      </x:c>
      <x:c r="AP128" s="40" t="n">
        <x:f>ABS(AN128)</x:f>
        <x:v>0.7003458050859592</x:v>
      </x:c>
      <x:c r="AQ128" s="40" t="n">
        <x:f>IF(Inputs!$C$27="ON",Inputs!$C$46/Inputs!$C$12,0)</x:f>
        <x:v>42.13483146067416</x:v>
      </x:c>
      <x:c r="AR128" s="40" t="n">
        <x:f>AC128-AQ128</x:f>
        <x:v>208.2598038510489</x:v>
      </x:c>
      <x:c r="AS128" s="40" t="n">
        <x:f>AC128+AQ128</x:f>
        <x:v>292.5294667723972</x:v>
      </x:c>
    </x:row>
    <x:row r="129">
      <x:c r="A129" s="40" t="n">
        <x:f>Inputs!$C$7+127*(Inputs!$C$8-Inputs!$C$7)/240</x:f>
        <x:v>3.5</x:v>
      </x:c>
      <x:c r="B129" s="40" t="n">
        <x:f>Inputs!$C$5+Inputs!$C$9*(A129/Inputs!$C$10)^2</x:f>
        <x:v>400.0136111111111</x:v>
      </x:c>
      <x:c r="C129" s="40" t="n">
        <x:f>B129</x:f>
        <x:v>400.0136111111111</x:v>
      </x:c>
      <x:c r="D129" s="40" t="n">
        <x:f>SQRT(A129^2+Inputs!$C$6^2+B129^2)</x:f>
        <x:v>400.80935502324695</x:v>
      </x:c>
      <x:c r="E129" s="40" t="n">
        <x:f>(D129-C129)*1000</x:f>
        <x:v>795.7439121358334</x:v>
      </x:c>
      <x:c r="F129" s="40" t="n">
        <x:f>E129/Inputs!$C$12</x:f>
        <x:v>447.0471416493446</x:v>
      </x:c>
      <x:c r="G129" s="40" t="n">
        <x:f>2*E129/Inputs!$C$21*1000000</x:f>
        <x:v>5.3086319612205415</x:v>
      </x:c>
      <x:c r="H129" s="40" t="n">
        <x:f>SQRT(A129^2+Inputs!$C$6^2)</x:f>
        <x:v>25.243811122728676</x:v>
      </x:c>
      <x:c r="I129" s="40" t="n">
        <x:f>DEGREES(ATAN(H129/B129))</x:f>
        <x:v>3.6109979838002473</x:v>
      </x:c>
      <x:c r="J129" s="40" t="n">
        <x:f>DEGREES((2*PI()/Inputs!$C$13)*Inputs!$C$15*SIN(RADIANS(I129)))</x:f>
        <x:v>22.673552626173688</x:v>
      </x:c>
      <x:c r="K129" s="40" t="n">
        <x:f>(C129/D129)^4</x:f>
        <x:v>0.9920822475760858</x:v>
      </x:c>
      <x:c r="L129" s="40" t="n">
        <x:f>10*LOG10(K129)</x:f>
        <x:v>-0.0345232160816858</x:v>
      </x:c>
      <x:c r="M129" s="40" t="n">
        <x:f>2*(Inputs!$C$9/(Inputs!$C$10^2))*A129</x:f>
        <x:v>0.0077777777777777776</x:v>
      </x:c>
      <x:c r="N129" s="40" t="n">
        <x:f>M129*Inputs!$C$11</x:f>
        <x:v>0.03111111111111111</x:v>
      </x:c>
      <x:c r="O129" s="40" t="n">
        <x:f>1000*((A129*Inputs!$C$11)+(B129*N129))/D129</x:f>
        <x:v>65.97866933445394</x:v>
      </x:c>
      <x:c r="P129" s="40" t="n">
        <x:f>-2*O129/Inputs!$C$13</x:f>
        <x:v>-26.391467733781575</x:v>
      </x:c>
      <x:c r="Q129" s="40" t="n">
        <x:f>-2*O129/Inputs!$C$14</x:f>
        <x:v>-3.962682842910147</x:v>
      </x:c>
      <x:c r="R129" s="40" t="n">
        <x:f>F129-Inputs!$C$16/2</x:f>
        <x:v>432.0471416493446</x:v>
      </x:c>
      <x:c r="S129" s="40" t="n">
        <x:f>F129+Inputs!$C$16/2</x:f>
        <x:v>462.0471416493446</x:v>
      </x:c>
      <x:c r="T129" s="40" t="n">
        <x:f>F129-Inputs!$C$17/2</x:f>
        <x:v>297.0471416493446</x:v>
      </x:c>
      <x:c r="U129" s="40" t="n">
        <x:f>F129+Inputs!$C$17/2</x:f>
        <x:v>597.0471416493447</x:v>
      </x:c>
      <x:c r="V129" s="40" t="n">
        <x:f>ABS(P129)</x:f>
        <x:v>26.391467733781575</x:v>
      </x:c>
      <x:c r="W129" s="40" t="n">
        <x:f>ABS(Q129)</x:f>
        <x:v>3.962682842910147</x:v>
      </x:c>
      <x:c r="X129" s="40" t="n">
        <x:f>IF(Inputs!$C$27="ON",1,0)*(Inputs!$C$28*EXP(-(((A129)-Inputs!$C$29)^2)/(2*Inputs!$C$31^2))*EXP(-(((0)-Inputs!$C$30)^2)/(2*Inputs!$C$32^2))+-Inputs!$C$33*EXP(-(((((A129)-Inputs!$C$34)^2)+(((0)-Inputs!$C$35)^2))/(2*Inputs!$C$36^2)))+Inputs!$C$37*(0.55*SIN(2*PI()*(A129)/Inputs!$C$39)+0.35*COS(2*PI()*(0)/Inputs!$C$40)+0.2*SIN(2*PI()*((A129)+(0))/(0.5*(Inputs!$C$39+Inputs!$C$40))))+Inputs!$C$38*SIN(2*PI()*(A129)/Inputs!$C$39)*SIN(2*PI()*(0)/Inputs!$C$40)+-Inputs!$C$41*EXP(-(((0)-Inputs!$C$43)^2)/(2*Inputs!$C$44^2))*EXP(-(((A129)-Inputs!$C$42)^2)/(2*Inputs!$C$45^2)))</x:f>
        <x:v>59.75357517187605</x:v>
      </x:c>
      <x:c r="Y129" s="40" t="n">
        <x:f>IF(Inputs!$C$27="ON",1,0)*(Inputs!$C$28*EXP(-(((A129)-Inputs!$C$29)^2)/(2*Inputs!$C$31^2))*EXP(-(((Inputs!$C$6)-Inputs!$C$30)^2)/(2*Inputs!$C$32^2))+-Inputs!$C$33*EXP(-(((((A129)-Inputs!$C$34)^2)+(((Inputs!$C$6)-Inputs!$C$35)^2))/(2*Inputs!$C$36^2)))+Inputs!$C$37*(0.55*SIN(2*PI()*(A129)/Inputs!$C$39)+0.35*COS(2*PI()*(Inputs!$C$6)/Inputs!$C$40)+0.2*SIN(2*PI()*((A129)+(Inputs!$C$6))/(0.5*(Inputs!$C$39+Inputs!$C$40))))+Inputs!$C$38*SIN(2*PI()*(A129)/Inputs!$C$39)*SIN(2*PI()*(Inputs!$C$6)/Inputs!$C$40)+-Inputs!$C$41*EXP(-(((Inputs!$C$6)-Inputs!$C$43)^2)/(2*Inputs!$C$44^2))*EXP(-(((A129)-Inputs!$C$42)^2)/(2*Inputs!$C$45^2)))</x:f>
        <x:v>407.8888776668185</x:v>
      </x:c>
      <x:c r="Z129" s="40" t="n">
        <x:f>B129-X129/1000</x:f>
        <x:v>399.9538575359392</x:v>
      </x:c>
      <x:c r="AA129" s="40" t="n">
        <x:f>SQRT(A129^2+Inputs!$C$6^2+(B129-Y129/1000)^2)</x:f>
        <x:v>400.4022767688923</x:v>
      </x:c>
      <x:c r="AB129" s="40" t="n">
        <x:f>(AA129-Z129)*1000</x:f>
        <x:v>448.4192329530856</x:v>
      </x:c>
      <x:c r="AC129" s="40" t="n">
        <x:f>AB129/Inputs!$C$12</x:f>
        <x:v>251.92091738937393</x:v>
      </x:c>
      <x:c r="AD129" s="40" t="n">
        <x:f>2*AB129/Inputs!$C$21*1000000</x:f>
        <x:v>2.9915311141889074</x:v>
      </x:c>
      <x:c r="AE129" s="40" t="n">
        <x:f>DEGREES(ATAN(H129/(B129-Y129/1000)))</x:f>
        <x:v>3.6146740644432866</x:v>
      </x:c>
      <x:c r="AF129" s="40" t="n">
        <x:f>DEGREES((2*PI()/Inputs!$C$13)*Inputs!$C$15*SIN(RADIANS(AE129)))</x:f>
        <x:v>22.69660421893076</x:v>
      </x:c>
      <x:c r="AG129" s="40" t="n">
        <x:f>(Z129/AA129)^4</x:f>
        <x:v>0.9955278325875245</x:v>
      </x:c>
      <x:c r="AH129" s="40" t="n">
        <x:f>10*LOG10(AG129)</x:f>
        <x:v>-0.0194659362732201</x:v>
      </x:c>
      <x:c r="AI129" s="40" t="n">
        <x:f>AC129-F129</x:f>
        <x:v>-195.12622425997068</x:v>
      </x:c>
      <x:c r="AJ129" s="40" t="n">
        <x:f>AD129-G129</x:f>
        <x:v>-2.317100847031634</x:v>
      </x:c>
      <x:c r="AK129" s="40" t="n">
        <x:f>Y129-X129</x:f>
        <x:v>348.13530249494244</x:v>
      </x:c>
      <x:c r="AL129" s="40" t="n">
        <x:f>1000*(AA130-AA128)/(A130-A128)*Inputs!$C$11</x:f>
        <x:v>31.019740446026844</x:v>
      </x:c>
      <x:c r="AM129" s="40" t="n">
        <x:f>-2*AL129/Inputs!$C$13</x:f>
        <x:v>-12.407896178410738</x:v>
      </x:c>
      <x:c r="AN129" s="40" t="n">
        <x:f>-2*AL129/Inputs!$C$14</x:f>
        <x:v>-1.8630474742358467</x:v>
      </x:c>
      <x:c r="AO129" s="40" t="n">
        <x:f>ABS(AM129)</x:f>
        <x:v>12.407896178410738</x:v>
      </x:c>
      <x:c r="AP129" s="40" t="n">
        <x:f>ABS(AN129)</x:f>
        <x:v>1.8630474742358467</x:v>
      </x:c>
      <x:c r="AQ129" s="40" t="n">
        <x:f>IF(Inputs!$C$27="ON",Inputs!$C$46/Inputs!$C$12,0)</x:f>
        <x:v>42.13483146067416</x:v>
      </x:c>
      <x:c r="AR129" s="40" t="n">
        <x:f>AC129-AQ129</x:f>
        <x:v>209.78608592869978</x:v>
      </x:c>
      <x:c r="AS129" s="40" t="n">
        <x:f>AC129+AQ129</x:f>
        <x:v>294.0557488500481</x:v>
      </x:c>
    </x:row>
    <x:row r="130">
      <x:c r="A130" s="40" t="n">
        <x:f>Inputs!$C$7+128*(Inputs!$C$8-Inputs!$C$7)/240</x:f>
        <x:v>4</x:v>
      </x:c>
      <x:c r="B130" s="40" t="n">
        <x:f>Inputs!$C$5+Inputs!$C$9*(A130/Inputs!$C$10)^2</x:f>
        <x:v>400.0177777777778</x:v>
      </x:c>
      <x:c r="C130" s="40" t="n">
        <x:f>B130</x:f>
        <x:v>400.0177777777778</x:v>
      </x:c>
      <x:c r="D130" s="40" t="n">
        <x:f>SQRT(A130^2+Inputs!$C$6^2+B130^2)</x:f>
        <x:v>400.8181913764289</x:v>
      </x:c>
      <x:c r="E130" s="40" t="n">
        <x:f>(D130-C130)*1000</x:f>
        <x:v>800.4135986511187</x:v>
      </x:c>
      <x:c r="F130" s="40" t="n">
        <x:f>E130/Inputs!$C$12</x:f>
        <x:v>449.67056103995435</x:v>
      </x:c>
      <x:c r="G130" s="40" t="n">
        <x:f>2*E130/Inputs!$C$21*1000000</x:f>
        <x:v>5.339784756367145</x:v>
      </x:c>
      <x:c r="H130" s="40" t="n">
        <x:f>SQRT(A130^2+Inputs!$C$6^2)</x:f>
        <x:v>25.317977802344327</x:v>
      </x:c>
      <x:c r="I130" s="40" t="n">
        <x:f>DEGREES(ATAN(H130/B130))</x:f>
        <x:v>3.62154133083556</x:v>
      </x:c>
      <x:c r="J130" s="40" t="n">
        <x:f>DEGREES((2*PI()/Inputs!$C$13)*Inputs!$C$15*SIN(RADIANS(I130)))</x:f>
        <x:v>22.739666524476903</x:v>
      </x:c>
      <x:c r="K130" s="40" t="n">
        <x:f>(C130/D130)^4</x:f>
        <x:v>0.9920360978809625</x:v>
      </x:c>
      <x:c r="L130" s="40" t="n">
        <x:f>10*LOG10(K130)</x:f>
        <x:v>-0.0347252459453083</x:v>
      </x:c>
      <x:c r="M130" s="40" t="n">
        <x:f>2*(Inputs!$C$9/(Inputs!$C$10^2))*A130</x:f>
        <x:v>0.008888888888888889</x:v>
      </x:c>
      <x:c r="N130" s="40" t="n">
        <x:f>M130*Inputs!$C$11</x:f>
        <x:v>0.035555555555555556</x:v>
      </x:c>
      <x:c r="O130" s="40" t="n">
        <x:f>1000*((A130*Inputs!$C$11)+(B130*N130))/D130</x:f>
        <x:v>75.40290079449969</x:v>
      </x:c>
      <x:c r="P130" s="40" t="n">
        <x:f>-2*O130/Inputs!$C$13</x:f>
        <x:v>-30.161160317799876</x:v>
      </x:c>
      <x:c r="Q130" s="40" t="n">
        <x:f>-2*O130/Inputs!$C$14</x:f>
        <x:v>-4.528702750420402</x:v>
      </x:c>
      <x:c r="R130" s="40" t="n">
        <x:f>F130-Inputs!$C$16/2</x:f>
        <x:v>434.67056103995435</x:v>
      </x:c>
      <x:c r="S130" s="40" t="n">
        <x:f>F130+Inputs!$C$16/2</x:f>
        <x:v>464.67056103995435</x:v>
      </x:c>
      <x:c r="T130" s="40" t="n">
        <x:f>F130-Inputs!$C$17/2</x:f>
        <x:v>299.67056103995435</x:v>
      </x:c>
      <x:c r="U130" s="40" t="n">
        <x:f>F130+Inputs!$C$17/2</x:f>
        <x:v>599.6705610399544</x:v>
      </x:c>
      <x:c r="V130" s="40" t="n">
        <x:f>ABS(P130)</x:f>
        <x:v>30.161160317799876</x:v>
      </x:c>
      <x:c r="W130" s="40" t="n">
        <x:f>ABS(Q130)</x:f>
        <x:v>4.528702750420402</x:v>
      </x:c>
      <x:c r="X130" s="40" t="n">
        <x:f>IF(Inputs!$C$27="ON",1,0)*(Inputs!$C$28*EXP(-(((A130)-Inputs!$C$29)^2)/(2*Inputs!$C$31^2))*EXP(-(((0)-Inputs!$C$30)^2)/(2*Inputs!$C$32^2))+-Inputs!$C$33*EXP(-(((((A130)-Inputs!$C$34)^2)+(((0)-Inputs!$C$35)^2))/(2*Inputs!$C$36^2)))+Inputs!$C$37*(0.55*SIN(2*PI()*(A130)/Inputs!$C$39)+0.35*COS(2*PI()*(0)/Inputs!$C$40)+0.2*SIN(2*PI()*((A130)+(0))/(0.5*(Inputs!$C$39+Inputs!$C$40))))+Inputs!$C$38*SIN(2*PI()*(A130)/Inputs!$C$39)*SIN(2*PI()*(0)/Inputs!$C$40)+-Inputs!$C$41*EXP(-(((0)-Inputs!$C$43)^2)/(2*Inputs!$C$44^2))*EXP(-(((A130)-Inputs!$C$42)^2)/(2*Inputs!$C$45^2)))</x:f>
        <x:v>61.80855989060662</x:v>
      </x:c>
      <x:c r="Y130" s="40" t="n">
        <x:f>IF(Inputs!$C$27="ON",1,0)*(Inputs!$C$28*EXP(-(((A130)-Inputs!$C$29)^2)/(2*Inputs!$C$31^2))*EXP(-(((Inputs!$C$6)-Inputs!$C$30)^2)/(2*Inputs!$C$32^2))+-Inputs!$C$33*EXP(-(((((A130)-Inputs!$C$34)^2)+(((Inputs!$C$6)-Inputs!$C$35)^2))/(2*Inputs!$C$36^2)))+Inputs!$C$37*(0.55*SIN(2*PI()*(A130)/Inputs!$C$39)+0.35*COS(2*PI()*(Inputs!$C$6)/Inputs!$C$40)+0.2*SIN(2*PI()*((A130)+(Inputs!$C$6))/(0.5*(Inputs!$C$39+Inputs!$C$40))))+Inputs!$C$38*SIN(2*PI()*(A130)/Inputs!$C$39)*SIN(2*PI()*(Inputs!$C$6)/Inputs!$C$40)+-Inputs!$C$41*EXP(-(((Inputs!$C$6)-Inputs!$C$43)^2)/(2*Inputs!$C$44^2))*EXP(-(((A130)-Inputs!$C$42)^2)/(2*Inputs!$C$45^2)))</x:f>
        <x:v>411.59892260341974</x:v>
      </x:c>
      <x:c r="Z130" s="40" t="n">
        <x:f>B130-X130/1000</x:f>
        <x:v>399.9559692178872</x:v>
      </x:c>
      <x:c r="AA130" s="40" t="n">
        <x:f>SQRT(A130^2+Inputs!$C$6^2+(B130-Y130/1000)^2)</x:f>
        <x:v>400.40741524006967</x:v>
      </x:c>
      <x:c r="AB130" s="40" t="n">
        <x:f>(AA130-Z130)*1000</x:f>
        <x:v>451.44602218249474</x:v>
      </x:c>
      <x:c r="AC130" s="40" t="n">
        <x:f>AB130/Inputs!$C$12</x:f>
        <x:v>253.62136077668242</x:v>
      </x:c>
      <x:c r="AD130" s="40" t="n">
        <x:f>2*AB130/Inputs!$C$21*1000000</x:f>
        <x:v>3.011723678402175</x:v>
      </x:c>
      <x:c r="AE130" s="40" t="n">
        <x:f>DEGREES(ATAN(H130/(B130-Y130/1000)))</x:f>
        <x:v>3.625261616948181</x:v>
      </x:c>
      <x:c r="AF130" s="40" t="n">
        <x:f>DEGREES((2*PI()/Inputs!$C$13)*Inputs!$C$15*SIN(RADIANS(AE130)))</x:f>
        <x:v>22.76299504438312</x:v>
      </x:c>
      <x:c r="AG130" s="40" t="n">
        <x:f>(Z130/AA130)^4</x:f>
        <x:v>0.9954977546048367</x:v>
      </x:c>
      <x:c r="AH130" s="40" t="n">
        <x:f>10*LOG10(AG130)</x:f>
        <x:v>-0.019597152084740898</x:v>
      </x:c>
      <x:c r="AI130" s="40" t="n">
        <x:f>AC130-F130</x:f>
        <x:v>-196.04920026327193</x:v>
      </x:c>
      <x:c r="AJ130" s="40" t="n">
        <x:f>AD130-G130</x:f>
        <x:v>-2.32806107796497</x:v>
      </x:c>
      <x:c r="AK130" s="40" t="n">
        <x:f>Y130-X130</x:f>
        <x:v>349.79036271281313</x:v>
      </x:c>
      <x:c r="AL130" s="40" t="n">
        <x:f>1000*(AA131-AA129)/(A131-A129)*Inputs!$C$11</x:f>
        <x:v>51.88622290279454</x:v>
      </x:c>
      <x:c r="AM130" s="40" t="n">
        <x:f>-2*AL130/Inputs!$C$13</x:f>
        <x:v>-20.754489161117817</x:v>
      </x:c>
      <x:c r="AN130" s="40" t="n">
        <x:f>-2*AL130/Inputs!$C$14</x:f>
        <x:v>-3.1162896638315045</x:v>
      </x:c>
      <x:c r="AO130" s="40" t="n">
        <x:f>ABS(AM130)</x:f>
        <x:v>20.754489161117817</x:v>
      </x:c>
      <x:c r="AP130" s="40" t="n">
        <x:f>ABS(AN130)</x:f>
        <x:v>3.1162896638315045</x:v>
      </x:c>
      <x:c r="AQ130" s="40" t="n">
        <x:f>IF(Inputs!$C$27="ON",Inputs!$C$46/Inputs!$C$12,0)</x:f>
        <x:v>42.13483146067416</x:v>
      </x:c>
      <x:c r="AR130" s="40" t="n">
        <x:f>AC130-AQ130</x:f>
        <x:v>211.48652931600827</x:v>
      </x:c>
      <x:c r="AS130" s="40" t="n">
        <x:f>AC130+AQ130</x:f>
        <x:v>295.7561922373566</x:v>
      </x:c>
    </x:row>
    <x:row r="131">
      <x:c r="A131" s="40" t="n">
        <x:f>Inputs!$C$7+129*(Inputs!$C$8-Inputs!$C$7)/240</x:f>
        <x:v>4.5</x:v>
      </x:c>
      <x:c r="B131" s="40" t="n">
        <x:f>Inputs!$C$5+Inputs!$C$9*(A131/Inputs!$C$10)^2</x:f>
        <x:v>400.0225</x:v>
      </x:c>
      <x:c r="C131" s="40" t="n">
        <x:f>B131</x:f>
        <x:v>400.0225</x:v>
      </x:c>
      <x:c r="D131" s="40" t="n">
        <x:f>SQRT(A131^2+Inputs!$C$6^2+B131^2)</x:f>
        <x:v>400.82820572690486</x:v>
      </x:c>
      <x:c r="E131" s="40" t="n">
        <x:f>(D131-C131)*1000</x:f>
        <x:v>805.7057269048755</x:v>
      </x:c>
      <x:c r="F131" s="40" t="n">
        <x:f>E131/Inputs!$C$12</x:f>
        <x:v>452.64366680049187</x:v>
      </x:c>
      <x:c r="G131" s="40" t="n">
        <x:f>2*E131/Inputs!$C$21*1000000</x:f>
        <x:v>5.375090035819884</x:v>
      </x:c>
      <x:c r="H131" s="40" t="n">
        <x:f>SQRT(A131^2+Inputs!$C$6^2)</x:f>
        <x:v>25.401771591761076</x:v>
      </x:c>
      <x:c r="I131" s="40" t="n">
        <x:f>DEGREES(ATAN(H131/B131))</x:f>
        <x:v>3.6334525503982564</x:v>
      </x:c>
      <x:c r="J131" s="40" t="n">
        <x:f>DEGREES((2*PI()/Inputs!$C$13)*Inputs!$C$15*SIN(RADIANS(I131)))</x:f>
        <x:v>22.814356979819124</x:v>
      </x:c>
      <x:c r="K131" s="40" t="n">
        <x:f>(C131/D131)^4</x:f>
        <x:v>0.9919838011121314</x:v>
      </x:c>
      <x:c r="L131" s="40" t="n">
        <x:f>10*LOG10(K131)</x:f>
        <x:v>-0.0349541972591687</x:v>
      </x:c>
      <x:c r="M131" s="40" t="n">
        <x:f>2*(Inputs!$C$9/(Inputs!$C$10^2))*A131</x:f>
        <x:v>0.01</x:v>
      </x:c>
      <x:c r="N131" s="40" t="n">
        <x:f>M131*Inputs!$C$11</x:f>
        <x:v>0.04</x:v>
      </x:c>
      <x:c r="O131" s="40" t="n">
        <x:f>1000*((A131*Inputs!$C$11)+(B131*N131))/D131</x:f>
        <x:v>84.82661527858082</x:v>
      </x:c>
      <x:c r="P131" s="40" t="n">
        <x:f>-2*O131/Inputs!$C$13</x:f>
        <x:v>-33.930646111432324</x:v>
      </x:c>
      <x:c r="Q131" s="40" t="n">
        <x:f>-2*O131/Inputs!$C$14</x:f>
        <x:v>-5.094691608323172</x:v>
      </x:c>
      <x:c r="R131" s="40" t="n">
        <x:f>F131-Inputs!$C$16/2</x:f>
        <x:v>437.64366680049187</x:v>
      </x:c>
      <x:c r="S131" s="40" t="n">
        <x:f>F131+Inputs!$C$16/2</x:f>
        <x:v>467.64366680049187</x:v>
      </x:c>
      <x:c r="T131" s="40" t="n">
        <x:f>F131-Inputs!$C$17/2</x:f>
        <x:v>302.64366680049187</x:v>
      </x:c>
      <x:c r="U131" s="40" t="n">
        <x:f>F131+Inputs!$C$17/2</x:f>
        <x:v>602.6436668004919</x:v>
      </x:c>
      <x:c r="V131" s="40" t="n">
        <x:f>ABS(P131)</x:f>
        <x:v>33.930646111432324</x:v>
      </x:c>
      <x:c r="W131" s="40" t="n">
        <x:f>ABS(Q131)</x:f>
        <x:v>5.094691608323172</x:v>
      </x:c>
      <x:c r="X131" s="40" t="n">
        <x:f>IF(Inputs!$C$27="ON",1,0)*(Inputs!$C$28*EXP(-(((A131)-Inputs!$C$29)^2)/(2*Inputs!$C$31^2))*EXP(-(((0)-Inputs!$C$30)^2)/(2*Inputs!$C$32^2))+-Inputs!$C$33*EXP(-(((((A131)-Inputs!$C$34)^2)+(((0)-Inputs!$C$35)^2))/(2*Inputs!$C$36^2)))+Inputs!$C$37*(0.55*SIN(2*PI()*(A131)/Inputs!$C$39)+0.35*COS(2*PI()*(0)/Inputs!$C$40)+0.2*SIN(2*PI()*((A131)+(0))/(0.5*(Inputs!$C$39+Inputs!$C$40))))+Inputs!$C$38*SIN(2*PI()*(A131)/Inputs!$C$39)*SIN(2*PI()*(0)/Inputs!$C$40)+-Inputs!$C$41*EXP(-(((0)-Inputs!$C$43)^2)/(2*Inputs!$C$44^2))*EXP(-(((A131)-Inputs!$C$42)^2)/(2*Inputs!$C$45^2)))</x:f>
        <x:v>62.16600094428339</x:v>
      </x:c>
      <x:c r="Y131" s="40" t="n">
        <x:f>IF(Inputs!$C$27="ON",1,0)*(Inputs!$C$28*EXP(-(((A131)-Inputs!$C$29)^2)/(2*Inputs!$C$31^2))*EXP(-(((Inputs!$C$6)-Inputs!$C$30)^2)/(2*Inputs!$C$32^2))+-Inputs!$C$33*EXP(-(((((A131)-Inputs!$C$34)^2)+(((Inputs!$C$6)-Inputs!$C$35)^2))/(2*Inputs!$C$36^2)))+Inputs!$C$37*(0.55*SIN(2*PI()*(A131)/Inputs!$C$39)+0.35*COS(2*PI()*(Inputs!$C$6)/Inputs!$C$40)+0.2*SIN(2*PI()*((A131)+(Inputs!$C$6))/(0.5*(Inputs!$C$39+Inputs!$C$40))))+Inputs!$C$38*SIN(2*PI()*(A131)/Inputs!$C$39)*SIN(2*PI()*(Inputs!$C$6)/Inputs!$C$40)+-Inputs!$C$41*EXP(-(((Inputs!$C$6)-Inputs!$C$43)^2)/(2*Inputs!$C$44^2))*EXP(-(((A131)-Inputs!$C$42)^2)/(2*Inputs!$C$45^2)))</x:f>
        <x:v>413.7900212690455</x:v>
      </x:c>
      <x:c r="Z131" s="40" t="n">
        <x:f>B131-X131/1000</x:f>
        <x:v>399.9603339990557</x:v>
      </x:c>
      <x:c r="AA131" s="40" t="n">
        <x:f>SQRT(A131^2+Inputs!$C$6^2+(B131-Y131/1000)^2)</x:f>
        <x:v>400.415248324618</x:v>
      </x:c>
      <x:c r="AB131" s="40" t="n">
        <x:f>(AA131-Z131)*1000</x:f>
        <x:v>454.9143255622994</x:v>
      </x:c>
      <x:c r="AC131" s="40" t="n">
        <x:f>AB131/Inputs!$C$12</x:f>
        <x:v>255.5698458215165</x:v>
      </x:c>
      <x:c r="AD131" s="40" t="n">
        <x:f>2*AB131/Inputs!$C$21*1000000</x:f>
        <x:v>3.0348617079773192</x:v>
      </x:c>
      <x:c r="AE131" s="40" t="n">
        <x:f>DEGREES(ATAN(H131/(B131-Y131/1000)))</x:f>
        <x:v>3.6372048522728986</x:v>
      </x:c>
      <x:c r="AF131" s="40" t="n">
        <x:f>DEGREES((2*PI()/Inputs!$C$13)*Inputs!$C$15*SIN(RADIANS(AE131)))</x:f>
        <x:v>22.837885947890776</x:v>
      </x:c>
      <x:c r="AG131" s="40" t="n">
        <x:f>(Z131/AA131)^4</x:f>
        <x:v>0.9954633129696543</x:v>
      </x:c>
      <x:c r="AH131" s="40" t="n">
        <x:f>10*LOG10(AG131)</x:f>
        <x:v>-0.0197474092881844</x:v>
      </x:c>
      <x:c r="AI131" s="40" t="n">
        <x:f>AC131-F131</x:f>
        <x:v>-197.07382097897536</x:v>
      </x:c>
      <x:c r="AJ131" s="40" t="n">
        <x:f>AD131-G131</x:f>
        <x:v>-2.340228327842565</x:v>
      </x:c>
      <x:c r="AK131" s="40" t="n">
        <x:f>Y131-X131</x:f>
        <x:v>351.6240203247621</x:v>
      </x:c>
      <x:c r="AL131" s="40" t="n">
        <x:f>1000*(AA132-AA130)/(A132-A130)*Inputs!$C$11</x:f>
        <x:v>73.98013403098957</x:v>
      </x:c>
      <x:c r="AM131" s="40" t="n">
        <x:f>-2*AL131/Inputs!$C$13</x:f>
        <x:v>-29.59205361239583</x:v>
      </x:c>
      <x:c r="AN131" s="40" t="n">
        <x:f>-2*AL131/Inputs!$C$14</x:f>
        <x:v>-4.443251293152527</x:v>
      </x:c>
      <x:c r="AO131" s="40" t="n">
        <x:f>ABS(AM131)</x:f>
        <x:v>29.59205361239583</x:v>
      </x:c>
      <x:c r="AP131" s="40" t="n">
        <x:f>ABS(AN131)</x:f>
        <x:v>4.443251293152527</x:v>
      </x:c>
      <x:c r="AQ131" s="40" t="n">
        <x:f>IF(Inputs!$C$27="ON",Inputs!$C$46/Inputs!$C$12,0)</x:f>
        <x:v>42.13483146067416</x:v>
      </x:c>
      <x:c r="AR131" s="40" t="n">
        <x:f>AC131-AQ131</x:f>
        <x:v>213.43501436084236</x:v>
      </x:c>
      <x:c r="AS131" s="40" t="n">
        <x:f>AC131+AQ131</x:f>
        <x:v>297.7046772821907</x:v>
      </x:c>
    </x:row>
    <x:row r="132">
      <x:c r="A132" s="40" t="n">
        <x:f>Inputs!$C$7+130*(Inputs!$C$8-Inputs!$C$7)/240</x:f>
        <x:v>5</x:v>
      </x:c>
      <x:c r="B132" s="40" t="n">
        <x:f>Inputs!$C$5+Inputs!$C$9*(A132/Inputs!$C$10)^2</x:f>
        <x:v>400.02777777777777</x:v>
      </x:c>
      <x:c r="C132" s="40" t="n">
        <x:f>B132</x:f>
        <x:v>400.02777777777777</x:v>
      </x:c>
      <x:c r="D132" s="40" t="n">
        <x:f>SQRT(A132^2+Inputs!$C$6^2+B132^2)</x:f>
        <x:v>400.8393980060183</x:v>
      </x:c>
      <x:c r="E132" s="40" t="n">
        <x:f>(D132-C132)*1000</x:f>
        <x:v>811.6202282405425</x:v>
      </x:c>
      <x:c r="F132" s="40" t="n">
        <x:f>E132/Inputs!$C$12</x:f>
        <x:v>455.9664203598553</x:v>
      </x:c>
      <x:c r="G132" s="40" t="n">
        <x:f>2*E132/Inputs!$C$21*1000000</x:f>
        <x:v>5.414547341551484</x:v>
      </x:c>
      <x:c r="H132" s="40" t="n">
        <x:f>SQRT(A132^2+Inputs!$C$6^2)</x:f>
        <x:v>25.495097567963924</x:v>
      </x:c>
      <x:c r="I132" s="40" t="n">
        <x:f>DEGREES(ATAN(H132/B132))</x:f>
        <x:v>3.646717894415093</x:v>
      </x:c>
      <x:c r="J132" s="40" t="n">
        <x:f>DEGREES((2*PI()/Inputs!$C$13)*Inputs!$C$15*SIN(RADIANS(I132)))</x:f>
        <x:v>22.897537442986597</x:v>
      </x:c>
      <x:c r="K132" s="40" t="n">
        <x:f>(C132/D132)^4</x:f>
        <x:v>0.9919253596003422</x:v>
      </x:c>
      <x:c r="L132" s="40" t="n">
        <x:f>10*LOG10(K132)</x:f>
        <x:v>-0.0352100640759975</x:v>
      </x:c>
      <x:c r="M132" s="40" t="n">
        <x:f>2*(Inputs!$C$9/(Inputs!$C$10^2))*A132</x:f>
        <x:v>0.011111111111111112</x:v>
      </x:c>
      <x:c r="N132" s="40" t="n">
        <x:f>M132*Inputs!$C$11</x:f>
        <x:v>0.044444444444444446</x:v>
      </x:c>
      <x:c r="O132" s="40" t="n">
        <x:f>1000*((A132*Inputs!$C$11)+(B132*N132))/D132</x:f>
        <x:v>94.24974823735214</x:v>
      </x:c>
      <x:c r="P132" s="40" t="n">
        <x:f>-2*O132/Inputs!$C$13</x:f>
        <x:v>-37.699899294940856</x:v>
      </x:c>
      <x:c r="Q132" s="40" t="n">
        <x:f>-2*O132/Inputs!$C$14</x:f>
        <x:v>-5.6606455397809095</x:v>
      </x:c>
      <x:c r="R132" s="40" t="n">
        <x:f>F132-Inputs!$C$16/2</x:f>
        <x:v>440.9664203598553</x:v>
      </x:c>
      <x:c r="S132" s="40" t="n">
        <x:f>F132+Inputs!$C$16/2</x:f>
        <x:v>470.9664203598553</x:v>
      </x:c>
      <x:c r="T132" s="40" t="n">
        <x:f>F132-Inputs!$C$17/2</x:f>
        <x:v>305.9664203598553</x:v>
      </x:c>
      <x:c r="U132" s="40" t="n">
        <x:f>F132+Inputs!$C$17/2</x:f>
        <x:v>605.9664203598553</x:v>
      </x:c>
      <x:c r="V132" s="40" t="n">
        <x:f>ABS(P132)</x:f>
        <x:v>37.699899294940856</x:v>
      </x:c>
      <x:c r="W132" s="40" t="n">
        <x:f>ABS(Q132)</x:f>
        <x:v>5.6606455397809095</x:v>
      </x:c>
      <x:c r="X132" s="40" t="n">
        <x:f>IF(Inputs!$C$27="ON",1,0)*(Inputs!$C$28*EXP(-(((A132)-Inputs!$C$29)^2)/(2*Inputs!$C$31^2))*EXP(-(((0)-Inputs!$C$30)^2)/(2*Inputs!$C$32^2))+-Inputs!$C$33*EXP(-(((((A132)-Inputs!$C$34)^2)+(((0)-Inputs!$C$35)^2))/(2*Inputs!$C$36^2)))+Inputs!$C$37*(0.55*SIN(2*PI()*(A132)/Inputs!$C$39)+0.35*COS(2*PI()*(0)/Inputs!$C$40)+0.2*SIN(2*PI()*((A132)+(0))/(0.5*(Inputs!$C$39+Inputs!$C$40))))+Inputs!$C$38*SIN(2*PI()*(A132)/Inputs!$C$39)*SIN(2*PI()*(0)/Inputs!$C$40)+-Inputs!$C$41*EXP(-(((0)-Inputs!$C$43)^2)/(2*Inputs!$C$44^2))*EXP(-(((A132)-Inputs!$C$42)^2)/(2*Inputs!$C$45^2)))</x:f>
        <x:v>60.84143753800466</x:v>
      </x:c>
      <x:c r="Y132" s="40" t="n">
        <x:f>IF(Inputs!$C$27="ON",1,0)*(Inputs!$C$28*EXP(-(((A132)-Inputs!$C$29)^2)/(2*Inputs!$C$31^2))*EXP(-(((Inputs!$C$6)-Inputs!$C$30)^2)/(2*Inputs!$C$32^2))+-Inputs!$C$33*EXP(-(((((A132)-Inputs!$C$34)^2)+(((Inputs!$C$6)-Inputs!$C$35)^2))/(2*Inputs!$C$36^2)))+Inputs!$C$37*(0.55*SIN(2*PI()*(A132)/Inputs!$C$39)+0.35*COS(2*PI()*(Inputs!$C$6)/Inputs!$C$40)+0.2*SIN(2*PI()*((A132)+(Inputs!$C$6))/(0.5*(Inputs!$C$39+Inputs!$C$40))))+Inputs!$C$38*SIN(2*PI()*(A132)/Inputs!$C$39)*SIN(2*PI()*(Inputs!$C$6)/Inputs!$C$40)+-Inputs!$C$41*EXP(-(((Inputs!$C$6)-Inputs!$C$43)^2)/(2*Inputs!$C$44^2))*EXP(-(((A132)-Inputs!$C$42)^2)/(2*Inputs!$C$45^2)))</x:f>
        <x:v>414.32753063820945</x:v>
      </x:c>
      <x:c r="Z132" s="40" t="n">
        <x:f>B132-X132/1000</x:f>
        <x:v>399.9669363402398</x:v>
      </x:c>
      <x:c r="AA132" s="40" t="n">
        <x:f>SQRT(A132^2+Inputs!$C$6^2+(B132-Y132/1000)^2)</x:f>
        <x:v>400.4259102735774</x:v>
      </x:c>
      <x:c r="AB132" s="40" t="n">
        <x:f>(AA132-Z132)*1000</x:f>
        <x:v>458.9739333376315</x:v>
      </x:c>
      <x:c r="AC132" s="40" t="n">
        <x:f>AB132/Inputs!$C$12</x:f>
        <x:v>257.85052434698395</x:v>
      </x:c>
      <x:c r="AD132" s="40" t="n">
        <x:f>2*AB132/Inputs!$C$21*1000000</x:f>
        <x:v>3.06194449586608</x:v>
      </x:c>
      <x:c r="AE132" s="40" t="n">
        <x:f>DEGREES(ATAN(H132/(B132-Y132/1000)))</x:f>
        <x:v>3.6504886686411537</x:v>
      </x:c>
      <x:c r="AF132" s="40" t="n">
        <x:f>DEGREES((2*PI()/Inputs!$C$13)*Inputs!$C$15*SIN(RADIANS(AE132)))</x:f>
        <x:v>22.921181894039513</x:v>
      </x:c>
      <x:c r="AG132" s="40" t="n">
        <x:f>(Z132/AA132)^4</x:f>
        <x:v>0.9954230193338199</x:v>
      </x:c>
      <x:c r="AH132" s="40" t="n">
        <x:f>10*LOG10(AG132)</x:f>
        <x:v>-0.0199232033897072</x:v>
      </x:c>
      <x:c r="AI132" s="40" t="n">
        <x:f>AC132-F132</x:f>
        <x:v>-198.11589601287136</x:v>
      </x:c>
      <x:c r="AJ132" s="40" t="n">
        <x:f>AD132-G132</x:f>
        <x:v>-2.3526028456854036</x:v>
      </x:c>
      <x:c r="AK132" s="40" t="n">
        <x:f>Y132-X132</x:f>
        <x:v>353.4860931002048</x:v>
      </x:c>
      <x:c r="AL132" s="40" t="n">
        <x:f>1000*(AA133-AA131)/(A133-A131)*Inputs!$C$11</x:f>
        <x:v>96.97197045625217</x:v>
      </x:c>
      <x:c r="AM132" s="40" t="n">
        <x:f>-2*AL132/Inputs!$C$13</x:f>
        <x:v>-38.788788182500866</x:v>
      </x:c>
      <x:c r="AN132" s="40" t="n">
        <x:f>-2*AL132/Inputs!$C$14</x:f>
        <x:v>-5.824142369744875</x:v>
      </x:c>
      <x:c r="AO132" s="40" t="n">
        <x:f>ABS(AM132)</x:f>
        <x:v>38.788788182500866</x:v>
      </x:c>
      <x:c r="AP132" s="40" t="n">
        <x:f>ABS(AN132)</x:f>
        <x:v>5.824142369744875</x:v>
      </x:c>
      <x:c r="AQ132" s="40" t="n">
        <x:f>IF(Inputs!$C$27="ON",Inputs!$C$46/Inputs!$C$12,0)</x:f>
        <x:v>42.13483146067416</x:v>
      </x:c>
      <x:c r="AR132" s="40" t="n">
        <x:f>AC132-AQ132</x:f>
        <x:v>215.7156928863098</x:v>
      </x:c>
      <x:c r="AS132" s="40" t="n">
        <x:f>AC132+AQ132</x:f>
        <x:v>299.9853558076581</x:v>
      </x:c>
    </x:row>
    <x:row r="133">
      <x:c r="A133" s="40" t="n">
        <x:f>Inputs!$C$7+131*(Inputs!$C$8-Inputs!$C$7)/240</x:f>
        <x:v>5.5</x:v>
      </x:c>
      <x:c r="B133" s="40" t="n">
        <x:f>Inputs!$C$5+Inputs!$C$9*(A133/Inputs!$C$10)^2</x:f>
        <x:v>400.0336111111111</x:v>
      </x:c>
      <x:c r="C133" s="40" t="n">
        <x:f>B133</x:f>
        <x:v>400.0336111111111</x:v>
      </x:c>
      <x:c r="D133" s="40" t="n">
        <x:f>SQRT(A133^2+Inputs!$C$6^2+B133^2)</x:f>
        <x:v>400.8517681370455</x:v>
      </x:c>
      <x:c r="E133" s="40" t="n">
        <x:f>(D133-C133)*1000</x:f>
        <x:v>818.1570259343971</x:v>
      </x:c>
      <x:c r="F133" s="40" t="n">
        <x:f>E133/Inputs!$C$12</x:f>
        <x:v>459.63877861482985</x:v>
      </x:c>
      <x:c r="G133" s="40" t="n">
        <x:f>2*E133/Inputs!$C$21*1000000</x:f>
        <x:v>5.458156161716364</x:v>
      </x:c>
      <x:c r="H133" s="40" t="n">
        <x:f>SQRT(A133^2+Inputs!$C$6^2)</x:f>
        <x:v>25.59785147234041</x:v>
      </x:c>
      <x:c r="I133" s="40" t="n">
        <x:f>DEGREES(ATAN(H133/B133))</x:f>
        <x:v>3.6613222610928524</x:v>
      </x:c>
      <x:c r="J133" s="40" t="n">
        <x:f>DEGREES((2*PI()/Inputs!$C$13)*Inputs!$C$15*SIN(RADIANS(I133)))</x:f>
        <x:v>22.989112840565028</x:v>
      </x:c>
      <x:c r="K133" s="40" t="n">
        <x:f>(C133/D133)^4</x:f>
        <x:v>0.9918607759497502</x:v>
      </x:c>
      <x:c r="L133" s="40" t="n">
        <x:f>10*LOG10(K133)</x:f>
        <x:v>-0.0354928397500539</x:v>
      </x:c>
      <x:c r="M133" s="40" t="n">
        <x:f>2*(Inputs!$C$9/(Inputs!$C$10^2))*A133</x:f>
        <x:v>0.012222222222222223</x:v>
      </x:c>
      <x:c r="N133" s="40" t="n">
        <x:f>M133*Inputs!$C$11</x:f>
        <x:v>0.04888888888888889</x:v>
      </x:c>
      <x:c r="O133" s="40" t="n">
        <x:f>1000*((A133*Inputs!$C$11)+(B133*N133))/D133</x:f>
        <x:v>103.67223514709379</x:v>
      </x:c>
      <x:c r="P133" s="40" t="n">
        <x:f>-2*O133/Inputs!$C$13</x:f>
        <x:v>-41.46889405883751</x:v>
      </x:c>
      <x:c r="Q133" s="40" t="n">
        <x:f>-2*O133/Inputs!$C$14</x:f>
        <x:v>-6.2265606694951225</x:v>
      </x:c>
      <x:c r="R133" s="40" t="n">
        <x:f>F133-Inputs!$C$16/2</x:f>
        <x:v>444.63877861482985</x:v>
      </x:c>
      <x:c r="S133" s="40" t="n">
        <x:f>F133+Inputs!$C$16/2</x:f>
        <x:v>474.63877861482985</x:v>
      </x:c>
      <x:c r="T133" s="40" t="n">
        <x:f>F133-Inputs!$C$17/2</x:f>
        <x:v>309.63877861482985</x:v>
      </x:c>
      <x:c r="U133" s="40" t="n">
        <x:f>F133+Inputs!$C$17/2</x:f>
        <x:v>609.6387786148298</x:v>
      </x:c>
      <x:c r="V133" s="40" t="n">
        <x:f>ABS(P133)</x:f>
        <x:v>41.46889405883751</x:v>
      </x:c>
      <x:c r="W133" s="40" t="n">
        <x:f>ABS(Q133)</x:f>
        <x:v>6.2265606694951225</x:v>
      </x:c>
      <x:c r="X133" s="40" t="n">
        <x:f>IF(Inputs!$C$27="ON",1,0)*(Inputs!$C$28*EXP(-(((A133)-Inputs!$C$29)^2)/(2*Inputs!$C$31^2))*EXP(-(((0)-Inputs!$C$30)^2)/(2*Inputs!$C$32^2))+-Inputs!$C$33*EXP(-(((((A133)-Inputs!$C$34)^2)+(((0)-Inputs!$C$35)^2))/(2*Inputs!$C$36^2)))+Inputs!$C$37*(0.55*SIN(2*PI()*(A133)/Inputs!$C$39)+0.35*COS(2*PI()*(0)/Inputs!$C$40)+0.2*SIN(2*PI()*((A133)+(0))/(0.5*(Inputs!$C$39+Inputs!$C$40))))+Inputs!$C$38*SIN(2*PI()*(A133)/Inputs!$C$39)*SIN(2*PI()*(0)/Inputs!$C$40)+-Inputs!$C$41*EXP(-(((0)-Inputs!$C$43)^2)/(2*Inputs!$C$44^2))*EXP(-(((A133)-Inputs!$C$42)^2)/(2*Inputs!$C$45^2)))</x:f>
        <x:v>57.906453627856145</x:v>
      </x:c>
      <x:c r="Y133" s="40" t="n">
        <x:f>IF(Inputs!$C$27="ON",1,0)*(Inputs!$C$28*EXP(-(((A133)-Inputs!$C$29)^2)/(2*Inputs!$C$31^2))*EXP(-(((Inputs!$C$6)-Inputs!$C$30)^2)/(2*Inputs!$C$32^2))+-Inputs!$C$33*EXP(-(((((A133)-Inputs!$C$34)^2)+(((Inputs!$C$6)-Inputs!$C$35)^2))/(2*Inputs!$C$36^2)))+Inputs!$C$37*(0.55*SIN(2*PI()*(A133)/Inputs!$C$39)+0.35*COS(2*PI()*(Inputs!$C$6)/Inputs!$C$40)+0.2*SIN(2*PI()*((A133)+(Inputs!$C$6))/(0.5*(Inputs!$C$39+Inputs!$C$40))))+Inputs!$C$38*SIN(2*PI()*(A133)/Inputs!$C$39)*SIN(2*PI()*(Inputs!$C$6)/Inputs!$C$40)+-Inputs!$C$41*EXP(-(((Inputs!$C$6)-Inputs!$C$43)^2)/(2*Inputs!$C$44^2))*EXP(-(((A133)-Inputs!$C$42)^2)/(2*Inputs!$C$45^2)))</x:f>
        <x:v>413.12088769476685</x:v>
      </x:c>
      <x:c r="Z133" s="40" t="n">
        <x:f>B133-X133/1000</x:f>
        <x:v>399.9757046574832</x:v>
      </x:c>
      <x:c r="AA133" s="40" t="n">
        <x:f>SQRT(A133^2+Inputs!$C$6^2+(B133-Y133/1000)^2)</x:f>
        <x:v>400.43949131723207</x:v>
      </x:c>
      <x:c r="AB133" s="40" t="n">
        <x:f>(AA133-Z133)*1000</x:f>
        <x:v>463.78665974884825</x:v>
      </x:c>
      <x:c r="AC133" s="40" t="n">
        <x:f>AB133/Inputs!$C$12</x:f>
        <x:v>260.55430322969005</x:v>
      </x:c>
      <x:c r="AD133" s="40" t="n">
        <x:f>2*AB133/Inputs!$C$21*1000000</x:f>
        <x:v>3.0940515504819555</x:v>
      </x:c>
      <x:c r="AE133" s="40" t="n">
        <x:f>DEGREES(ATAN(H133/(B133-Y133/1000)))</x:f>
        <x:v>3.6650969624451224</x:v>
      </x:c>
      <x:c r="AF133" s="40" t="n">
        <x:f>DEGREES((2*PI()/Inputs!$C$13)*Inputs!$C$15*SIN(RADIANS(AE133)))</x:f>
        <x:v>23.012781530935854</x:v>
      </x:c>
      <x:c r="AG133" s="40" t="n">
        <x:f>(Z133/AA133)^4</x:f>
        <x:v>0.9953752658339473</x:v>
      </x:c>
      <x:c r="AH133" s="40" t="n">
        <x:f>10*LOG10(AG133)</x:f>
        <x:v>-0.0201315527904952</x:v>
      </x:c>
      <x:c r="AI133" s="40" t="n">
        <x:f>AC133-F133</x:f>
        <x:v>-199.0844753851398</x:v>
      </x:c>
      <x:c r="AJ133" s="40" t="n">
        <x:f>AD133-G133</x:f>
        <x:v>-2.364104611234408</x:v>
      </x:c>
      <x:c r="AK133" s="40" t="n">
        <x:f>Y133-X133</x:f>
        <x:v>355.2144340669107</x:v>
      </x:c>
      <x:c r="AL133" s="40" t="n">
        <x:f>1000*(AA134-AA132)/(A134-A132)*Inputs!$C$11</x:f>
        <x:v>120.49196408997886</x:v>
      </x:c>
      <x:c r="AM133" s="40" t="n">
        <x:f>-2*AL133/Inputs!$C$13</x:f>
        <x:v>-48.196785635991546</x:v>
      </x:c>
      <x:c r="AN133" s="40" t="n">
        <x:f>-2*AL133/Inputs!$C$14</x:f>
        <x:v>-7.236754599998731</x:v>
      </x:c>
      <x:c r="AO133" s="40" t="n">
        <x:f>ABS(AM133)</x:f>
        <x:v>48.196785635991546</x:v>
      </x:c>
      <x:c r="AP133" s="40" t="n">
        <x:f>ABS(AN133)</x:f>
        <x:v>7.236754599998731</x:v>
      </x:c>
      <x:c r="AQ133" s="40" t="n">
        <x:f>IF(Inputs!$C$27="ON",Inputs!$C$46/Inputs!$C$12,0)</x:f>
        <x:v>42.13483146067416</x:v>
      </x:c>
      <x:c r="AR133" s="40" t="n">
        <x:f>AC133-AQ133</x:f>
        <x:v>218.4194717690159</x:v>
      </x:c>
      <x:c r="AS133" s="40" t="n">
        <x:f>AC133+AQ133</x:f>
        <x:v>302.6891346903642</x:v>
      </x:c>
    </x:row>
    <x:row r="134">
      <x:c r="A134" s="40" t="n">
        <x:f>Inputs!$C$7+132*(Inputs!$C$8-Inputs!$C$7)/240</x:f>
        <x:v>6</x:v>
      </x:c>
      <x:c r="B134" s="40" t="n">
        <x:f>Inputs!$C$5+Inputs!$C$9*(A134/Inputs!$C$10)^2</x:f>
        <x:v>400.04</x:v>
      </x:c>
      <x:c r="C134" s="40" t="n">
        <x:f>B134</x:f>
        <x:v>400.04</x:v>
      </x:c>
      <x:c r="D134" s="40" t="n">
        <x:f>SQRT(A134^2+Inputs!$C$6^2+B134^2)</x:f>
        <x:v>400.86531603519904</x:v>
      </x:c>
      <x:c r="E134" s="40" t="n">
        <x:f>(D134-C134)*1000</x:f>
        <x:v>825.3160351990232</x:v>
      </x:c>
      <x:c r="F134" s="40" t="n">
        <x:f>E134/Inputs!$C$12</x:f>
        <x:v>463.6606939320355</x:v>
      </x:c>
      <x:c r="G134" s="40" t="n">
        <x:f>2*E134/Inputs!$C$21*1000000</x:f>
        <x:v>5.505915930673767</x:v>
      </x:c>
      <x:c r="H134" s="40" t="n">
        <x:f>SQRT(A134^2+Inputs!$C$6^2)</x:f>
        <x:v>25.709920264364882</x:v>
      </x:c>
      <x:c r="I134" s="40" t="n">
        <x:f>DEGREES(ATAN(H134/B134))</x:f>
        <x:v>3.6772492746351846</x:v>
      </x:c>
      <x:c r="J134" s="40" t="n">
        <x:f>DEGREES((2*PI()/Inputs!$C$13)*Inputs!$C$15*SIN(RADIANS(I134)))</x:f>
        <x:v>23.0889800761876</x:v>
      </x:c>
      <x:c r="K134" s="40" t="n">
        <x:f>(C134/D134)^4</x:f>
        <x:v>0.9917900530376442</x:v>
      </x:c>
      <x:c r="L134" s="40" t="n">
        <x:f>10*LOG10(K134)</x:f>
        <x:v>-0.03580251693755</x:v>
      </x:c>
      <x:c r="M134" s="40" t="n">
        <x:f>2*(Inputs!$C$9/(Inputs!$C$10^2))*A134</x:f>
        <x:v>0.013333333333333332</x:v>
      </x:c>
      <x:c r="N134" s="40" t="n">
        <x:f>M134*Inputs!$C$11</x:f>
        <x:v>0.05333333333333333</x:v>
      </x:c>
      <x:c r="O134" s="40" t="n">
        <x:f>1000*((A134*Inputs!$C$11)+(B134*N134))/D134</x:f>
        <x:v>113.09401151254967</x:v>
      </x:c>
      <x:c r="P134" s="40" t="n">
        <x:f>-2*O134/Inputs!$C$13</x:f>
        <x:v>-45.23760460501987</x:v>
      </x:c>
      <x:c r="Q134" s="40" t="n">
        <x:f>-2*O134/Inputs!$C$14</x:f>
        <x:v>-6.792433123876858</x:v>
      </x:c>
      <x:c r="R134" s="40" t="n">
        <x:f>F134-Inputs!$C$16/2</x:f>
        <x:v>448.6606939320355</x:v>
      </x:c>
      <x:c r="S134" s="40" t="n">
        <x:f>F134+Inputs!$C$16/2</x:f>
        <x:v>478.6606939320355</x:v>
      </x:c>
      <x:c r="T134" s="40" t="n">
        <x:f>F134-Inputs!$C$17/2</x:f>
        <x:v>313.6606939320355</x:v>
      </x:c>
      <x:c r="U134" s="40" t="n">
        <x:f>F134+Inputs!$C$17/2</x:f>
        <x:v>613.6606939320354</x:v>
      </x:c>
      <x:c r="V134" s="40" t="n">
        <x:f>ABS(P134)</x:f>
        <x:v>45.23760460501987</x:v>
      </x:c>
      <x:c r="W134" s="40" t="n">
        <x:f>ABS(Q134)</x:f>
        <x:v>6.792433123876858</x:v>
      </x:c>
      <x:c r="X134" s="40" t="n">
        <x:f>IF(Inputs!$C$27="ON",1,0)*(Inputs!$C$28*EXP(-(((A134)-Inputs!$C$29)^2)/(2*Inputs!$C$31^2))*EXP(-(((0)-Inputs!$C$30)^2)/(2*Inputs!$C$32^2))+-Inputs!$C$33*EXP(-(((((A134)-Inputs!$C$34)^2)+(((0)-Inputs!$C$35)^2))/(2*Inputs!$C$36^2)))+Inputs!$C$37*(0.55*SIN(2*PI()*(A134)/Inputs!$C$39)+0.35*COS(2*PI()*(0)/Inputs!$C$40)+0.2*SIN(2*PI()*((A134)+(0))/(0.5*(Inputs!$C$39+Inputs!$C$40))))+Inputs!$C$38*SIN(2*PI()*(A134)/Inputs!$C$39)*SIN(2*PI()*(0)/Inputs!$C$40)+-Inputs!$C$41*EXP(-(((0)-Inputs!$C$43)^2)/(2*Inputs!$C$44^2))*EXP(-(((A134)-Inputs!$C$42)^2)/(2*Inputs!$C$45^2)))</x:f>
        <x:v>53.48606218128632</x:v>
      </x:c>
      <x:c r="Y134" s="40" t="n">
        <x:f>IF(Inputs!$C$27="ON",1,0)*(Inputs!$C$28*EXP(-(((A134)-Inputs!$C$29)^2)/(2*Inputs!$C$31^2))*EXP(-(((Inputs!$C$6)-Inputs!$C$30)^2)/(2*Inputs!$C$32^2))+-Inputs!$C$33*EXP(-(((((A134)-Inputs!$C$34)^2)+(((Inputs!$C$6)-Inputs!$C$35)^2))/(2*Inputs!$C$36^2)))+Inputs!$C$37*(0.55*SIN(2*PI()*(A134)/Inputs!$C$39)+0.35*COS(2*PI()*(Inputs!$C$6)/Inputs!$C$40)+0.2*SIN(2*PI()*((A134)+(Inputs!$C$6))/(0.5*(Inputs!$C$39+Inputs!$C$40))))+Inputs!$C$38*SIN(2*PI()*(A134)/Inputs!$C$39)*SIN(2*PI()*(Inputs!$C$6)/Inputs!$C$40)+-Inputs!$C$41*EXP(-(((Inputs!$C$6)-Inputs!$C$43)^2)/(2*Inputs!$C$44^2))*EXP(-(((A134)-Inputs!$C$42)^2)/(2*Inputs!$C$45^2)))</x:f>
        <x:v>410.12802091693055</x:v>
      </x:c>
      <x:c r="Z134" s="40" t="n">
        <x:f>B134-X134/1000</x:f>
        <x:v>399.98651393781876</x:v>
      </x:c>
      <x:c r="AA134" s="40" t="n">
        <x:f>SQRT(A134^2+Inputs!$C$6^2+(B134-Y134/1000)^2)</x:f>
        <x:v>400.4560332645999</x:v>
      </x:c>
      <x:c r="AB134" s="40" t="n">
        <x:f>(AA134-Z134)*1000</x:f>
        <x:v>469.51932678115327</x:v>
      </x:c>
      <x:c r="AC134" s="40" t="n">
        <x:f>AB134/Inputs!$C$12</x:f>
        <x:v>263.7749026860412</x:v>
      </x:c>
      <x:c r="AD134" s="40" t="n">
        <x:f>2*AB134/Inputs!$C$21*1000000</x:f>
        <x:v>3.1322957883160174</x:v>
      </x:c>
      <x:c r="AE134" s="40" t="n">
        <x:f>DEGREES(ATAN(H134/(B134-Y134/1000)))</x:f>
        <x:v>3.6810127535060917</x:v>
      </x:c>
      <x:c r="AF134" s="40" t="n">
        <x:f>DEGREES((2*PI()/Inputs!$C$13)*Inputs!$C$15*SIN(RADIANS(AE134)))</x:f>
        <x:v>23.112577976958015</x:v>
      </x:c>
      <x:c r="AG134" s="40" t="n">
        <x:f>(Z134/AA134)^4</x:f>
        <x:v>0.9953183950994822</x:v>
      </x:c>
      <x:c r="AH134" s="40" t="n">
        <x:f>10*LOG10(AG134)</x:f>
        <x:v>-0.0203796938947889</x:v>
      </x:c>
      <x:c r="AI134" s="40" t="n">
        <x:f>AC134-F134</x:f>
        <x:v>-199.8857912459943</x:v>
      </x:c>
      <x:c r="AJ134" s="40" t="n">
        <x:f>AD134-G134</x:f>
        <x:v>-2.37362014235775</x:v>
      </x:c>
      <x:c r="AK134" s="40" t="n">
        <x:f>Y134-X134</x:f>
        <x:v>356.6419587356442</x:v>
      </x:c>
      <x:c r="AL134" s="40" t="n">
        <x:f>1000*(AA135-AA133)/(A135-A133)*Inputs!$C$11</x:f>
        <x:v>144.14101485681385</x:v>
      </x:c>
      <x:c r="AM134" s="40" t="n">
        <x:f>-2*AL134/Inputs!$C$13</x:f>
        <x:v>-57.65640594272554</x:v>
      </x:c>
      <x:c r="AN134" s="40" t="n">
        <x:f>-2*AL134/Inputs!$C$14</x:f>
        <x:v>-8.65711800941825</x:v>
      </x:c>
      <x:c r="AO134" s="40" t="n">
        <x:f>ABS(AM134)</x:f>
        <x:v>57.65640594272554</x:v>
      </x:c>
      <x:c r="AP134" s="40" t="n">
        <x:f>ABS(AN134)</x:f>
        <x:v>8.65711800941825</x:v>
      </x:c>
      <x:c r="AQ134" s="40" t="n">
        <x:f>IF(Inputs!$C$27="ON",Inputs!$C$46/Inputs!$C$12,0)</x:f>
        <x:v>42.13483146067416</x:v>
      </x:c>
      <x:c r="AR134" s="40" t="n">
        <x:f>AC134-AQ134</x:f>
        <x:v>221.64007122536702</x:v>
      </x:c>
      <x:c r="AS134" s="40" t="n">
        <x:f>AC134+AQ134</x:f>
        <x:v>305.9097341467153</x:v>
      </x:c>
    </x:row>
    <x:row r="135">
      <x:c r="A135" s="40" t="n">
        <x:f>Inputs!$C$7+133*(Inputs!$C$8-Inputs!$C$7)/240</x:f>
        <x:v>6.5</x:v>
      </x:c>
      <x:c r="B135" s="40" t="n">
        <x:f>Inputs!$C$5+Inputs!$C$9*(A135/Inputs!$C$10)^2</x:f>
        <x:v>400.0469444444444</x:v>
      </x:c>
      <x:c r="C135" s="40" t="n">
        <x:f>B135</x:f>
        <x:v>400.0469444444444</x:v>
      </x:c>
      <x:c r="D135" s="40" t="n">
        <x:f>SQRT(A135^2+Inputs!$C$6^2+B135^2)</x:f>
        <x:v>400.88004160763154</x:v>
      </x:c>
      <x:c r="E135" s="40" t="n">
        <x:f>(D135-C135)*1000</x:f>
        <x:v>833.0971631871193</x:v>
      </x:c>
      <x:c r="F135" s="40" t="n">
        <x:f>E135/Inputs!$C$12</x:f>
        <x:v>468.03211415006706</x:v>
      </x:c>
      <x:c r="G135" s="40" t="n">
        <x:f>2*E135/Inputs!$C$21*1000000</x:f>
        <x:v>5.557826029013174</x:v>
      </x:c>
      <x:c r="H135" s="40" t="n">
        <x:f>SQRT(A135^2+Inputs!$C$6^2)</x:f>
        <x:v>25.83118270617898</x:v>
      </x:c>
      <x:c r="I135" s="40" t="n">
        <x:f>DEGREES(ATAN(H135/B135))</x:f>
        <x:v>3.694481369413298</x:v>
      </x:c>
      <x:c r="J135" s="40" t="n">
        <x:f>DEGREES((2*PI()/Inputs!$C$13)*Inputs!$C$15*SIN(RADIANS(I135)))</x:f>
        <x:v>23.19702855979598</x:v>
      </x:c>
      <x:c r="K135" s="40" t="n">
        <x:f>(C135/D135)^4</x:f>
        <x:v>0.9917131940141547</x:v>
      </x:c>
      <x:c r="L135" s="40" t="n">
        <x:f>10*LOG10(K135)</x:f>
        <x:v>-0.0361390875970869</x:v>
      </x:c>
      <x:c r="M135" s="40" t="n">
        <x:f>2*(Inputs!$C$9/(Inputs!$C$10^2))*A135</x:f>
        <x:v>0.014444444444444444</x:v>
      </x:c>
      <x:c r="N135" s="40" t="n">
        <x:f>M135*Inputs!$C$11</x:f>
        <x:v>0.057777777777777775</x:v>
      </x:c>
      <x:c r="O135" s="40" t="n">
        <x:f>1000*((A135*Inputs!$C$11)+(B135*N135))/D135</x:f>
        <x:v>122.51501286976304</x:v>
      </x:c>
      <x:c r="P135" s="40" t="n">
        <x:f>-2*O135/Inputs!$C$13</x:f>
        <x:v>-49.00600514790521</x:v>
      </x:c>
      <x:c r="Q135" s="40" t="n">
        <x:f>-2*O135/Inputs!$C$14</x:f>
        <x:v>-7.358259031217</x:v>
      </x:c>
      <x:c r="R135" s="40" t="n">
        <x:f>F135-Inputs!$C$16/2</x:f>
        <x:v>453.03211415006706</x:v>
      </x:c>
      <x:c r="S135" s="40" t="n">
        <x:f>F135+Inputs!$C$16/2</x:f>
        <x:v>483.03211415006706</x:v>
      </x:c>
      <x:c r="T135" s="40" t="n">
        <x:f>F135-Inputs!$C$17/2</x:f>
        <x:v>318.03211415006706</x:v>
      </x:c>
      <x:c r="U135" s="40" t="n">
        <x:f>F135+Inputs!$C$17/2</x:f>
        <x:v>618.0321141500671</x:v>
      </x:c>
      <x:c r="V135" s="40" t="n">
        <x:f>ABS(P135)</x:f>
        <x:v>49.00600514790521</x:v>
      </x:c>
      <x:c r="W135" s="40" t="n">
        <x:f>ABS(Q135)</x:f>
        <x:v>7.358259031217</x:v>
      </x:c>
      <x:c r="X135" s="40" t="n">
        <x:f>IF(Inputs!$C$27="ON",1,0)*(Inputs!$C$28*EXP(-(((A135)-Inputs!$C$29)^2)/(2*Inputs!$C$31^2))*EXP(-(((0)-Inputs!$C$30)^2)/(2*Inputs!$C$32^2))+-Inputs!$C$33*EXP(-(((((A135)-Inputs!$C$34)^2)+(((0)-Inputs!$C$35)^2))/(2*Inputs!$C$36^2)))+Inputs!$C$37*(0.55*SIN(2*PI()*(A135)/Inputs!$C$39)+0.35*COS(2*PI()*(0)/Inputs!$C$40)+0.2*SIN(2*PI()*((A135)+(0))/(0.5*(Inputs!$C$39+Inputs!$C$40))))+Inputs!$C$38*SIN(2*PI()*(A135)/Inputs!$C$39)*SIN(2*PI()*(0)/Inputs!$C$40)+-Inputs!$C$41*EXP(-(((0)-Inputs!$C$43)^2)/(2*Inputs!$C$44^2))*EXP(-(((A135)-Inputs!$C$42)^2)/(2*Inputs!$C$45^2)))</x:f>
        <x:v>47.754172756989355</x:v>
      </x:c>
      <x:c r="Y135" s="40" t="n">
        <x:f>IF(Inputs!$C$27="ON",1,0)*(Inputs!$C$28*EXP(-(((A135)-Inputs!$C$29)^2)/(2*Inputs!$C$31^2))*EXP(-(((Inputs!$C$6)-Inputs!$C$30)^2)/(2*Inputs!$C$32^2))+-Inputs!$C$33*EXP(-(((((A135)-Inputs!$C$34)^2)+(((Inputs!$C$6)-Inputs!$C$35)^2))/(2*Inputs!$C$36^2)))+Inputs!$C$37*(0.55*SIN(2*PI()*(A135)/Inputs!$C$39)+0.35*COS(2*PI()*(Inputs!$C$6)/Inputs!$C$40)+0.2*SIN(2*PI()*((A135)+(Inputs!$C$6))/(0.5*(Inputs!$C$39+Inputs!$C$40))))+Inputs!$C$38*SIN(2*PI()*(A135)/Inputs!$C$39)*SIN(2*PI()*(Inputs!$C$6)/Inputs!$C$40)+-Inputs!$C$41*EXP(-(((Inputs!$C$6)-Inputs!$C$43)^2)/(2*Inputs!$C$44^2))*EXP(-(((A135)-Inputs!$C$42)^2)/(2*Inputs!$C$45^2)))</x:f>
        <x:v>405.3582922063917</x:v>
      </x:c>
      <x:c r="Z135" s="40" t="n">
        <x:f>B135-X135/1000</x:f>
        <x:v>399.99919027168744</x:v>
      </x:c>
      <x:c r="AA135" s="40" t="n">
        <x:f>SQRT(A135^2+Inputs!$C$6^2+(B135-Y135/1000)^2)</x:f>
        <x:v>400.4755265709463</x:v>
      </x:c>
      <x:c r="AB135" s="40" t="n">
        <x:f>(AA135-Z135)*1000</x:f>
        <x:v>476.3362992588327</x:v>
      </x:c>
      <x:c r="AC135" s="40" t="n">
        <x:f>AB135/Inputs!$C$12</x:f>
        <x:v>267.60466250496216</x:v>
      </x:c>
      <x:c r="AD135" s="40" t="n">
        <x:f>2*AB135/Inputs!$C$21*1000000</x:f>
        <x:v>3.177773733446174</x:v>
      </x:c>
      <x:c r="AE135" s="40" t="n">
        <x:f>DEGREES(ATAN(H135/(B135-Y135/1000)))</x:f>
        <x:v>3.6982183046352937</x:v>
      </x:c>
      <x:c r="AF135" s="40" t="n">
        <x:f>DEGREES((2*PI()/Inputs!$C$13)*Inputs!$C$15*SIN(RADIANS(AE135)))</x:f>
        <x:v>23.22045957177118</x:v>
      </x:c>
      <x:c r="AG135" s="40" t="n">
        <x:f>(Z135/AA135)^4</x:f>
        <x:v>0.9952507747344876</x:v>
      </x:c>
      <x:c r="AH135" s="40" t="n">
        <x:f>10*LOG10(AG135)</x:f>
        <x:v>-0.020674756752565897</x:v>
      </x:c>
      <x:c r="AI135" s="40" t="n">
        <x:f>AC135-F135</x:f>
        <x:v>-200.4274516451049</x:v>
      </x:c>
      <x:c r="AJ135" s="40" t="n">
        <x:f>AD135-G135</x:f>
        <x:v>-2.3800522955669994</x:v>
      </x:c>
      <x:c r="AK135" s="40" t="n">
        <x:f>Y135-X135</x:f>
        <x:v>357.60411944940233</x:v>
      </x:c>
      <x:c r="AL135" s="40" t="n">
        <x:f>1000*(AA136-AA134)/(A136-A134)*Inputs!$C$11</x:f>
        <x:v>167.50306753897348</x:v>
      </x:c>
      <x:c r="AM135" s="40" t="n">
        <x:f>-2*AL135/Inputs!$C$13</x:f>
        <x:v>-67.0012270155894</x:v>
      </x:c>
      <x:c r="AN135" s="40" t="n">
        <x:f>-2*AL135/Inputs!$C$14</x:f>
        <x:v>-10.060244296635044</x:v>
      </x:c>
      <x:c r="AO135" s="40" t="n">
        <x:f>ABS(AM135)</x:f>
        <x:v>67.0012270155894</x:v>
      </x:c>
      <x:c r="AP135" s="40" t="n">
        <x:f>ABS(AN135)</x:f>
        <x:v>10.060244296635044</x:v>
      </x:c>
      <x:c r="AQ135" s="40" t="n">
        <x:f>IF(Inputs!$C$27="ON",Inputs!$C$46/Inputs!$C$12,0)</x:f>
        <x:v>42.13483146067416</x:v>
      </x:c>
      <x:c r="AR135" s="40" t="n">
        <x:f>AC135-AQ135</x:f>
        <x:v>225.46983104428801</x:v>
      </x:c>
      <x:c r="AS135" s="40" t="n">
        <x:f>AC135+AQ135</x:f>
        <x:v>309.7394939656363</x:v>
      </x:c>
    </x:row>
    <x:row r="136">
      <x:c r="A136" s="40" t="n">
        <x:f>Inputs!$C$7+134*(Inputs!$C$8-Inputs!$C$7)/240</x:f>
        <x:v>7</x:v>
      </x:c>
      <x:c r="B136" s="40" t="n">
        <x:f>Inputs!$C$5+Inputs!$C$9*(A136/Inputs!$C$10)^2</x:f>
        <x:v>400.05444444444447</x:v>
      </x:c>
      <x:c r="C136" s="40" t="n">
        <x:f>B136</x:f>
        <x:v>400.05444444444447</x:v>
      </x:c>
      <x:c r="D136" s="40" t="n">
        <x:f>SQRT(A136^2+Inputs!$C$6^2+B136^2)</x:f>
        <x:v>400.89594475343984</x:v>
      </x:c>
      <x:c r="E136" s="40" t="n">
        <x:f>(D136-C136)*1000</x:f>
        <x:v>841.5003089953643</x:v>
      </x:c>
      <x:c r="F136" s="40" t="n">
        <x:f>E136/Inputs!$C$12</x:f>
        <x:v>472.7529825816653</x:v>
      </x:c>
      <x:c r="G136" s="40" t="n">
        <x:f>2*E136/Inputs!$C$21*1000000</x:f>
        <x:v>5.6138857835800815</x:v>
      </x:c>
      <x:c r="H136" s="40" t="n">
        <x:f>SQRT(A136^2+Inputs!$C$6^2)</x:f>
        <x:v>25.96150997149434</x:v>
      </x:c>
      <x:c r="I136" s="40" t="n">
        <x:f>DEGREES(ATAN(H136/B136))</x:f>
        <x:v>3.7129998776451707</x:v>
      </x:c>
      <x:c r="J136" s="40" t="n">
        <x:f>DEGREES((2*PI()/Inputs!$C$13)*Inputs!$C$15*SIN(RADIANS(I136)))</x:f>
        <x:v>23.31314075897189</x:v>
      </x:c>
      <x:c r="K136" s="40" t="n">
        <x:f>(C136/D136)^4</x:f>
        <x:v>0.9916302023019311</x:v>
      </x:c>
      <x:c r="L136" s="40" t="n">
        <x:f>10*LOG10(K136)</x:f>
        <x:v>-0.0365025429901407</x:v>
      </x:c>
      <x:c r="M136" s="40" t="n">
        <x:f>2*(Inputs!$C$9/(Inputs!$C$10^2))*A136</x:f>
        <x:v>0.015555555555555555</x:v>
      </x:c>
      <x:c r="N136" s="40" t="n">
        <x:f>M136*Inputs!$C$11</x:f>
        <x:v>0.06222222222222222</x:v>
      </x:c>
      <x:c r="O136" s="40" t="n">
        <x:f>1000*((A136*Inputs!$C$11)+(B136*N136))/D136</x:f>
        <x:v>131.93517478890897</x:v>
      </x:c>
      <x:c r="P136" s="40" t="n">
        <x:f>-2*O136/Inputs!$C$13</x:f>
        <x:v>-52.77406991556359</x:v>
      </x:c>
      <x:c r="Q136" s="40" t="n">
        <x:f>-2*O136/Inputs!$C$14</x:f>
        <x:v>-7.924034521856395</x:v>
      </x:c>
      <x:c r="R136" s="40" t="n">
        <x:f>F136-Inputs!$C$16/2</x:f>
        <x:v>457.7529825816653</x:v>
      </x:c>
      <x:c r="S136" s="40" t="n">
        <x:f>F136+Inputs!$C$16/2</x:f>
        <x:v>487.7529825816653</x:v>
      </x:c>
      <x:c r="T136" s="40" t="n">
        <x:f>F136-Inputs!$C$17/2</x:f>
        <x:v>322.7529825816653</x:v>
      </x:c>
      <x:c r="U136" s="40" t="n">
        <x:f>F136+Inputs!$C$17/2</x:f>
        <x:v>622.7529825816653</x:v>
      </x:c>
      <x:c r="V136" s="40" t="n">
        <x:f>ABS(P136)</x:f>
        <x:v>52.77406991556359</x:v>
      </x:c>
      <x:c r="W136" s="40" t="n">
        <x:f>ABS(Q136)</x:f>
        <x:v>7.924034521856395</x:v>
      </x:c>
      <x:c r="X136" s="40" t="n">
        <x:f>IF(Inputs!$C$27="ON",1,0)*(Inputs!$C$28*EXP(-(((A136)-Inputs!$C$29)^2)/(2*Inputs!$C$31^2))*EXP(-(((0)-Inputs!$C$30)^2)/(2*Inputs!$C$32^2))+-Inputs!$C$33*EXP(-(((((A136)-Inputs!$C$34)^2)+(((0)-Inputs!$C$35)^2))/(2*Inputs!$C$36^2)))+Inputs!$C$37*(0.55*SIN(2*PI()*(A136)/Inputs!$C$39)+0.35*COS(2*PI()*(0)/Inputs!$C$40)+0.2*SIN(2*PI()*((A136)+(0))/(0.5*(Inputs!$C$39+Inputs!$C$40))))+Inputs!$C$38*SIN(2*PI()*(A136)/Inputs!$C$39)*SIN(2*PI()*(0)/Inputs!$C$40)+-Inputs!$C$41*EXP(-(((0)-Inputs!$C$43)^2)/(2*Inputs!$C$44^2))*EXP(-(((A136)-Inputs!$C$42)^2)/(2*Inputs!$C$45^2)))</x:f>
        <x:v>40.92731904767144</x:v>
      </x:c>
      <x:c r="Y136" s="40" t="n">
        <x:f>IF(Inputs!$C$27="ON",1,0)*(Inputs!$C$28*EXP(-(((A136)-Inputs!$C$29)^2)/(2*Inputs!$C$31^2))*EXP(-(((Inputs!$C$6)-Inputs!$C$30)^2)/(2*Inputs!$C$32^2))+-Inputs!$C$33*EXP(-(((((A136)-Inputs!$C$34)^2)+(((Inputs!$C$6)-Inputs!$C$35)^2))/(2*Inputs!$C$36^2)))+Inputs!$C$37*(0.55*SIN(2*PI()*(A136)/Inputs!$C$39)+0.35*COS(2*PI()*(Inputs!$C$6)/Inputs!$C$40)+0.2*SIN(2*PI()*((A136)+(Inputs!$C$6))/(0.5*(Inputs!$C$39+Inputs!$C$40))))+Inputs!$C$38*SIN(2*PI()*(A136)/Inputs!$C$39)*SIN(2*PI()*(Inputs!$C$6)/Inputs!$C$40)+-Inputs!$C$41*EXP(-(((Inputs!$C$6)-Inputs!$C$43)^2)/(2*Inputs!$C$44^2))*EXP(-(((A136)-Inputs!$C$42)^2)/(2*Inputs!$C$45^2)))</x:f>
        <x:v>398.8738106906768</x:v>
      </x:c>
      <x:c r="Z136" s="40" t="n">
        <x:f>B136-X136/1000</x:f>
        <x:v>400.0135171253968</x:v>
      </x:c>
      <x:c r="AA136" s="40" t="n">
        <x:f>SQRT(A136^2+Inputs!$C$6^2+(B136-Y136/1000)^2)</x:f>
        <x:v>400.49790903148465</x:v>
      </x:c>
      <x:c r="AB136" s="40" t="n">
        <x:f>(AA136-Z136)*1000</x:f>
        <x:v>484.39190608786475</x:v>
      </x:c>
      <x:c r="AC136" s="40" t="n">
        <x:f>AB136/Inputs!$C$12</x:f>
        <x:v>272.1302843190251</x:v>
      </x:c>
      <x:c r="AD136" s="40" t="n">
        <x:f>2*AB136/Inputs!$C$21*1000000</x:f>
        <x:v>3.2315149575101367</x:v>
      </x:c>
      <x:c r="AE136" s="40" t="n">
        <x:f>DEGREES(ATAN(H136/(B136-Y136/1000)))</x:f>
        <x:v>3.7166952328252147</x:v>
      </x:c>
      <x:c r="AF136" s="40" t="n">
        <x:f>DEGREES((2*PI()/Inputs!$C$13)*Inputs!$C$15*SIN(RADIANS(AE136)))</x:f>
        <x:v>23.33631057485303</x:v>
      </x:c>
      <x:c r="AG136" s="40" t="n">
        <x:f>(Z136/AA136)^4</x:f>
        <x:v>0.9951708729134428</x:v>
      </x:c>
      <x:c r="AH136" s="40" t="n">
        <x:f>10*LOG10(AG136)</x:f>
        <x:v>-0.021023435838059802</x:v>
      </x:c>
      <x:c r="AI136" s="40" t="n">
        <x:f>AC136-F136</x:f>
        <x:v>-200.6226982626402</x:v>
      </x:c>
      <x:c r="AJ136" s="40" t="n">
        <x:f>AD136-G136</x:f>
        <x:v>-2.3823708260699448</x:v>
      </x:c>
      <x:c r="AK136" s="40" t="n">
        <x:f>Y136-X136</x:f>
        <x:v>357.94649164300534</x:v>
      </x:c>
      <x:c r="AL136" s="40" t="n">
        <x:f>1000*(AA137-AA135)/(A137-A135)*Inputs!$C$11</x:f>
        <x:v>190.15854387566833</x:v>
      </x:c>
      <x:c r="AM136" s="40" t="n">
        <x:f>-2*AL136/Inputs!$C$13</x:f>
        <x:v>-76.06341755026733</x:v>
      </x:c>
      <x:c r="AN136" s="40" t="n">
        <x:f>-2*AL136/Inputs!$C$14</x:f>
        <x:v>-11.420933566106207</x:v>
      </x:c>
      <x:c r="AO136" s="40" t="n">
        <x:f>ABS(AM136)</x:f>
        <x:v>76.06341755026733</x:v>
      </x:c>
      <x:c r="AP136" s="40" t="n">
        <x:f>ABS(AN136)</x:f>
        <x:v>11.420933566106207</x:v>
      </x:c>
      <x:c r="AQ136" s="40" t="n">
        <x:f>IF(Inputs!$C$27="ON",Inputs!$C$46/Inputs!$C$12,0)</x:f>
        <x:v>42.13483146067416</x:v>
      </x:c>
      <x:c r="AR136" s="40" t="n">
        <x:f>AC136-AQ136</x:f>
        <x:v>229.99545285835097</x:v>
      </x:c>
      <x:c r="AS136" s="40" t="n">
        <x:f>AC136+AQ136</x:f>
        <x:v>314.2651157796993</x:v>
      </x:c>
    </x:row>
    <x:row r="137">
      <x:c r="A137" s="40" t="n">
        <x:f>Inputs!$C$7+135*(Inputs!$C$8-Inputs!$C$7)/240</x:f>
        <x:v>7.5</x:v>
      </x:c>
      <x:c r="B137" s="40" t="n">
        <x:f>Inputs!$C$5+Inputs!$C$9*(A137/Inputs!$C$10)^2</x:f>
        <x:v>400.0625</x:v>
      </x:c>
      <x:c r="C137" s="40" t="n">
        <x:f>B137</x:f>
        <x:v>400.0625</x:v>
      </x:c>
      <x:c r="D137" s="40" t="n">
        <x:f>SQRT(A137^2+Inputs!$C$6^2+B137^2)</x:f>
        <x:v>400.91302536366914</x:v>
      </x:c>
      <x:c r="E137" s="40" t="n">
        <x:f>(D137-C137)*1000</x:f>
        <x:v>850.525363669135</x:v>
      </x:c>
      <x:c r="F137" s="40" t="n">
        <x:f>E137/Inputs!$C$12</x:f>
        <x:v>477.82323801636795</x:v>
      </x:c>
      <x:c r="G137" s="40" t="n">
        <x:f>2*E137/Inputs!$C$21*1000000</x:f>
        <x:v>5.6740944675074845</x:v>
      </x:c>
      <x:c r="H137" s="40" t="n">
        <x:f>SQRT(A137^2+Inputs!$C$6^2)</x:f>
        <x:v>26.100766272276374</x:v>
      </x:c>
      <x:c r="I137" s="40" t="n">
        <x:f>DEGREES(ATAN(H137/B137))</x:f>
        <x:v>3.7327851196426796</x:v>
      </x:c>
      <x:c r="J137" s="40" t="n">
        <x:f>DEGREES((2*PI()/Inputs!$C$13)*Inputs!$C$15*SIN(RADIANS(I137)))</x:f>
        <x:v>23.437192766426364</x:v>
      </x:c>
      <x:c r="K137" s="40" t="n">
        <x:f>(C137/D137)^4</x:f>
        <x:v>0.9915410815957869</x:v>
      </x:c>
      <x:c r="L137" s="40" t="n">
        <x:f>10*LOG10(K137)</x:f>
        <x:v>-0.0368928736816152</x:v>
      </x:c>
      <x:c r="M137" s="40" t="n">
        <x:f>2*(Inputs!$C$9/(Inputs!$C$10^2))*A137</x:f>
        <x:v>0.016666666666666666</x:v>
      </x:c>
      <x:c r="N137" s="40" t="n">
        <x:f>M137*Inputs!$C$11</x:f>
        <x:v>0.06666666666666667</x:v>
      </x:c>
      <x:c r="O137" s="40" t="n">
        <x:f>1000*((A137*Inputs!$C$11)+(B137*N137))/D137</x:f>
        <x:v>141.35443287712363</x:v>
      </x:c>
      <x:c r="P137" s="40" t="n">
        <x:f>-2*O137/Inputs!$C$13</x:f>
        <x:v>-56.54177315084945</x:v>
      </x:c>
      <x:c r="Q137" s="40" t="n">
        <x:f>-2*O137/Inputs!$C$14</x:f>
        <x:v>-8.489755728355775</x:v>
      </x:c>
      <x:c r="R137" s="40" t="n">
        <x:f>F137-Inputs!$C$16/2</x:f>
        <x:v>462.82323801636795</x:v>
      </x:c>
      <x:c r="S137" s="40" t="n">
        <x:f>F137+Inputs!$C$16/2</x:f>
        <x:v>492.82323801636795</x:v>
      </x:c>
      <x:c r="T137" s="40" t="n">
        <x:f>F137-Inputs!$C$17/2</x:f>
        <x:v>327.82323801636795</x:v>
      </x:c>
      <x:c r="U137" s="40" t="n">
        <x:f>F137+Inputs!$C$17/2</x:f>
        <x:v>627.8232380163679</x:v>
      </x:c>
      <x:c r="V137" s="40" t="n">
        <x:f>ABS(P137)</x:f>
        <x:v>56.54177315084945</x:v>
      </x:c>
      <x:c r="W137" s="40" t="n">
        <x:f>ABS(Q137)</x:f>
        <x:v>8.489755728355775</x:v>
      </x:c>
      <x:c r="X137" s="40" t="n">
        <x:f>IF(Inputs!$C$27="ON",1,0)*(Inputs!$C$28*EXP(-(((A137)-Inputs!$C$29)^2)/(2*Inputs!$C$31^2))*EXP(-(((0)-Inputs!$C$30)^2)/(2*Inputs!$C$32^2))+-Inputs!$C$33*EXP(-(((((A137)-Inputs!$C$34)^2)+(((0)-Inputs!$C$35)^2))/(2*Inputs!$C$36^2)))+Inputs!$C$37*(0.55*SIN(2*PI()*(A137)/Inputs!$C$39)+0.35*COS(2*PI()*(0)/Inputs!$C$40)+0.2*SIN(2*PI()*((A137)+(0))/(0.5*(Inputs!$C$39+Inputs!$C$40))))+Inputs!$C$38*SIN(2*PI()*(A137)/Inputs!$C$39)*SIN(2*PI()*(0)/Inputs!$C$40)+-Inputs!$C$41*EXP(-(((0)-Inputs!$C$43)^2)/(2*Inputs!$C$44^2))*EXP(-(((A137)-Inputs!$C$42)^2)/(2*Inputs!$C$45^2)))</x:f>
        <x:v>33.256887018226095</x:v>
      </x:c>
      <x:c r="Y137" s="40" t="n">
        <x:f>IF(Inputs!$C$27="ON",1,0)*(Inputs!$C$28*EXP(-(((A137)-Inputs!$C$29)^2)/(2*Inputs!$C$31^2))*EXP(-(((Inputs!$C$6)-Inputs!$C$30)^2)/(2*Inputs!$C$32^2))+-Inputs!$C$33*EXP(-(((((A137)-Inputs!$C$34)^2)+(((Inputs!$C$6)-Inputs!$C$35)^2))/(2*Inputs!$C$36^2)))+Inputs!$C$37*(0.55*SIN(2*PI()*(A137)/Inputs!$C$39)+0.35*COS(2*PI()*(Inputs!$C$6)/Inputs!$C$40)+0.2*SIN(2*PI()*((A137)+(Inputs!$C$6))/(0.5*(Inputs!$C$39+Inputs!$C$40))))+Inputs!$C$38*SIN(2*PI()*(A137)/Inputs!$C$39)*SIN(2*PI()*(Inputs!$C$6)/Inputs!$C$40)+-Inputs!$C$41*EXP(-(((Inputs!$C$6)-Inputs!$C$43)^2)/(2*Inputs!$C$44^2))*EXP(-(((A137)-Inputs!$C$42)^2)/(2*Inputs!$C$45^2)))</x:f>
        <x:v>390.7890123583696</x:v>
      </x:c>
      <x:c r="Z137" s="40" t="n">
        <x:f>B137-X137/1000</x:f>
        <x:v>400.02924311298176</x:v>
      </x:c>
      <x:c r="AA137" s="40" t="n">
        <x:f>SQRT(A137^2+Inputs!$C$6^2+(B137-Y137/1000)^2)</x:f>
        <x:v>400.5230662069152</x:v>
      </x:c>
      <x:c r="AB137" s="40" t="n">
        <x:f>(AA137-Z137)*1000</x:f>
        <x:v>493.82309393342894</x:v>
      </x:c>
      <x:c r="AC137" s="40" t="n">
        <x:f>AB137/Inputs!$C$12</x:f>
        <x:v>277.42870445698253</x:v>
      </x:c>
      <x:c r="AD137" s="40" t="n">
        <x:f>2*AB137/Inputs!$C$21*1000000</x:f>
        <x:v>3.294433070317125</x:v>
      </x:c>
      <x:c r="AE137" s="40" t="n">
        <x:f>DEGREES(ATAN(H137/(B137-Y137/1000)))</x:f>
        <x:v>3.7364246096898635</x:v>
      </x:c>
      <x:c r="AF137" s="40" t="n">
        <x:f>DEGREES((2*PI()/Inputs!$C$13)*Inputs!$C$15*SIN(RADIANS(AE137)))</x:f>
        <x:v>23.460011796587178</x:v>
      </x:c>
      <x:c r="AG137" s="40" t="n">
        <x:f>(Z137/AA137)^4</x:f>
        <x:v>0.9950773316138924</x:v>
      </x:c>
      <x:c r="AH137" s="40" t="n">
        <x:f>10*LOG10(AG137)</x:f>
        <x:v>-0.0214316710537706</x:v>
      </x:c>
      <x:c r="AI137" s="40" t="n">
        <x:f>AC137-F137</x:f>
        <x:v>-200.39453355938542</x:v>
      </x:c>
      <x:c r="AJ137" s="40" t="n">
        <x:f>AD137-G137</x:f>
        <x:v>-2.3796613971903593</x:v>
      </x:c>
      <x:c r="AK137" s="40" t="n">
        <x:f>Y137-X137</x:f>
        <x:v>357.53212534014347</x:v>
      </x:c>
      <x:c r="AL137" s="40" t="n">
        <x:f>1000*(AA138-AA136)/(A138-A136)*Inputs!$C$11</x:f>
        <x:v>211.69838553714726</x:v>
      </x:c>
      <x:c r="AM137" s="40" t="n">
        <x:f>-2*AL137/Inputs!$C$13</x:f>
        <x:v>-84.6793542148589</x:v>
      </x:c>
      <x:c r="AN137" s="40" t="n">
        <x:f>-2*AL137/Inputs!$C$14</x:f>
        <x:v>-12.714617749978816</x:v>
      </x:c>
      <x:c r="AO137" s="40" t="n">
        <x:f>ABS(AM137)</x:f>
        <x:v>84.6793542148589</x:v>
      </x:c>
      <x:c r="AP137" s="40" t="n">
        <x:f>ABS(AN137)</x:f>
        <x:v>12.714617749978816</x:v>
      </x:c>
      <x:c r="AQ137" s="40" t="n">
        <x:f>IF(Inputs!$C$27="ON",Inputs!$C$46/Inputs!$C$12,0)</x:f>
        <x:v>42.13483146067416</x:v>
      </x:c>
      <x:c r="AR137" s="40" t="n">
        <x:f>AC137-AQ137</x:f>
        <x:v>235.29387299630838</x:v>
      </x:c>
      <x:c r="AS137" s="40" t="n">
        <x:f>AC137+AQ137</x:f>
        <x:v>319.5635359176567</x:v>
      </x:c>
    </x:row>
    <x:row r="138">
      <x:c r="A138" s="40" t="n">
        <x:f>Inputs!$C$7+136*(Inputs!$C$8-Inputs!$C$7)/240</x:f>
        <x:v>8</x:v>
      </x:c>
      <x:c r="B138" s="40" t="n">
        <x:f>Inputs!$C$5+Inputs!$C$9*(A138/Inputs!$C$10)^2</x:f>
        <x:v>400.0711111111111</x:v>
      </x:c>
      <x:c r="C138" s="40" t="n">
        <x:f>B138</x:f>
        <x:v>400.0711111111111</x:v>
      </x:c>
      <x:c r="D138" s="40" t="n">
        <x:f>SQRT(A138^2+Inputs!$C$6^2+B138^2)</x:f>
        <x:v>400.93128332131806</x:v>
      </x:c>
      <x:c r="E138" s="40" t="n">
        <x:f>(D138-C138)*1000</x:f>
        <x:v>860.1722102069402</x:v>
      </x:c>
      <x:c r="F138" s="40" t="n">
        <x:f>E138/Inputs!$C$12</x:f>
        <x:v>483.24281472300015</x:v>
      </x:c>
      <x:c r="G138" s="40" t="n">
        <x:f>2*E138/Inputs!$C$21*1000000</x:f>
        <x:v>5.738451300245453</x:v>
      </x:c>
      <x:c r="H138" s="40" t="n">
        <x:f>SQRT(A138^2+Inputs!$C$6^2)</x:f>
        <x:v>26.248809496813376</x:v>
      </x:c>
      <x:c r="I138" s="40" t="n">
        <x:f>DEGREES(ATAN(H138/B138))</x:f>
        <x:v>3.75381649570681</x:v>
      </x:c>
      <x:c r="J138" s="40" t="n">
        <x:f>DEGREES((2*PI()/Inputs!$C$13)*Inputs!$C$15*SIN(RADIANS(I138)))</x:f>
        <x:v>23.56905487786457</x:v>
      </x:c>
      <x:c r="K138" s="40" t="n">
        <x:f>(C138/D138)^4</x:f>
        <x:v>0.9914458358623286</x:v>
      </x:c>
      <x:c r="L138" s="40" t="n">
        <x:f>10*LOG10(K138)</x:f>
        <x:v>-0.0373100695403817</x:v>
      </x:c>
      <x:c r="M138" s="40" t="n">
        <x:f>2*(Inputs!$C$9/(Inputs!$C$10^2))*A138</x:f>
        <x:v>0.017777777777777778</x:v>
      </x:c>
      <x:c r="N138" s="40" t="n">
        <x:f>M138*Inputs!$C$11</x:f>
        <x:v>0.07111111111111111</x:v>
      </x:c>
      <x:c r="O138" s="40" t="n">
        <x:f>1000*((A138*Inputs!$C$11)+(B138*N138))/D138</x:f>
        <x:v>150.77272278132986</x:v>
      </x:c>
      <x:c r="P138" s="40" t="n">
        <x:f>-2*O138/Inputs!$C$13</x:f>
        <x:v>-60.30908911253194</x:v>
      </x:c>
      <x:c r="Q138" s="40" t="n">
        <x:f>-2*O138/Inputs!$C$14</x:f>
        <x:v>-9.055418785665458</x:v>
      </x:c>
      <x:c r="R138" s="40" t="n">
        <x:f>F138-Inputs!$C$16/2</x:f>
        <x:v>468.24281472300015</x:v>
      </x:c>
      <x:c r="S138" s="40" t="n">
        <x:f>F138+Inputs!$C$16/2</x:f>
        <x:v>498.24281472300015</x:v>
      </x:c>
      <x:c r="T138" s="40" t="n">
        <x:f>F138-Inputs!$C$17/2</x:f>
        <x:v>333.24281472300015</x:v>
      </x:c>
      <x:c r="U138" s="40" t="n">
        <x:f>F138+Inputs!$C$17/2</x:f>
        <x:v>633.2428147230002</x:v>
      </x:c>
      <x:c r="V138" s="40" t="n">
        <x:f>ABS(P138)</x:f>
        <x:v>60.30908911253194</x:v>
      </x:c>
      <x:c r="W138" s="40" t="n">
        <x:f>ABS(Q138)</x:f>
        <x:v>9.055418785665458</x:v>
      </x:c>
      <x:c r="X138" s="40" t="n">
        <x:f>IF(Inputs!$C$27="ON",1,0)*(Inputs!$C$28*EXP(-(((A138)-Inputs!$C$29)^2)/(2*Inputs!$C$31^2))*EXP(-(((0)-Inputs!$C$30)^2)/(2*Inputs!$C$32^2))+-Inputs!$C$33*EXP(-(((((A138)-Inputs!$C$34)^2)+(((0)-Inputs!$C$35)^2))/(2*Inputs!$C$36^2)))+Inputs!$C$37*(0.55*SIN(2*PI()*(A138)/Inputs!$C$39)+0.35*COS(2*PI()*(0)/Inputs!$C$40)+0.2*SIN(2*PI()*((A138)+(0))/(0.5*(Inputs!$C$39+Inputs!$C$40))))+Inputs!$C$38*SIN(2*PI()*(A138)/Inputs!$C$39)*SIN(2*PI()*(0)/Inputs!$C$40)+-Inputs!$C$41*EXP(-(((0)-Inputs!$C$43)^2)/(2*Inputs!$C$44^2))*EXP(-(((A138)-Inputs!$C$42)^2)/(2*Inputs!$C$45^2)))</x:f>
        <x:v>25.020138681661066</x:v>
      </x:c>
      <x:c r="Y138" s="40" t="n">
        <x:f>IF(Inputs!$C$27="ON",1,0)*(Inputs!$C$28*EXP(-(((A138)-Inputs!$C$29)^2)/(2*Inputs!$C$31^2))*EXP(-(((Inputs!$C$6)-Inputs!$C$30)^2)/(2*Inputs!$C$32^2))+-Inputs!$C$33*EXP(-(((((A138)-Inputs!$C$34)^2)+(((Inputs!$C$6)-Inputs!$C$35)^2))/(2*Inputs!$C$36^2)))+Inputs!$C$37*(0.55*SIN(2*PI()*(A138)/Inputs!$C$39)+0.35*COS(2*PI()*(Inputs!$C$6)/Inputs!$C$40)+0.2*SIN(2*PI()*((A138)+(Inputs!$C$6))/(0.5*(Inputs!$C$39+Inputs!$C$40))))+Inputs!$C$38*SIN(2*PI()*(A138)/Inputs!$C$39)*SIN(2*PI()*(Inputs!$C$6)/Inputs!$C$40)+-Inputs!$C$41*EXP(-(((Inputs!$C$6)-Inputs!$C$43)^2)/(2*Inputs!$C$44^2))*EXP(-(((A138)-Inputs!$C$42)^2)/(2*Inputs!$C$45^2)))</x:f>
        <x:v>381.2684581100728</x:v>
      </x:c>
      <x:c r="Z138" s="40" t="n">
        <x:f>B138-X138/1000</x:f>
        <x:v>400.04609097242945</x:v>
      </x:c>
      <x:c r="AA138" s="40" t="n">
        <x:f>SQRT(A138^2+Inputs!$C$6^2+(B138-Y138/1000)^2)</x:f>
        <x:v>400.55083362786894</x:v>
      </x:c>
      <x:c r="AB138" s="40" t="n">
        <x:f>(AA138-Z138)*1000</x:f>
        <x:v>504.74265543948604</x:v>
      </x:c>
      <x:c r="AC138" s="40" t="n">
        <x:f>AB138/Inputs!$C$12</x:f>
        <x:v>283.56328957274496</x:v>
      </x:c>
      <x:c r="AD138" s="40" t="n">
        <x:f>2*AB138/Inputs!$C$21*1000000</x:f>
        <x:v>3.3672805433916957</x:v>
      </x:c>
      <x:c r="AE138" s="40" t="n">
        <x:f>DEGREES(ATAN(H138/(B138-Y138/1000)))</x:f>
        <x:v>3.757387049148497</x:v>
      </x:c>
      <x:c r="AF138" s="40" t="n">
        <x:f>DEGREES((2*PI()/Inputs!$C$13)*Inputs!$C$15*SIN(RADIANS(AE138)))</x:f>
        <x:v>23.591441149344664</x:v>
      </x:c>
      <x:c r="AG138" s="40" t="n">
        <x:f>(Z138/AA138)^4</x:f>
        <x:v>0.9949690340512674</x:v>
      </x:c>
      <x:c r="AH138" s="40" t="n">
        <x:f>10*LOG10(AG138)</x:f>
        <x:v>-0.0219043538485995</x:v>
      </x:c>
      <x:c r="AI138" s="40" t="n">
        <x:f>AC138-F138</x:f>
        <x:v>-199.6795251502552</x:v>
      </x:c>
      <x:c r="AJ138" s="40" t="n">
        <x:f>AD138-G138</x:f>
        <x:v>-2.3711707568537572</x:v>
      </x:c>
      <x:c r="AK138" s="40" t="n">
        <x:f>Y138-X138</x:f>
        <x:v>356.2483194284117</x:v>
      </x:c>
      <x:c r="AL138" s="40" t="n">
        <x:f>1000*(AA139-AA137)/(A139-A137)*Inputs!$C$11</x:f>
        <x:v>231.73822313469827</x:v>
      </x:c>
      <x:c r="AM138" s="40" t="n">
        <x:f>-2*AL138/Inputs!$C$13</x:f>
        <x:v>-92.69528925387931</x:v>
      </x:c>
      <x:c r="AN138" s="40" t="n">
        <x:f>-2*AL138/Inputs!$C$14</x:f>
        <x:v>-13.918211599681579</x:v>
      </x:c>
      <x:c r="AO138" s="40" t="n">
        <x:f>ABS(AM138)</x:f>
        <x:v>92.69528925387931</x:v>
      </x:c>
      <x:c r="AP138" s="40" t="n">
        <x:f>ABS(AN138)</x:f>
        <x:v>13.918211599681579</x:v>
      </x:c>
      <x:c r="AQ138" s="40" t="n">
        <x:f>IF(Inputs!$C$27="ON",Inputs!$C$46/Inputs!$C$12,0)</x:f>
        <x:v>42.13483146067416</x:v>
      </x:c>
      <x:c r="AR138" s="40" t="n">
        <x:f>AC138-AQ138</x:f>
        <x:v>241.4284581120708</x:v>
      </x:c>
      <x:c r="AS138" s="40" t="n">
        <x:f>AC138+AQ138</x:f>
        <x:v>325.6981210334191</x:v>
      </x:c>
    </x:row>
    <x:row r="139">
      <x:c r="A139" s="40" t="n">
        <x:f>Inputs!$C$7+137*(Inputs!$C$8-Inputs!$C$7)/240</x:f>
        <x:v>8.5</x:v>
      </x:c>
      <x:c r="B139" s="40" t="n">
        <x:f>Inputs!$C$5+Inputs!$C$9*(A139/Inputs!$C$10)^2</x:f>
        <x:v>400.0802777777778</x:v>
      </x:c>
      <x:c r="C139" s="40" t="n">
        <x:f>B139</x:f>
        <x:v>400.0802777777778</x:v>
      </x:c>
      <x:c r="D139" s="40" t="n">
        <x:f>SQRT(A139^2+Inputs!$C$6^2+B139^2)</x:f>
        <x:v>400.9507185013438</x:v>
      </x:c>
      <x:c r="E139" s="40" t="n">
        <x:f>(D139-C139)*1000</x:f>
        <x:v>870.4407235659914</x:v>
      </x:c>
      <x:c r="F139" s="40" t="n">
        <x:f>E139/Inputs!$C$12</x:f>
        <x:v>489.01164245280415</x:v>
      </x:c>
      <x:c r="G139" s="40" t="n">
        <x:f>2*E139/Inputs!$C$21*1000000</x:f>
        <x:v>5.806955447598295</x:v>
      </x:c>
      <x:c r="H139" s="40" t="n">
        <x:f>SQRT(A139^2+Inputs!$C$6^2)</x:f>
        <x:v>26.405491853021786</x:v>
      </x:c>
      <x:c r="I139" s="40" t="n">
        <x:f>DEGREES(ATAN(H139/B139))</x:f>
        <x:v>3.776072578786574</x:v>
      </x:c>
      <x:c r="J139" s="40" t="n">
        <x:f>DEGREES((2*PI()/Inputs!$C$13)*Inputs!$C$15*SIN(RADIANS(I139)))</x:f>
        <x:v>23.708592174666432</x:v>
      </x:c>
      <x:c r="K139" s="40" t="n">
        <x:f>(C139/D139)^4</x:f>
        <x:v>0.9913444693395405</x:v>
      </x:c>
      <x:c r="L139" s="40" t="n">
        <x:f>10*LOG10(K139)</x:f>
        <x:v>-0.037754119739936</x:v>
      </x:c>
      <x:c r="M139" s="40" t="n">
        <x:f>2*(Inputs!$C$9/(Inputs!$C$10^2))*A139</x:f>
        <x:v>0.01888888888888889</x:v>
      </x:c>
      <x:c r="N139" s="40" t="n">
        <x:f>M139*Inputs!$C$11</x:f>
        <x:v>0.07555555555555556</x:v>
      </x:c>
      <x:c r="O139" s="40" t="n">
        <x:f>1000*((A139*Inputs!$C$11)+(B139*N139))/D139</x:f>
        <x:v>160.18998019105862</x:v>
      </x:c>
      <x:c r="P139" s="40" t="n">
        <x:f>-2*O139/Inputs!$C$13</x:f>
        <x:v>-64.07599207642345</x:v>
      </x:c>
      <x:c r="Q139" s="40" t="n">
        <x:f>-2*O139/Inputs!$C$14</x:f>
        <x:v>-9.621019831294813</x:v>
      </x:c>
      <x:c r="R139" s="40" t="n">
        <x:f>F139-Inputs!$C$16/2</x:f>
        <x:v>474.01164245280415</x:v>
      </x:c>
      <x:c r="S139" s="40" t="n">
        <x:f>F139+Inputs!$C$16/2</x:f>
        <x:v>504.01164245280415</x:v>
      </x:c>
      <x:c r="T139" s="40" t="n">
        <x:f>F139-Inputs!$C$17/2</x:f>
        <x:v>339.01164245280415</x:v>
      </x:c>
      <x:c r="U139" s="40" t="n">
        <x:f>F139+Inputs!$C$17/2</x:f>
        <x:v>639.0116424528042</x:v>
      </x:c>
      <x:c r="V139" s="40" t="n">
        <x:f>ABS(P139)</x:f>
        <x:v>64.07599207642345</x:v>
      </x:c>
      <x:c r="W139" s="40" t="n">
        <x:f>ABS(Q139)</x:f>
        <x:v>9.621019831294813</x:v>
      </x:c>
      <x:c r="X139" s="40" t="n">
        <x:f>IF(Inputs!$C$27="ON",1,0)*(Inputs!$C$28*EXP(-(((A139)-Inputs!$C$29)^2)/(2*Inputs!$C$31^2))*EXP(-(((0)-Inputs!$C$30)^2)/(2*Inputs!$C$32^2))+-Inputs!$C$33*EXP(-(((((A139)-Inputs!$C$34)^2)+(((0)-Inputs!$C$35)^2))/(2*Inputs!$C$36^2)))+Inputs!$C$37*(0.55*SIN(2*PI()*(A139)/Inputs!$C$39)+0.35*COS(2*PI()*(0)/Inputs!$C$40)+0.2*SIN(2*PI()*((A139)+(0))/(0.5*(Inputs!$C$39+Inputs!$C$40))))+Inputs!$C$38*SIN(2*PI()*(A139)/Inputs!$C$39)*SIN(2*PI()*(0)/Inputs!$C$40)+-Inputs!$C$41*EXP(-(((0)-Inputs!$C$43)^2)/(2*Inputs!$C$44^2))*EXP(-(((A139)-Inputs!$C$42)^2)/(2*Inputs!$C$45^2)))</x:f>
        <x:v>16.51036935498944</x:v>
      </x:c>
      <x:c r="Y139" s="40" t="n">
        <x:f>IF(Inputs!$C$27="ON",1,0)*(Inputs!$C$28*EXP(-(((A139)-Inputs!$C$29)^2)/(2*Inputs!$C$31^2))*EXP(-(((Inputs!$C$6)-Inputs!$C$30)^2)/(2*Inputs!$C$32^2))+-Inputs!$C$33*EXP(-(((((A139)-Inputs!$C$34)^2)+(((Inputs!$C$6)-Inputs!$C$35)^2))/(2*Inputs!$C$36^2)))+Inputs!$C$37*(0.55*SIN(2*PI()*(A139)/Inputs!$C$39)+0.35*COS(2*PI()*(Inputs!$C$6)/Inputs!$C$40)+0.2*SIN(2*PI()*((A139)+(Inputs!$C$6))/(0.5*(Inputs!$C$39+Inputs!$C$40))))+Inputs!$C$38*SIN(2*PI()*(A139)/Inputs!$C$39)*SIN(2*PI()*(Inputs!$C$6)/Inputs!$C$40)+-Inputs!$C$41*EXP(-(((Inputs!$C$6)-Inputs!$C$43)^2)/(2*Inputs!$C$44^2))*EXP(-(((A139)-Inputs!$C$42)^2)/(2*Inputs!$C$45^2)))</x:f>
        <x:v>370.52286548475325</x:v>
      </x:c>
      <x:c r="Z139" s="40" t="n">
        <x:f>B139-X139/1000</x:f>
        <x:v>400.0637674084228</x:v>
      </x:c>
      <x:c r="AA139" s="40" t="n">
        <x:f>SQRT(A139^2+Inputs!$C$6^2+(B139-Y139/1000)^2)</x:f>
        <x:v>400.58100076269886</x:v>
      </x:c>
      <x:c r="AB139" s="40" t="n">
        <x:f>(AA139-Z139)*1000</x:f>
        <x:v>517.2333542760725</x:v>
      </x:c>
      <x:c r="AC139" s="40" t="n">
        <x:f>AB139/Inputs!$C$12</x:f>
        <x:v>290.5805361101531</x:v>
      </x:c>
      <x:c r="AD139" s="40" t="n">
        <x:f>2*AB139/Inputs!$C$21*1000000</x:f>
        <x:v>3.450609516508067</x:v>
      </x:c>
      <x:c r="AE139" s="40" t="n">
        <x:f>DEGREES(ATAN(H139/(B139-Y139/1000)))</x:f>
        <x:v>3.7795627808017738</x:v>
      </x:c>
      <x:c r="AF139" s="40" t="n">
        <x:f>DEGREES((2*PI()/Inputs!$C$13)*Inputs!$C$15*SIN(RADIANS(AE139)))</x:f>
        <x:v>23.730474108828524</x:v>
      </x:c>
      <x:c r="AG139" s="40" t="n">
        <x:f>(Z139/AA139)^4</x:f>
        <x:v>0.9948451630839926</x:v>
      </x:c>
      <x:c r="AH139" s="40" t="n">
        <x:f>10*LOG10(AG139)</x:f>
        <x:v>-0.0224450724513954</x:v>
      </x:c>
      <x:c r="AI139" s="40" t="n">
        <x:f>AC139-F139</x:f>
        <x:v>-198.43110634265105</x:v>
      </x:c>
      <x:c r="AJ139" s="40" t="n">
        <x:f>AD139-G139</x:f>
        <x:v>-2.3563459310902277</x:v>
      </x:c>
      <x:c r="AK139" s="40" t="n">
        <x:f>Y139-X139</x:f>
        <x:v>354.0124961297638</x:v>
      </x:c>
      <x:c r="AL139" s="40" t="n">
        <x:f>1000*(AA140-AA138)/(A140-A138)*Inputs!$C$11</x:f>
        <x:v>249.9321632280953</x:v>
      </x:c>
      <x:c r="AM139" s="40" t="n">
        <x:f>-2*AL139/Inputs!$C$13</x:f>
        <x:v>-99.97286529123812</x:v>
      </x:c>
      <x:c r="AN139" s="40" t="n">
        <x:f>-2*AL139/Inputs!$C$14</x:f>
        <x:v>-15.01094073442014</x:v>
      </x:c>
      <x:c r="AO139" s="40" t="n">
        <x:f>ABS(AM139)</x:f>
        <x:v>99.97286529123812</x:v>
      </x:c>
      <x:c r="AP139" s="40" t="n">
        <x:f>ABS(AN139)</x:f>
        <x:v>15.01094073442014</x:v>
      </x:c>
      <x:c r="AQ139" s="40" t="n">
        <x:f>IF(Inputs!$C$27="ON",Inputs!$C$46/Inputs!$C$12,0)</x:f>
        <x:v>42.13483146067416</x:v>
      </x:c>
      <x:c r="AR139" s="40" t="n">
        <x:f>AC139-AQ139</x:f>
        <x:v>248.44570464947896</x:v>
      </x:c>
      <x:c r="AS139" s="40" t="n">
        <x:f>AC139+AQ139</x:f>
        <x:v>332.71536757082725</x:v>
      </x:c>
    </x:row>
    <x:row r="140">
      <x:c r="A140" s="40" t="n">
        <x:f>Inputs!$C$7+138*(Inputs!$C$8-Inputs!$C$7)/240</x:f>
        <x:v>9</x:v>
      </x:c>
      <x:c r="B140" s="40" t="n">
        <x:f>Inputs!$C$5+Inputs!$C$9*(A140/Inputs!$C$10)^2</x:f>
        <x:v>400.09</x:v>
      </x:c>
      <x:c r="C140" s="40" t="n">
        <x:f>B140</x:f>
        <x:v>400.09</x:v>
      </x:c>
      <x:c r="D140" s="40" t="n">
        <x:f>SQRT(A140^2+Inputs!$C$6^2+B140^2)</x:f>
        <x:v>400.9713307706674</x:v>
      </x:c>
      <x:c r="E140" s="40" t="n">
        <x:f>(D140-C140)*1000</x:f>
        <x:v>881.3307706674323</x:v>
      </x:c>
      <x:c r="F140" s="40" t="n">
        <x:f>E140/Inputs!$C$12</x:f>
        <x:v>495.1296464423777</x:v>
      </x:c>
      <x:c r="G140" s="40" t="n">
        <x:f>2*E140/Inputs!$C$21*1000000</x:f>
        <x:v>5.879606021759441</x:v>
      </x:c>
      <x:c r="H140" s="40" t="n">
        <x:f>SQRT(A140^2+Inputs!$C$6^2)</x:f>
        <x:v>26.570660511172846</x:v>
      </x:c>
      <x:c r="I140" s="40" t="n">
        <x:f>DEGREES(ATAN(H140/B140))</x:f>
        <x:v>3.79953120706518</x:v>
      </x:c>
      <x:c r="J140" s="40" t="n">
        <x:f>DEGREES((2*PI()/Inputs!$C$13)*Inputs!$C$15*SIN(RADIANS(I140)))</x:f>
        <x:v>23.85566510612477</x:v>
      </x:c>
      <x:c r="K140" s="40" t="n">
        <x:f>(C140/D140)^4</x:f>
        <x:v>0.9912369865363565</x:v>
      </x:c>
      <x:c r="L140" s="40" t="n">
        <x:f>10*LOG10(K140)</x:f>
        <x:v>-0.0382250127590316</x:v>
      </x:c>
      <x:c r="M140" s="40" t="n">
        <x:f>2*(Inputs!$C$9/(Inputs!$C$10^2))*A140</x:f>
        <x:v>0.02</x:v>
      </x:c>
      <x:c r="N140" s="40" t="n">
        <x:f>M140*Inputs!$C$11</x:f>
        <x:v>0.08</x:v>
      </x:c>
      <x:c r="O140" s="40" t="n">
        <x:f>1000*((A140*Inputs!$C$11)+(B140*N140))/D140</x:f>
        <x:v>169.6061408412668</x:v>
      </x:c>
      <x:c r="P140" s="40" t="n">
        <x:f>-2*O140/Inputs!$C$13</x:f>
        <x:v>-67.84245633650673</x:v>
      </x:c>
      <x:c r="Q140" s="40" t="n">
        <x:f>-2*O140/Inputs!$C$14</x:f>
        <x:v>-10.186555005481491</x:v>
      </x:c>
      <x:c r="R140" s="40" t="n">
        <x:f>F140-Inputs!$C$16/2</x:f>
        <x:v>480.1296464423777</x:v>
      </x:c>
      <x:c r="S140" s="40" t="n">
        <x:f>F140+Inputs!$C$16/2</x:f>
        <x:v>510.1296464423777</x:v>
      </x:c>
      <x:c r="T140" s="40" t="n">
        <x:f>F140-Inputs!$C$17/2</x:f>
        <x:v>345.1296464423777</x:v>
      </x:c>
      <x:c r="U140" s="40" t="n">
        <x:f>F140+Inputs!$C$17/2</x:f>
        <x:v>645.1296464423776</x:v>
      </x:c>
      <x:c r="V140" s="40" t="n">
        <x:f>ABS(P140)</x:f>
        <x:v>67.84245633650673</x:v>
      </x:c>
      <x:c r="W140" s="40" t="n">
        <x:f>ABS(Q140)</x:f>
        <x:v>10.186555005481491</x:v>
      </x:c>
      <x:c r="X140" s="40" t="n">
        <x:f>IF(Inputs!$C$27="ON",1,0)*(Inputs!$C$28*EXP(-(((A140)-Inputs!$C$29)^2)/(2*Inputs!$C$31^2))*EXP(-(((0)-Inputs!$C$30)^2)/(2*Inputs!$C$32^2))+-Inputs!$C$33*EXP(-(((((A140)-Inputs!$C$34)^2)+(((0)-Inputs!$C$35)^2))/(2*Inputs!$C$36^2)))+Inputs!$C$37*(0.55*SIN(2*PI()*(A140)/Inputs!$C$39)+0.35*COS(2*PI()*(0)/Inputs!$C$40)+0.2*SIN(2*PI()*((A140)+(0))/(0.5*(Inputs!$C$39+Inputs!$C$40))))+Inputs!$C$38*SIN(2*PI()*(A140)/Inputs!$C$39)*SIN(2*PI()*(0)/Inputs!$C$40)+-Inputs!$C$41*EXP(-(((0)-Inputs!$C$43)^2)/(2*Inputs!$C$44^2))*EXP(-(((A140)-Inputs!$C$42)^2)/(2*Inputs!$C$45^2)))</x:f>
        <x:v>8.02656586542216</x:v>
      </x:c>
      <x:c r="Y140" s="40" t="n">
        <x:f>IF(Inputs!$C$27="ON",1,0)*(Inputs!$C$28*EXP(-(((A140)-Inputs!$C$29)^2)/(2*Inputs!$C$31^2))*EXP(-(((Inputs!$C$6)-Inputs!$C$30)^2)/(2*Inputs!$C$32^2))+-Inputs!$C$33*EXP(-(((((A140)-Inputs!$C$34)^2)+(((Inputs!$C$6)-Inputs!$C$35)^2))/(2*Inputs!$C$36^2)))+Inputs!$C$37*(0.55*SIN(2*PI()*(A140)/Inputs!$C$39)+0.35*COS(2*PI()*(Inputs!$C$6)/Inputs!$C$40)+0.2*SIN(2*PI()*((A140)+(Inputs!$C$6))/(0.5*(Inputs!$C$39+Inputs!$C$40))))+Inputs!$C$38*SIN(2*PI()*(A140)/Inputs!$C$39)*SIN(2*PI()*(Inputs!$C$6)/Inputs!$C$40)+-Inputs!$C$41*EXP(-(((Inputs!$C$6)-Inputs!$C$43)^2)/(2*Inputs!$C$44^2))*EXP(-(((A140)-Inputs!$C$42)^2)/(2*Inputs!$C$45^2)))</x:f>
        <x:v>358.80345377491835</x:v>
      </x:c>
      <x:c r="Z140" s="40" t="n">
        <x:f>B140-X140/1000</x:f>
        <x:v>400.08197343413457</x:v>
      </x:c>
      <x:c r="AA140" s="40" t="n">
        <x:f>SQRT(A140^2+Inputs!$C$6^2+(B140-Y140/1000)^2)</x:f>
        <x:v>400.61331666867596</x:v>
      </x:c>
      <x:c r="AB140" s="40" t="n">
        <x:f>(AA140-Z140)*1000</x:f>
        <x:v>531.3432345413958</x:v>
      </x:c>
      <x:c r="AC140" s="40" t="n">
        <x:f>AB140/Inputs!$C$12</x:f>
        <x:v>298.5074351356156</x:v>
      </x:c>
      <x:c r="AD140" s="40" t="n">
        <x:f>2*AB140/Inputs!$C$21*1000000</x:f>
        <x:v>3.5447405053892034</x:v>
      </x:c>
      <x:c r="AE140" s="40" t="n">
        <x:f>DEGREES(ATAN(H140/(B140-Y140/1000)))</x:f>
        <x:v>3.802931707969316</x:v>
      </x:c>
      <x:c r="AF140" s="40" t="n">
        <x:f>DEGREES((2*PI()/Inputs!$C$13)*Inputs!$C$15*SIN(RADIANS(AE140)))</x:f>
        <x:v>23.876984079221817</x:v>
      </x:c>
      <x:c r="AG140" s="40" t="n">
        <x:f>(Z140/AA140)^4</x:f>
        <x:v>0.9947052477130205</x:v>
      </x:c>
      <x:c r="AH140" s="40" t="n">
        <x:f>10*LOG10(AG140)</x:f>
        <x:v>-0.023055908681702098</x:v>
      </x:c>
      <x:c r="AI140" s="40" t="n">
        <x:f>AC140-F140</x:f>
        <x:v>-196.6222113067621</x:v>
      </x:c>
      <x:c r="AJ140" s="40" t="n">
        <x:f>AD140-G140</x:f>
        <x:v>-2.334865516370238</x:v>
      </x:c>
      <x:c r="AK140" s="40" t="n">
        <x:f>Y140-X140</x:f>
        <x:v>350.77688790949617</x:v>
      </x:c>
      <x:c r="AL140" s="40" t="n">
        <x:f>1000*(AA141-AA139)/(A141-A139)*Inputs!$C$11</x:f>
        <x:v>265.985680930271</x:v>
      </x:c>
      <x:c r="AM140" s="40" t="n">
        <x:f>-2*AL140/Inputs!$C$13</x:f>
        <x:v>-106.39427237210839</x:v>
      </x:c>
      <x:c r="AN140" s="40" t="n">
        <x:f>-2*AL140/Inputs!$C$14</x:f>
        <x:v>-15.975115971788048</x:v>
      </x:c>
      <x:c r="AO140" s="40" t="n">
        <x:f>ABS(AM140)</x:f>
        <x:v>106.39427237210839</x:v>
      </x:c>
      <x:c r="AP140" s="40" t="n">
        <x:f>ABS(AN140)</x:f>
        <x:v>15.975115971788048</x:v>
      </x:c>
      <x:c r="AQ140" s="40" t="n">
        <x:f>IF(Inputs!$C$27="ON",Inputs!$C$46/Inputs!$C$12,0)</x:f>
        <x:v>42.13483146067416</x:v>
      </x:c>
      <x:c r="AR140" s="40" t="n">
        <x:f>AC140-AQ140</x:f>
        <x:v>256.37260367494144</x:v>
      </x:c>
      <x:c r="AS140" s="40" t="n">
        <x:f>AC140+AQ140</x:f>
        <x:v>340.64226659628974</x:v>
      </x:c>
    </x:row>
    <x:row r="141">
      <x:c r="A141" s="40" t="n">
        <x:f>Inputs!$C$7+139*(Inputs!$C$8-Inputs!$C$7)/240</x:f>
        <x:v>9.5</x:v>
      </x:c>
      <x:c r="B141" s="40" t="n">
        <x:f>Inputs!$C$5+Inputs!$C$9*(A141/Inputs!$C$10)^2</x:f>
        <x:v>400.10027777777776</x:v>
      </x:c>
      <x:c r="C141" s="40" t="n">
        <x:f>B141</x:f>
        <x:v>400.10027777777776</x:v>
      </x:c>
      <x:c r="D141" s="40" t="n">
        <x:f>SQRT(A141^2+Inputs!$C$6^2+B141^2)</x:f>
        <x:v>400.99311998818</x:v>
      </x:c>
      <x:c r="E141" s="40" t="n">
        <x:f>(D141-C141)*1000</x:f>
        <x:v>892.8422104022502</x:v>
      </x:c>
      <x:c r="F141" s="40" t="n">
        <x:f>E141/Inputs!$C$12</x:f>
        <x:v>501.5967474169945</x:v>
      </x:c>
      <x:c r="G141" s="40" t="n">
        <x:f>2*E141/Inputs!$C$21*1000000</x:f>
        <x:v>5.956402081350894</x:v>
      </x:c>
      <x:c r="H141" s="40" t="n">
        <x:f>SQRT(A141^2+Inputs!$C$6^2)</x:f>
        <x:v>26.744158240632665</x:v>
      </x:c>
      <x:c r="I141" s="40" t="n">
        <x:f>DEGREES(ATAN(H141/B141))</x:f>
        <x:v>3.8241695756954894</x:v>
      </x:c>
      <x:c r="J141" s="40" t="n">
        <x:f>DEGREES((2*PI()/Inputs!$C$13)*Inputs!$C$15*SIN(RADIANS(I141)))</x:f>
        <x:v>24.010130066350158</x:v>
      </x:c>
      <x:c r="K141" s="40" t="n">
        <x:f>(C141/D141)^4</x:f>
        <x:v>0.9911233922321975</x:v>
      </x:c>
      <x:c r="L141" s="40" t="n">
        <x:f>10*LOG10(K141)</x:f>
        <x:v>-0.0387227363823875</x:v>
      </x:c>
      <x:c r="M141" s="40" t="n">
        <x:f>2*(Inputs!$C$9/(Inputs!$C$10^2))*A141</x:f>
        <x:v>0.021111111111111112</x:v>
      </x:c>
      <x:c r="N141" s="40" t="n">
        <x:f>M141*Inputs!$C$11</x:f>
        <x:v>0.08444444444444445</x:v>
      </x:c>
      <x:c r="O141" s="40" t="n">
        <x:f>1000*((A141*Inputs!$C$11)+(B141*N141))/D141</x:f>
        <x:v>179.02114051514994</x:v>
      </x:c>
      <x:c r="P141" s="40" t="n">
        <x:f>-2*O141/Inputs!$C$13</x:f>
        <x:v>-71.60845620605997</x:v>
      </x:c>
      <x:c r="Q141" s="40" t="n">
        <x:f>-2*O141/Inputs!$C$14</x:f>
        <x:v>-10.752020451360357</x:v>
      </x:c>
      <x:c r="R141" s="40" t="n">
        <x:f>F141-Inputs!$C$16/2</x:f>
        <x:v>486.5967474169945</x:v>
      </x:c>
      <x:c r="S141" s="40" t="n">
        <x:f>F141+Inputs!$C$16/2</x:f>
        <x:v>516.5967474169945</x:v>
      </x:c>
      <x:c r="T141" s="40" t="n">
        <x:f>F141-Inputs!$C$17/2</x:f>
        <x:v>351.5967474169945</x:v>
      </x:c>
      <x:c r="U141" s="40" t="n">
        <x:f>F141+Inputs!$C$17/2</x:f>
        <x:v>651.5967474169945</x:v>
      </x:c>
      <x:c r="V141" s="40" t="n">
        <x:f>ABS(P141)</x:f>
        <x:v>71.60845620605997</x:v>
      </x:c>
      <x:c r="W141" s="40" t="n">
        <x:f>ABS(Q141)</x:f>
        <x:v>10.752020451360357</x:v>
      </x:c>
      <x:c r="X141" s="40" t="n">
        <x:f>IF(Inputs!$C$27="ON",1,0)*(Inputs!$C$28*EXP(-(((A141)-Inputs!$C$29)^2)/(2*Inputs!$C$31^2))*EXP(-(((0)-Inputs!$C$30)^2)/(2*Inputs!$C$32^2))+-Inputs!$C$33*EXP(-(((((A141)-Inputs!$C$34)^2)+(((0)-Inputs!$C$35)^2))/(2*Inputs!$C$36^2)))+Inputs!$C$37*(0.55*SIN(2*PI()*(A141)/Inputs!$C$39)+0.35*COS(2*PI()*(0)/Inputs!$C$40)+0.2*SIN(2*PI()*((A141)+(0))/(0.5*(Inputs!$C$39+Inputs!$C$40))))+Inputs!$C$38*SIN(2*PI()*(A141)/Inputs!$C$39)*SIN(2*PI()*(0)/Inputs!$C$40)+-Inputs!$C$41*EXP(-(((0)-Inputs!$C$43)^2)/(2*Inputs!$C$44^2))*EXP(-(((A141)-Inputs!$C$42)^2)/(2*Inputs!$C$45^2)))</x:f>
        <x:v>-0.1370514008114725</x:v>
      </x:c>
      <x:c r="Y141" s="40" t="n">
        <x:f>IF(Inputs!$C$27="ON",1,0)*(Inputs!$C$28*EXP(-(((A141)-Inputs!$C$29)^2)/(2*Inputs!$C$31^2))*EXP(-(((Inputs!$C$6)-Inputs!$C$30)^2)/(2*Inputs!$C$32^2))+-Inputs!$C$33*EXP(-(((((A141)-Inputs!$C$34)^2)+(((Inputs!$C$6)-Inputs!$C$35)^2))/(2*Inputs!$C$36^2)))+Inputs!$C$37*(0.55*SIN(2*PI()*(A141)/Inputs!$C$39)+0.35*COS(2*PI()*(Inputs!$C$6)/Inputs!$C$40)+0.2*SIN(2*PI()*((A141)+(Inputs!$C$6))/(0.5*(Inputs!$C$39+Inputs!$C$40))))+Inputs!$C$38*SIN(2*PI()*(A141)/Inputs!$C$39)*SIN(2*PI()*(Inputs!$C$6)/Inputs!$C$40)+-Inputs!$C$41*EXP(-(((Inputs!$C$6)-Inputs!$C$43)^2)/(2*Inputs!$C$44^2))*EXP(-(((A141)-Inputs!$C$42)^2)/(2*Inputs!$C$45^2)))</x:f>
        <x:v>346.39474604654487</x:v>
      </x:c>
      <x:c r="Z141" s="40" t="n">
        <x:f>B141-X141/1000</x:f>
        <x:v>400.1004148291786</x:v>
      </x:c>
      <x:c r="AA141" s="40" t="n">
        <x:f>SQRT(A141^2+Inputs!$C$6^2+(B141-Y141/1000)^2)</x:f>
        <x:v>400.64749718293143</x:v>
      </x:c>
      <x:c r="AB141" s="40" t="n">
        <x:f>(AA141-Z141)*1000</x:f>
        <x:v>547.0823537528418</x:v>
      </x:c>
      <x:c r="AC141" s="40" t="n">
        <x:f>AB141/Inputs!$C$12</x:f>
        <x:v>307.34963693979876</x:v>
      </x:c>
      <x:c r="AD141" s="40" t="n">
        <x:f>2*AB141/Inputs!$C$21*1000000</x:f>
        <x:v>3.64974060656884</x:v>
      </x:c>
      <x:c r="AE141" s="40" t="n">
        <x:f>DEGREES(ATAN(H141/(B141-Y141/1000)))</x:f>
        <x:v>3.8274734499272807</x:v>
      </x:c>
      <x:c r="AF141" s="40" t="n">
        <x:f>DEGREES((2*PI()/Inputs!$C$13)*Inputs!$C$15*SIN(RADIANS(AE141)))</x:f>
        <x:v>24.030842659256056</x:v>
      </x:c>
      <x:c r="AG141" s="40" t="n">
        <x:f>(Z141/AA141)^4</x:f>
        <x:v>0.9945491952942735</x:v>
      </x:c>
      <x:c r="AH141" s="40" t="n">
        <x:f>10*LOG10(AG141)</x:f>
        <x:v>-0.023737296673336</x:v>
      </x:c>
      <x:c r="AI141" s="40" t="n">
        <x:f>AC141-F141</x:f>
        <x:v>-194.24711047719575</x:v>
      </x:c>
      <x:c r="AJ141" s="40" t="n">
        <x:f>AD141-G141</x:f>
        <x:v>-2.3066614747820537</x:v>
      </x:c>
      <x:c r="AK141" s="40" t="n">
        <x:f>Y141-X141</x:f>
        <x:v>346.5317974473563</x:v>
      </x:c>
      <x:c r="AL141" s="40" t="n">
        <x:f>1000*(AA142-AA140)/(A142-A140)*Inputs!$C$11</x:f>
        <x:v>279.66712098213975</x:v>
      </x:c>
      <x:c r="AM141" s="40" t="n">
        <x:f>-2*AL141/Inputs!$C$13</x:f>
        <x:v>-111.8668483928559</x:v>
      </x:c>
      <x:c r="AN141" s="40" t="n">
        <x:f>-2*AL141/Inputs!$C$14</x:f>
        <x:v>-16.796824083011398</x:v>
      </x:c>
      <x:c r="AO141" s="40" t="n">
        <x:f>ABS(AM141)</x:f>
        <x:v>111.8668483928559</x:v>
      </x:c>
      <x:c r="AP141" s="40" t="n">
        <x:f>ABS(AN141)</x:f>
        <x:v>16.796824083011398</x:v>
      </x:c>
      <x:c r="AQ141" s="40" t="n">
        <x:f>IF(Inputs!$C$27="ON",Inputs!$C$46/Inputs!$C$12,0)</x:f>
        <x:v>42.13483146067416</x:v>
      </x:c>
      <x:c r="AR141" s="40" t="n">
        <x:f>AC141-AQ141</x:f>
        <x:v>265.2148054791246</x:v>
      </x:c>
      <x:c r="AS141" s="40" t="n">
        <x:f>AC141+AQ141</x:f>
        <x:v>349.4844684004729</x:v>
      </x:c>
    </x:row>
    <x:row r="142">
      <x:c r="A142" s="40" t="n">
        <x:f>Inputs!$C$7+140*(Inputs!$C$8-Inputs!$C$7)/240</x:f>
        <x:v>10</x:v>
      </x:c>
      <x:c r="B142" s="40" t="n">
        <x:f>Inputs!$C$5+Inputs!$C$9*(A142/Inputs!$C$10)^2</x:f>
        <x:v>400.1111111111111</x:v>
      </x:c>
      <x:c r="C142" s="40" t="n">
        <x:f>B142</x:f>
        <x:v>400.1111111111111</x:v>
      </x:c>
      <x:c r="D142" s="40" t="n">
        <x:f>SQRT(A142^2+Inputs!$C$6^2+B142^2)</x:f>
        <x:v>401.01608600474856</x:v>
      </x:c>
      <x:c r="E142" s="40" t="n">
        <x:f>(D142-C142)*1000</x:f>
        <x:v>904.9748936374726</x:v>
      </x:c>
      <x:c r="F142" s="40" t="n">
        <x:f>E142/Inputs!$C$12</x:f>
        <x:v>508.41286159408577</x:v>
      </x:c>
      <x:c r="G142" s="40" t="n">
        <x:f>2*E142/Inputs!$C$21*1000000</x:f>
        <x:v>6.037342631464549</x:v>
      </x:c>
      <x:c r="H142" s="40" t="n">
        <x:f>SQRT(A142^2+Inputs!$C$6^2)</x:f>
        <x:v>26.92582403567252</x:v>
      </x:c>
      <x:c r="I142" s="40" t="n">
        <x:f>DEGREES(ATAN(H142/B142))</x:f>
        <x:v>3.8499643269735215</x:v>
      </x:c>
      <x:c r="J142" s="40" t="n">
        <x:f>DEGREES((2*PI()/Inputs!$C$13)*Inputs!$C$15*SIN(RADIANS(I142)))</x:f>
        <x:v>24.171839961370843</x:v>
      </x:c>
      <x:c r="K142" s="40" t="n">
        <x:f>(C142/D142)^4</x:f>
        <x:v>0.9910036914764812</x:v>
      </x:c>
      <x:c r="L142" s="40" t="n">
        <x:f>10*LOG10(K142)</x:f>
        <x:v>-0.039247277701435296</x:v>
      </x:c>
      <x:c r="M142" s="40" t="n">
        <x:f>2*(Inputs!$C$9/(Inputs!$C$10^2))*A142</x:f>
        <x:v>0.022222222222222223</x:v>
      </x:c>
      <x:c r="N142" s="40" t="n">
        <x:f>M142*Inputs!$C$11</x:f>
        <x:v>0.08888888888888889</x:v>
      </x:c>
      <x:c r="O142" s="40" t="n">
        <x:f>1000*((A142*Inputs!$C$11)+(B142*N142))/D142</x:f>
        <x:v>188.43491504695058</x:v>
      </x:c>
      <x:c r="P142" s="40" t="n">
        <x:f>-2*O142/Inputs!$C$13</x:f>
        <x:v>-75.37396601878024</x:v>
      </x:c>
      <x:c r="Q142" s="40" t="n">
        <x:f>-2*O142/Inputs!$C$14</x:f>
        <x:v>-11.317412315132168</x:v>
      </x:c>
      <x:c r="R142" s="40" t="n">
        <x:f>F142-Inputs!$C$16/2</x:f>
        <x:v>493.41286159408577</x:v>
      </x:c>
      <x:c r="S142" s="40" t="n">
        <x:f>F142+Inputs!$C$16/2</x:f>
        <x:v>523.4128615940858</x:v>
      </x:c>
      <x:c r="T142" s="40" t="n">
        <x:f>F142-Inputs!$C$17/2</x:f>
        <x:v>358.41286159408577</x:v>
      </x:c>
      <x:c r="U142" s="40" t="n">
        <x:f>F142+Inputs!$C$17/2</x:f>
        <x:v>658.4128615940858</x:v>
      </x:c>
      <x:c r="V142" s="40" t="n">
        <x:f>ABS(P142)</x:f>
        <x:v>75.37396601878024</x:v>
      </x:c>
      <x:c r="W142" s="40" t="n">
        <x:f>ABS(Q142)</x:f>
        <x:v>11.317412315132168</x:v>
      </x:c>
      <x:c r="X142" s="40" t="n">
        <x:f>IF(Inputs!$C$27="ON",1,0)*(Inputs!$C$28*EXP(-(((A142)-Inputs!$C$29)^2)/(2*Inputs!$C$31^2))*EXP(-(((0)-Inputs!$C$30)^2)/(2*Inputs!$C$32^2))+-Inputs!$C$33*EXP(-(((((A142)-Inputs!$C$34)^2)+(((0)-Inputs!$C$35)^2))/(2*Inputs!$C$36^2)))+Inputs!$C$37*(0.55*SIN(2*PI()*(A142)/Inputs!$C$39)+0.35*COS(2*PI()*(0)/Inputs!$C$40)+0.2*SIN(2*PI()*((A142)+(0))/(0.5*(Inputs!$C$39+Inputs!$C$40))))+Inputs!$C$38*SIN(2*PI()*(A142)/Inputs!$C$39)*SIN(2*PI()*(0)/Inputs!$C$40)+-Inputs!$C$41*EXP(-(((0)-Inputs!$C$43)^2)/(2*Inputs!$C$44^2))*EXP(-(((A142)-Inputs!$C$42)^2)/(2*Inputs!$C$45^2)))</x:f>
        <x:v>-7.7012189687683055</x:v>
      </x:c>
      <x:c r="Y142" s="40" t="n">
        <x:f>IF(Inputs!$C$27="ON",1,0)*(Inputs!$C$28*EXP(-(((A142)-Inputs!$C$29)^2)/(2*Inputs!$C$31^2))*EXP(-(((Inputs!$C$6)-Inputs!$C$30)^2)/(2*Inputs!$C$32^2))+-Inputs!$C$33*EXP(-(((((A142)-Inputs!$C$34)^2)+(((Inputs!$C$6)-Inputs!$C$35)^2))/(2*Inputs!$C$36^2)))+Inputs!$C$37*(0.55*SIN(2*PI()*(A142)/Inputs!$C$39)+0.35*COS(2*PI()*(Inputs!$C$6)/Inputs!$C$40)+0.2*SIN(2*PI()*((A142)+(Inputs!$C$6))/(0.5*(Inputs!$C$39+Inputs!$C$40))))+Inputs!$C$38*SIN(2*PI()*(A142)/Inputs!$C$39)*SIN(2*PI()*(Inputs!$C$6)/Inputs!$C$40)+-Inputs!$C$41*EXP(-(((Inputs!$C$6)-Inputs!$C$43)^2)/(2*Inputs!$C$44^2))*EXP(-(((A142)-Inputs!$C$42)^2)/(2*Inputs!$C$45^2)))</x:f>
        <x:v>333.6060322448477</x:v>
      </x:c>
      <x:c r="Z142" s="40" t="n">
        <x:f>B142-X142/1000</x:f>
        <x:v>400.11881233007983</x:v>
      </x:c>
      <x:c r="AA142" s="40" t="n">
        <x:f>SQRT(A142^2+Inputs!$C$6^2+(B142-Y142/1000)^2)</x:f>
        <x:v>400.6832334489215</x:v>
      </x:c>
      <x:c r="AB142" s="40" t="n">
        <x:f>(AA142-Z142)*1000</x:f>
        <x:v>564.4211188416648</x:v>
      </x:c>
      <x:c r="AC142" s="40" t="n">
        <x:f>AB142/Inputs!$C$12</x:f>
        <x:v>317.09051620318246</x:v>
      </x:c>
      <x:c r="AD142" s="40" t="n">
        <x:f>2*AB142/Inputs!$C$21*1000000</x:f>
        <x:v>3.7654123963429713</x:v>
      </x:c>
      <x:c r="AE142" s="40" t="n">
        <x:f>DEGREES(ATAN(H142/(B142-Y142/1000)))</x:f>
        <x:v>3.8531673684850234</x:v>
      </x:c>
      <x:c r="AF142" s="40" t="n">
        <x:f>DEGREES((2*PI()/Inputs!$C$13)*Inputs!$C$15*SIN(RADIANS(AE142)))</x:f>
        <x:v>24.19191981008558</x:v>
      </x:c>
      <x:c r="AG142" s="40" t="n">
        <x:f>(Z142/AA142)^4</x:f>
        <x:v>0.9943773076937302</x:v>
      </x:c>
      <x:c r="AH142" s="40" t="n">
        <x:f>10*LOG10(AG142)</x:f>
        <x:v>-0.0244879512248969</x:v>
      </x:c>
      <x:c r="AI142" s="40" t="n">
        <x:f>AC142-F142</x:f>
        <x:v>-191.3223453909033</x:v>
      </x:c>
      <x:c r="AJ142" s="40" t="n">
        <x:f>AD142-G142</x:f>
        <x:v>-2.2719302351215775</x:v>
      </x:c>
      <x:c r="AK142" s="40" t="n">
        <x:f>Y142-X142</x:f>
        <x:v>341.30725121361604</x:v>
      </x:c>
      <x:c r="AL142" s="40" t="n">
        <x:f>1000*(AA143-AA141)/(A143-A141)*Inputs!$C$11</x:f>
        <x:v>290.8173451428411</x:v>
      </x:c>
      <x:c r="AM142" s="40" t="n">
        <x:f>-2*AL142/Inputs!$C$13</x:f>
        <x:v>-116.32693805713643</x:v>
      </x:c>
      <x:c r="AN142" s="40" t="n">
        <x:f>-2*AL142/Inputs!$C$14</x:f>
        <x:v>-17.46650721578625</x:v>
      </x:c>
      <x:c r="AO142" s="40" t="n">
        <x:f>ABS(AM142)</x:f>
        <x:v>116.32693805713643</x:v>
      </x:c>
      <x:c r="AP142" s="40" t="n">
        <x:f>ABS(AN142)</x:f>
        <x:v>17.46650721578625</x:v>
      </x:c>
      <x:c r="AQ142" s="40" t="n">
        <x:f>IF(Inputs!$C$27="ON",Inputs!$C$46/Inputs!$C$12,0)</x:f>
        <x:v>42.13483146067416</x:v>
      </x:c>
      <x:c r="AR142" s="40" t="n">
        <x:f>AC142-AQ142</x:f>
        <x:v>274.9556847425083</x:v>
      </x:c>
      <x:c r="AS142" s="40" t="n">
        <x:f>AC142+AQ142</x:f>
        <x:v>359.2253476638566</x:v>
      </x:c>
    </x:row>
    <x:row r="143">
      <x:c r="A143" s="40" t="n">
        <x:f>Inputs!$C$7+141*(Inputs!$C$8-Inputs!$C$7)/240</x:f>
        <x:v>10.5</x:v>
      </x:c>
      <x:c r="B143" s="40" t="n">
        <x:f>Inputs!$C$5+Inputs!$C$9*(A143/Inputs!$C$10)^2</x:f>
        <x:v>400.1225</x:v>
      </x:c>
      <x:c r="C143" s="40" t="n">
        <x:f>B143</x:f>
        <x:v>400.1225</x:v>
      </x:c>
      <x:c r="D143" s="40" t="n">
        <x:f>SQRT(A143^2+Inputs!$C$6^2+B143^2)</x:f>
        <x:v>401.04022866322276</x:v>
      </x:c>
      <x:c r="E143" s="40" t="n">
        <x:f>(D143-C143)*1000</x:f>
        <x:v>917.7286632227606</x:v>
      </x:c>
      <x:c r="F143" s="40" t="n">
        <x:f>E143/Inputs!$C$12</x:f>
        <x:v>515.5779006869442</x:v>
      </x:c>
      <x:c r="G143" s="40" t="n">
        <x:f>2*E143/Inputs!$C$21*1000000</x:f>
        <x:v>6.122426623706195</x:v>
      </x:c>
      <x:c r="H143" s="40" t="n">
        <x:f>SQRT(A143^2+Inputs!$C$6^2)</x:f>
        <x:v>27.115493725912497</x:v>
      </x:c>
      <x:c r="I143" s="40" t="n">
        <x:f>DEGREES(ATAN(H143/B143))</x:f>
        <x:v>3.8768916383114713</x:v>
      </x:c>
      <x:c r="J143" s="40" t="n">
        <x:f>DEGREES((2*PI()/Inputs!$C$13)*Inputs!$C$15*SIN(RADIANS(I143)))</x:f>
        <x:v>24.340644762413287</x:v>
      </x:c>
      <x:c r="K143" s="40" t="n">
        <x:f>(C143/D143)^4</x:f>
        <x:v>0.990877889588107</x:v>
      </x:c>
      <x:c r="L143" s="40" t="n">
        <x:f>10*LOG10(K143)</x:f>
        <x:v>-0.039798623115099706</x:v>
      </x:c>
      <x:c r="M143" s="40" t="n">
        <x:f>2*(Inputs!$C$9/(Inputs!$C$10^2))*A143</x:f>
        <x:v>0.023333333333333334</x:v>
      </x:c>
      <x:c r="N143" s="40" t="n">
        <x:f>M143*Inputs!$C$11</x:f>
        <x:v>0.09333333333333334</x:v>
      </x:c>
      <x:c r="O143" s="40" t="n">
        <x:f>1000*((A143*Inputs!$C$11)+(B143*N143))/D143</x:f>
        <x:v>197.84740032476188</x:v>
      </x:c>
      <x:c r="P143" s="40" t="n">
        <x:f>-2*O143/Inputs!$C$13</x:f>
        <x:v>-79.13896012990475</x:v>
      </x:c>
      <x:c r="Q143" s="40" t="n">
        <x:f>-2*O143/Inputs!$C$14</x:f>
        <x:v>-11.882726746231945</x:v>
      </x:c>
      <x:c r="R143" s="40" t="n">
        <x:f>F143-Inputs!$C$16/2</x:f>
        <x:v>500.5779006869442</x:v>
      </x:c>
      <x:c r="S143" s="40" t="n">
        <x:f>F143+Inputs!$C$16/2</x:f>
        <x:v>530.5779006869442</x:v>
      </x:c>
      <x:c r="T143" s="40" t="n">
        <x:f>F143-Inputs!$C$17/2</x:f>
        <x:v>365.5779006869442</x:v>
      </x:c>
      <x:c r="U143" s="40" t="n">
        <x:f>F143+Inputs!$C$17/2</x:f>
        <x:v>665.5779006869442</x:v>
      </x:c>
      <x:c r="V143" s="40" t="n">
        <x:f>ABS(P143)</x:f>
        <x:v>79.13896012990475</x:v>
      </x:c>
      <x:c r="W143" s="40" t="n">
        <x:f>ABS(Q143)</x:f>
        <x:v>11.882726746231945</x:v>
      </x:c>
      <x:c r="X143" s="40" t="n">
        <x:f>IF(Inputs!$C$27="ON",1,0)*(Inputs!$C$28*EXP(-(((A143)-Inputs!$C$29)^2)/(2*Inputs!$C$31^2))*EXP(-(((0)-Inputs!$C$30)^2)/(2*Inputs!$C$32^2))+-Inputs!$C$33*EXP(-(((((A143)-Inputs!$C$34)^2)+(((0)-Inputs!$C$35)^2))/(2*Inputs!$C$36^2)))+Inputs!$C$37*(0.55*SIN(2*PI()*(A143)/Inputs!$C$39)+0.35*COS(2*PI()*(0)/Inputs!$C$40)+0.2*SIN(2*PI()*((A143)+(0))/(0.5*(Inputs!$C$39+Inputs!$C$40))))+Inputs!$C$38*SIN(2*PI()*(A143)/Inputs!$C$39)*SIN(2*PI()*(0)/Inputs!$C$40)+-Inputs!$C$41*EXP(-(((0)-Inputs!$C$43)^2)/(2*Inputs!$C$44^2))*EXP(-(((A143)-Inputs!$C$42)^2)/(2*Inputs!$C$45^2)))</x:f>
        <x:v>-14.411183447500017</x:v>
      </x:c>
      <x:c r="Y143" s="40" t="n">
        <x:f>IF(Inputs!$C$27="ON",1,0)*(Inputs!$C$28*EXP(-(((A143)-Inputs!$C$29)^2)/(2*Inputs!$C$31^2))*EXP(-(((Inputs!$C$6)-Inputs!$C$30)^2)/(2*Inputs!$C$32^2))+-Inputs!$C$33*EXP(-(((((A143)-Inputs!$C$34)^2)+(((Inputs!$C$6)-Inputs!$C$35)^2))/(2*Inputs!$C$36^2)))+Inputs!$C$37*(0.55*SIN(2*PI()*(A143)/Inputs!$C$39)+0.35*COS(2*PI()*(Inputs!$C$6)/Inputs!$C$40)+0.2*SIN(2*PI()*((A143)+(Inputs!$C$6))/(0.5*(Inputs!$C$39+Inputs!$C$40))))+Inputs!$C$38*SIN(2*PI()*(A143)/Inputs!$C$39)*SIN(2*PI()*(Inputs!$C$6)/Inputs!$C$40)+-Inputs!$C$41*EXP(-(((Inputs!$C$6)-Inputs!$C$43)^2)/(2*Inputs!$C$44^2))*EXP(-(((A143)-Inputs!$C$42)^2)/(2*Inputs!$C$45^2)))</x:f>
        <x:v>320.76175265071083</x:v>
      </x:c>
      <x:c r="Z143" s="40" t="n">
        <x:f>B143-X143/1000</x:f>
        <x:v>400.1369111834475</x:v>
      </x:c>
      <x:c r="AA143" s="40" t="n">
        <x:f>SQRT(A143^2+Inputs!$C$6^2+(B143-Y143/1000)^2)</x:f>
        <x:v>400.72020151921714</x:v>
      </x:c>
      <x:c r="AB143" s="40" t="n">
        <x:f>(AA143-Z143)*1000</x:f>
        <x:v>583.2903357696182</x:v>
      </x:c>
      <x:c r="AC143" s="40" t="n">
        <x:f>AB143/Inputs!$C$12</x:f>
        <x:v>327.691199870572</x:v>
      </x:c>
      <x:c r="AD143" s="40" t="n">
        <x:f>2*AB143/Inputs!$C$21*1000000</x:f>
        <x:v>3.89129426177638</x:v>
      </x:c>
      <x:c r="AE143" s="40" t="n">
        <x:f>DEGREES(ATAN(H143/(B143-Y143/1000)))</x:f>
        <x:v>3.879992579650518</x:v>
      </x:c>
      <x:c r="AF143" s="40" t="n">
        <x:f>DEGREES((2*PI()/Inputs!$C$13)*Inputs!$C$15*SIN(RADIANS(AE143)))</x:f>
        <x:v>24.36008392968521</x:v>
      </x:c>
      <x:c r="AG143" s="40" t="n">
        <x:f>(Z143/AA143)^4</x:f>
        <x:v>0.9941902803155722</x:v>
      </x:c>
      <x:c r="AH143" s="40" t="n">
        <x:f>10*LOG10(AG143)</x:f>
        <x:v>-0.0253048704890761</x:v>
      </x:c>
      <x:c r="AI143" s="40" t="n">
        <x:f>AC143-F143</x:f>
        <x:v>-187.88670081637218</x:v>
      </x:c>
      <x:c r="AJ143" s="40" t="n">
        <x:f>AD143-G143</x:f>
        <x:v>-2.231132361929815</x:v>
      </x:c>
      <x:c r="AK143" s="40" t="n">
        <x:f>Y143-X143</x:f>
        <x:v>335.17293609821087</x:v>
      </x:c>
      <x:c r="AL143" s="40" t="n">
        <x:f>1000*(AA144-AA142)/(A144-A142)*Inputs!$C$11</x:f>
        <x:v>299.3571176880323</x:v>
      </x:c>
      <x:c r="AM143" s="40" t="n">
        <x:f>-2*AL143/Inputs!$C$13</x:f>
        <x:v>-119.74284707521292</x:v>
      </x:c>
      <x:c r="AN143" s="40" t="n">
        <x:f>-2*AL143/Inputs!$C$14</x:f>
        <x:v>-17.97940646774969</x:v>
      </x:c>
      <x:c r="AO143" s="40" t="n">
        <x:f>ABS(AM143)</x:f>
        <x:v>119.74284707521292</x:v>
      </x:c>
      <x:c r="AP143" s="40" t="n">
        <x:f>ABS(AN143)</x:f>
        <x:v>17.97940646774969</x:v>
      </x:c>
      <x:c r="AQ143" s="40" t="n">
        <x:f>IF(Inputs!$C$27="ON",Inputs!$C$46/Inputs!$C$12,0)</x:f>
        <x:v>42.13483146067416</x:v>
      </x:c>
      <x:c r="AR143" s="40" t="n">
        <x:f>AC143-AQ143</x:f>
        <x:v>285.55636840989786</x:v>
      </x:c>
      <x:c r="AS143" s="40" t="n">
        <x:f>AC143+AQ143</x:f>
        <x:v>369.82603133124616</x:v>
      </x:c>
    </x:row>
    <x:row r="144">
      <x:c r="A144" s="40" t="n">
        <x:f>Inputs!$C$7+142*(Inputs!$C$8-Inputs!$C$7)/240</x:f>
        <x:v>11</x:v>
      </x:c>
      <x:c r="B144" s="40" t="n">
        <x:f>Inputs!$C$5+Inputs!$C$9*(A144/Inputs!$C$10)^2</x:f>
        <x:v>400.13444444444445</x:v>
      </x:c>
      <x:c r="C144" s="40" t="n">
        <x:f>B144</x:f>
        <x:v>400.13444444444445</x:v>
      </x:c>
      <x:c r="D144" s="40" t="n">
        <x:f>SQRT(A144^2+Inputs!$C$6^2+B144^2)</x:f>
        <x:v>401.0655477984418</x:v>
      </x:c>
      <x:c r="E144" s="40" t="n">
        <x:f>(D144-C144)*1000</x:f>
        <x:v>931.1033539973437</x:v>
      </x:c>
      <x:c r="F144" s="40" t="n">
        <x:f>E144/Inputs!$C$12</x:f>
        <x:v>523.09177190862</x:v>
      </x:c>
      <x:c r="G144" s="40" t="n">
        <x:f>2*E144/Inputs!$C$21*1000000</x:f>
        <x:v>6.211652956241772</x:v>
      </x:c>
      <x:c r="H144" s="40" t="n">
        <x:f>SQRT(A144^2+Inputs!$C$6^2)</x:f>
        <x:v>27.313000567495326</x:v>
      </x:c>
      <x:c r="I144" s="40" t="n">
        <x:f>DEGREES(ATAN(H144/B144))</x:f>
        <x:v>3.904927307448456</x:v>
      </x:c>
      <x:c r="J144" s="40" t="n">
        <x:f>DEGREES((2*PI()/Inputs!$C$13)*Inputs!$C$15*SIN(RADIANS(I144)))</x:f>
        <x:v>24.516392041831022</x:v>
      </x:c>
      <x:c r="K144" s="40" t="n">
        <x:f>(C144/D144)^4</x:f>
        <x:v>0.9907459921549117</x:v>
      </x:c>
      <x:c r="L144" s="40" t="n">
        <x:f>10*LOG10(K144)</x:f>
        <x:v>-0.0403767583306295</x:v>
      </x:c>
      <x:c r="M144" s="40" t="n">
        <x:f>2*(Inputs!$C$9/(Inputs!$C$10^2))*A144</x:f>
        <x:v>0.024444444444444446</x:v>
      </x:c>
      <x:c r="N144" s="40" t="n">
        <x:f>M144*Inputs!$C$11</x:f>
        <x:v>0.09777777777777778</x:v>
      </x:c>
      <x:c r="O144" s="40" t="n">
        <x:f>1000*((A144*Inputs!$C$11)+(B144*N144))/D144</x:f>
        <x:v>207.25853229332512</x:v>
      </x:c>
      <x:c r="P144" s="40" t="n">
        <x:f>-2*O144/Inputs!$C$13</x:f>
        <x:v>-82.90341291733004</x:v>
      </x:c>
      <x:c r="Q144" s="40" t="n">
        <x:f>-2*O144/Inputs!$C$14</x:f>
        <x:v>-12.447959897497006</x:v>
      </x:c>
      <x:c r="R144" s="40" t="n">
        <x:f>F144-Inputs!$C$16/2</x:f>
        <x:v>508.09177190862</x:v>
      </x:c>
      <x:c r="S144" s="40" t="n">
        <x:f>F144+Inputs!$C$16/2</x:f>
        <x:v>538.09177190862</x:v>
      </x:c>
      <x:c r="T144" s="40" t="n">
        <x:f>F144-Inputs!$C$17/2</x:f>
        <x:v>373.09177190862</x:v>
      </x:c>
      <x:c r="U144" s="40" t="n">
        <x:f>F144+Inputs!$C$17/2</x:f>
        <x:v>673.09177190862</x:v>
      </x:c>
      <x:c r="V144" s="40" t="n">
        <x:f>ABS(P144)</x:f>
        <x:v>82.90341291733004</x:v>
      </x:c>
      <x:c r="W144" s="40" t="n">
        <x:f>ABS(Q144)</x:f>
        <x:v>12.447959897497006</x:v>
      </x:c>
      <x:c r="X144" s="40" t="n">
        <x:f>IF(Inputs!$C$27="ON",1,0)*(Inputs!$C$28*EXP(-(((A144)-Inputs!$C$29)^2)/(2*Inputs!$C$31^2))*EXP(-(((0)-Inputs!$C$30)^2)/(2*Inputs!$C$32^2))+-Inputs!$C$33*EXP(-(((((A144)-Inputs!$C$34)^2)+(((0)-Inputs!$C$35)^2))/(2*Inputs!$C$36^2)))+Inputs!$C$37*(0.55*SIN(2*PI()*(A144)/Inputs!$C$39)+0.35*COS(2*PI()*(0)/Inputs!$C$40)+0.2*SIN(2*PI()*((A144)+(0))/(0.5*(Inputs!$C$39+Inputs!$C$40))))+Inputs!$C$38*SIN(2*PI()*(A144)/Inputs!$C$39)*SIN(2*PI()*(0)/Inputs!$C$40)+-Inputs!$C$41*EXP(-(((0)-Inputs!$C$43)^2)/(2*Inputs!$C$44^2))*EXP(-(((A144)-Inputs!$C$42)^2)/(2*Inputs!$C$45^2)))</x:f>
        <x:v>-20.04527529946408</x:v>
      </x:c>
      <x:c r="Y144" s="40" t="n">
        <x:f>IF(Inputs!$C$27="ON",1,0)*(Inputs!$C$28*EXP(-(((A144)-Inputs!$C$29)^2)/(2*Inputs!$C$31^2))*EXP(-(((Inputs!$C$6)-Inputs!$C$30)^2)/(2*Inputs!$C$32^2))+-Inputs!$C$33*EXP(-(((((A144)-Inputs!$C$34)^2)+(((Inputs!$C$6)-Inputs!$C$35)^2))/(2*Inputs!$C$36^2)))+Inputs!$C$37*(0.55*SIN(2*PI()*(A144)/Inputs!$C$39)+0.35*COS(2*PI()*(Inputs!$C$6)/Inputs!$C$40)+0.2*SIN(2*PI()*((A144)+(Inputs!$C$6))/(0.5*(Inputs!$C$39+Inputs!$C$40))))+Inputs!$C$38*SIN(2*PI()*(A144)/Inputs!$C$39)*SIN(2*PI()*(Inputs!$C$6)/Inputs!$C$40)+-Inputs!$C$41*EXP(-(((Inputs!$C$6)-Inputs!$C$43)^2)/(2*Inputs!$C$44^2))*EXP(-(((A144)-Inputs!$C$42)^2)/(2*Inputs!$C$45^2)))</x:f>
        <x:v>308.1911081530601</x:v>
      </x:c>
      <x:c r="Z144" s="40" t="n">
        <x:f>B144-X144/1000</x:f>
        <x:v>400.15448971974394</x:v>
      </x:c>
      <x:c r="AA144" s="40" t="n">
        <x:f>SQRT(A144^2+Inputs!$C$6^2+(B144-Y144/1000)^2)</x:f>
        <x:v>400.7580727283435</x:v>
      </x:c>
      <x:c r="AB144" s="40" t="n">
        <x:f>(AA144-Z144)*1000</x:f>
        <x:v>603.5830085995713</x:v>
      </x:c>
      <x:c r="AC144" s="40" t="n">
        <x:f>AB144/Inputs!$C$12</x:f>
        <x:v>339.0915778649277</x:v>
      </x:c>
      <x:c r="AD144" s="40" t="n">
        <x:f>2*AB144/Inputs!$C$21*1000000</x:f>
        <x:v>4.026672402809888</x:v>
      </x:c>
      <x:c r="AE144" s="40" t="n">
        <x:f>DEGREES(ATAN(H144/(B144-Y144/1000)))</x:f>
        <x:v>3.907927951732749</x:v>
      </x:c>
      <x:c r="AF144" s="40" t="n">
        <x:f>DEGREES((2*PI()/Inputs!$C$13)*Inputs!$C$15*SIN(RADIANS(AE144)))</x:f>
        <x:v>24.53520184224327</x:v>
      </x:c>
      <x:c r="AG144" s="40" t="n">
        <x:f>(Z144/AA144)^4</x:f>
        <x:v>0.993989183691948</x:v>
      </x:c>
      <x:c r="AH144" s="40" t="n">
        <x:f>10*LOG10(AG144)</x:f>
        <x:v>-0.026183414462075</x:v>
      </x:c>
      <x:c r="AI144" s="40" t="n">
        <x:f>AC144-F144</x:f>
        <x:v>-184.00019404369232</x:v>
      </x:c>
      <x:c r="AJ144" s="40" t="n">
        <x:f>AD144-G144</x:f>
        <x:v>-2.184980553431884</x:v>
      </x:c>
      <x:c r="AK144" s="40" t="n">
        <x:f>Y144-X144</x:f>
        <x:v>328.2363834525242</x:v>
      </x:c>
      <x:c r="AL144" s="40" t="n">
        <x:f>1000*(AA145-AA143)/(A145-A143)*Inputs!$C$11</x:f>
        <x:v>305.2918921844139</x:v>
      </x:c>
      <x:c r="AM144" s="40" t="n">
        <x:f>-2*AL144/Inputs!$C$13</x:f>
        <x:v>-122.11675687376555</x:v>
      </x:c>
      <x:c r="AN144" s="40" t="n">
        <x:f>-2*AL144/Inputs!$C$14</x:f>
        <x:v>-18.33584938044528</x:v>
      </x:c>
      <x:c r="AO144" s="40" t="n">
        <x:f>ABS(AM144)</x:f>
        <x:v>122.11675687376555</x:v>
      </x:c>
      <x:c r="AP144" s="40" t="n">
        <x:f>ABS(AN144)</x:f>
        <x:v>18.33584938044528</x:v>
      </x:c>
      <x:c r="AQ144" s="40" t="n">
        <x:f>IF(Inputs!$C$27="ON",Inputs!$C$46/Inputs!$C$12,0)</x:f>
        <x:v>42.13483146067416</x:v>
      </x:c>
      <x:c r="AR144" s="40" t="n">
        <x:f>AC144-AQ144</x:f>
        <x:v>296.9567464042535</x:v>
      </x:c>
      <x:c r="AS144" s="40" t="n">
        <x:f>AC144+AQ144</x:f>
        <x:v>381.2264093256018</x:v>
      </x:c>
    </x:row>
    <x:row r="145">
      <x:c r="A145" s="40" t="n">
        <x:f>Inputs!$C$7+143*(Inputs!$C$8-Inputs!$C$7)/240</x:f>
        <x:v>11.5</x:v>
      </x:c>
      <x:c r="B145" s="40" t="n">
        <x:f>Inputs!$C$5+Inputs!$C$9*(A145/Inputs!$C$10)^2</x:f>
        <x:v>400.14694444444444</x:v>
      </x:c>
      <x:c r="C145" s="40" t="n">
        <x:f>B145</x:f>
        <x:v>400.14694444444444</x:v>
      </x:c>
      <x:c r="D145" s="40" t="n">
        <x:f>SQRT(A145^2+Inputs!$C$6^2+B145^2)</x:f>
        <x:v>401.0920432372416</x:v>
      </x:c>
      <x:c r="E145" s="40" t="n">
        <x:f>(D145-C145)*1000</x:f>
        <x:v>945.0987927971823</x:v>
      </x:c>
      <x:c r="F145" s="40" t="n">
        <x:f>E145/Inputs!$C$12</x:f>
        <x:v>530.9543779759451</x:v>
      </x:c>
      <x:c r="G145" s="40" t="n">
        <x:f>2*E145/Inputs!$C$21*1000000</x:f>
        <x:v>6.3050204738451585</x:v>
      </x:c>
      <x:c r="H145" s="40" t="n">
        <x:f>SQRT(A145^2+Inputs!$C$6^2)</x:f>
        <x:v>27.518175811634027</x:v>
      </x:c>
      <x:c r="I145" s="40" t="n">
        <x:f>DEGREES(ATAN(H145/B145))</x:f>
        <x:v>3.934046834415676</x:v>
      </x:c>
      <x:c r="J145" s="40" t="n">
        <x:f>DEGREES((2*PI()/Inputs!$C$13)*Inputs!$C$15*SIN(RADIANS(I145)))</x:f>
        <x:v>24.69892748864289</x:v>
      </x:c>
      <x:c r="K145" s="40" t="n">
        <x:f>(C145/D145)^4</x:f>
        <x:v>0.9906080050330984</x:v>
      </x:c>
      <x:c r="L145" s="40" t="n">
        <x:f>10*LOG10(K145)</x:f>
        <x:v>-0.0409816683644662</x:v>
      </x:c>
      <x:c r="M145" s="40" t="n">
        <x:f>2*(Inputs!$C$9/(Inputs!$C$10^2))*A145</x:f>
        <x:v>0.025555555555555557</x:v>
      </x:c>
      <x:c r="N145" s="40" t="n">
        <x:f>M145*Inputs!$C$11</x:f>
        <x:v>0.10222222222222223</x:v>
      </x:c>
      <x:c r="O145" s="40" t="n">
        <x:f>1000*((A145*Inputs!$C$11)+(B145*N145))/D145</x:f>
        <x:v>216.66824695682254</x:v>
      </x:c>
      <x:c r="P145" s="40" t="n">
        <x:f>-2*O145/Inputs!$C$13</x:f>
        <x:v>-86.66729878272902</x:v>
      </x:c>
      <x:c r="Q145" s="40" t="n">
        <x:f>-2*O145/Inputs!$C$14</x:f>
        <x:v>-13.013107925334689</x:v>
      </x:c>
      <x:c r="R145" s="40" t="n">
        <x:f>F145-Inputs!$C$16/2</x:f>
        <x:v>515.9543779759451</x:v>
      </x:c>
      <x:c r="S145" s="40" t="n">
        <x:f>F145+Inputs!$C$16/2</x:f>
        <x:v>545.9543779759451</x:v>
      </x:c>
      <x:c r="T145" s="40" t="n">
        <x:f>F145-Inputs!$C$17/2</x:f>
        <x:v>380.95437797594514</x:v>
      </x:c>
      <x:c r="U145" s="40" t="n">
        <x:f>F145+Inputs!$C$17/2</x:f>
        <x:v>680.9543779759451</x:v>
      </x:c>
      <x:c r="V145" s="40" t="n">
        <x:f>ABS(P145)</x:f>
        <x:v>86.66729878272902</x:v>
      </x:c>
      <x:c r="W145" s="40" t="n">
        <x:f>ABS(Q145)</x:f>
        <x:v>13.013107925334689</x:v>
      </x:c>
      <x:c r="X145" s="40" t="n">
        <x:f>IF(Inputs!$C$27="ON",1,0)*(Inputs!$C$28*EXP(-(((A145)-Inputs!$C$29)^2)/(2*Inputs!$C$31^2))*EXP(-(((0)-Inputs!$C$30)^2)/(2*Inputs!$C$32^2))+-Inputs!$C$33*EXP(-(((((A145)-Inputs!$C$34)^2)+(((0)-Inputs!$C$35)^2))/(2*Inputs!$C$36^2)))+Inputs!$C$37*(0.55*SIN(2*PI()*(A145)/Inputs!$C$39)+0.35*COS(2*PI()*(0)/Inputs!$C$40)+0.2*SIN(2*PI()*((A145)+(0))/(0.5*(Inputs!$C$39+Inputs!$C$40))))+Inputs!$C$38*SIN(2*PI()*(A145)/Inputs!$C$39)*SIN(2*PI()*(0)/Inputs!$C$40)+-Inputs!$C$41*EXP(-(((0)-Inputs!$C$43)^2)/(2*Inputs!$C$44^2))*EXP(-(((A145)-Inputs!$C$42)^2)/(2*Inputs!$C$45^2)))</x:f>
        <x:v>-24.42220148620283</x:v>
      </x:c>
      <x:c r="Y145" s="40" t="n">
        <x:f>IF(Inputs!$C$27="ON",1,0)*(Inputs!$C$28*EXP(-(((A145)-Inputs!$C$29)^2)/(2*Inputs!$C$31^2))*EXP(-(((Inputs!$C$6)-Inputs!$C$30)^2)/(2*Inputs!$C$32^2))+-Inputs!$C$33*EXP(-(((((A145)-Inputs!$C$34)^2)+(((Inputs!$C$6)-Inputs!$C$35)^2))/(2*Inputs!$C$36^2)))+Inputs!$C$37*(0.55*SIN(2*PI()*(A145)/Inputs!$C$39)+0.35*COS(2*PI()*(Inputs!$C$6)/Inputs!$C$40)+0.2*SIN(2*PI()*((A145)+(Inputs!$C$6))/(0.5*(Inputs!$C$39+Inputs!$C$40))))+Inputs!$C$38*SIN(2*PI()*(A145)/Inputs!$C$39)*SIN(2*PI()*(Inputs!$C$6)/Inputs!$C$40)+-Inputs!$C$41*EXP(-(((Inputs!$C$6)-Inputs!$C$43)^2)/(2*Inputs!$C$44^2))*EXP(-(((A145)-Inputs!$C$42)^2)/(2*Inputs!$C$45^2)))</x:f>
        <x:v>296.21724105749917</x:v>
      </x:c>
      <x:c r="Z145" s="40" t="n">
        <x:f>B145-X145/1000</x:f>
        <x:v>400.1713666459306</x:v>
      </x:c>
      <x:c r="AA145" s="40" t="n">
        <x:f>SQRT(A145^2+Inputs!$C$6^2+(B145-Y145/1000)^2)</x:f>
        <x:v>400.79652449226325</x:v>
      </x:c>
      <x:c r="AB145" s="40" t="n">
        <x:f>(AA145-Z145)*1000</x:f>
        <x:v>625.1578463326268</x:v>
      </x:c>
      <x:c r="AC145" s="40" t="n">
        <x:f>AB145/Inputs!$C$12</x:f>
        <x:v>351.2122732205769</x:v>
      </x:c>
      <x:c r="AD145" s="40" t="n">
        <x:f>2*AB145/Inputs!$C$21*1000000</x:f>
        <x:v>4.170604227359361</x:v>
      </x:c>
      <x:c r="AE145" s="40" t="n">
        <x:f>DEGREES(ATAN(H145/(B145-Y145/1000)))</x:f>
        <x:v>3.9369520917932674</x:v>
      </x:c>
      <x:c r="AF145" s="40" t="n">
        <x:f>DEGREES((2*PI()/Inputs!$C$13)*Inputs!$C$15*SIN(RADIANS(AE145)))</x:f>
        <x:v>24.717138714558583</x:v>
      </x:c>
      <x:c r="AG145" s="40" t="n">
        <x:f>(Z145/AA145)^4</x:f>
        <x:v>0.9937754281039564</x:v>
      </x:c>
      <x:c r="AH145" s="40" t="n">
        <x:f>10*LOG10(AG145)</x:f>
        <x:v>-0.0271174573778981</x:v>
      </x:c>
      <x:c r="AI145" s="40" t="n">
        <x:f>AC145-F145</x:f>
        <x:v>-179.74210475536825</x:v>
      </x:c>
      <x:c r="AJ145" s="40" t="n">
        <x:f>AD145-G145</x:f>
        <x:v>-2.134416246485798</x:v>
      </x:c>
      <x:c r="AK145" s="40" t="n">
        <x:f>Y145-X145</x:f>
        <x:v>320.639442543702</x:v>
      </x:c>
      <x:c r="AL145" s="40" t="n">
        <x:f>1000*(AA146-AA144)/(A146-A144)*Inputs!$C$11</x:f>
        <x:v>308.713749214121</x:v>
      </x:c>
      <x:c r="AM145" s="40" t="n">
        <x:f>-2*AL145/Inputs!$C$13</x:f>
        <x:v>-123.48549968564839</x:v>
      </x:c>
      <x:c r="AN145" s="40" t="n">
        <x:f>-2*AL145/Inputs!$C$14</x:f>
        <x:v>-18.54136631916643</x:v>
      </x:c>
      <x:c r="AO145" s="40" t="n">
        <x:f>ABS(AM145)</x:f>
        <x:v>123.48549968564839</x:v>
      </x:c>
      <x:c r="AP145" s="40" t="n">
        <x:f>ABS(AN145)</x:f>
        <x:v>18.54136631916643</x:v>
      </x:c>
      <x:c r="AQ145" s="40" t="n">
        <x:f>IF(Inputs!$C$27="ON",Inputs!$C$46/Inputs!$C$12,0)</x:f>
        <x:v>42.13483146067416</x:v>
      </x:c>
      <x:c r="AR145" s="40" t="n">
        <x:f>AC145-AQ145</x:f>
        <x:v>309.07744175990274</x:v>
      </x:c>
      <x:c r="AS145" s="40" t="n">
        <x:f>AC145+AQ145</x:f>
        <x:v>393.34710468125104</x:v>
      </x:c>
    </x:row>
    <x:row r="146">
      <x:c r="A146" s="40" t="n">
        <x:f>Inputs!$C$7+144*(Inputs!$C$8-Inputs!$C$7)/240</x:f>
        <x:v>12</x:v>
      </x:c>
      <x:c r="B146" s="40" t="n">
        <x:f>Inputs!$C$5+Inputs!$C$9*(A146/Inputs!$C$10)^2</x:f>
        <x:v>400.16</x:v>
      </x:c>
      <x:c r="C146" s="40" t="n">
        <x:f>B146</x:f>
        <x:v>400.16</x:v>
      </x:c>
      <x:c r="D146" s="40" t="n">
        <x:f>SQRT(A146^2+Inputs!$C$6^2+B146^2)</x:f>
        <x:v>401.11971479846267</x:v>
      </x:c>
      <x:c r="E146" s="40" t="n">
        <x:f>(D146-C146)*1000</x:f>
        <x:v>959.7147984626417</x:v>
      </x:c>
      <x:c r="F146" s="40" t="n">
        <x:f>E146/Inputs!$C$12</x:f>
        <x:v>539.1656171138436</x:v>
      </x:c>
      <x:c r="G146" s="40" t="n">
        <x:f>2*E146/Inputs!$C$21*1000000</x:f>
        <x:v>6.402527967949358</x:v>
      </x:c>
      <x:c r="H146" s="40" t="n">
        <x:f>SQRT(A146^2+Inputs!$C$6^2)</x:f>
        <x:v>27.730849247724095</x:v>
      </x:c>
      <x:c r="I146" s="40" t="n">
        <x:f>DEGREES(ATAN(H146/B146))</x:f>
        <x:v>3.964225499851384</x:v>
      </x:c>
      <x:c r="J146" s="40" t="n">
        <x:f>DEGREES((2*PI()/Inputs!$C$13)*Inputs!$C$15*SIN(RADIANS(I146)))</x:f>
        <x:v>24.888095401136177</x:v>
      </x:c>
      <x:c r="K146" s="40" t="n">
        <x:f>(C146/D146)^4</x:f>
        <x:v>0.9904639343466405</x:v>
      </x:c>
      <x:c r="L146" s="40" t="n">
        <x:f>10*LOG10(K146)</x:f>
        <x:v>-0.0416133375431493</x:v>
      </x:c>
      <x:c r="M146" s="40" t="n">
        <x:f>2*(Inputs!$C$9/(Inputs!$C$10^2))*A146</x:f>
        <x:v>0.026666666666666665</x:v>
      </x:c>
      <x:c r="N146" s="40" t="n">
        <x:f>M146*Inputs!$C$11</x:f>
        <x:v>0.10666666666666666</x:v>
      </x:c>
      <x:c r="O146" s="40" t="n">
        <x:f>1000*((A146*Inputs!$C$11)+(B146*N146))/D146</x:f>
        <x:v>226.07648038166408</x:v>
      </x:c>
      <x:c r="P146" s="40" t="n">
        <x:f>-2*O146/Inputs!$C$13</x:f>
        <x:v>-90.43059215266564</x:v>
      </x:c>
      <x:c r="Q146" s="40" t="n">
        <x:f>-2*O146/Inputs!$C$14</x:f>
        <x:v>-13.578166989889736</x:v>
      </x:c>
      <x:c r="R146" s="40" t="n">
        <x:f>F146-Inputs!$C$16/2</x:f>
        <x:v>524.1656171138436</x:v>
      </x:c>
      <x:c r="S146" s="40" t="n">
        <x:f>F146+Inputs!$C$16/2</x:f>
        <x:v>554.1656171138436</x:v>
      </x:c>
      <x:c r="T146" s="40" t="n">
        <x:f>F146-Inputs!$C$17/2</x:f>
        <x:v>389.1656171138436</x:v>
      </x:c>
      <x:c r="U146" s="40" t="n">
        <x:f>F146+Inputs!$C$17/2</x:f>
        <x:v>689.1656171138436</x:v>
      </x:c>
      <x:c r="V146" s="40" t="n">
        <x:f>ABS(P146)</x:f>
        <x:v>90.43059215266564</x:v>
      </x:c>
      <x:c r="W146" s="40" t="n">
        <x:f>ABS(Q146)</x:f>
        <x:v>13.578166989889736</x:v>
      </x:c>
      <x:c r="X146" s="40" t="n">
        <x:f>IF(Inputs!$C$27="ON",1,0)*(Inputs!$C$28*EXP(-(((A146)-Inputs!$C$29)^2)/(2*Inputs!$C$31^2))*EXP(-(((0)-Inputs!$C$30)^2)/(2*Inputs!$C$32^2))+-Inputs!$C$33*EXP(-(((((A146)-Inputs!$C$34)^2)+(((0)-Inputs!$C$35)^2))/(2*Inputs!$C$36^2)))+Inputs!$C$37*(0.55*SIN(2*PI()*(A146)/Inputs!$C$39)+0.35*COS(2*PI()*(0)/Inputs!$C$40)+0.2*SIN(2*PI()*((A146)+(0))/(0.5*(Inputs!$C$39+Inputs!$C$40))))+Inputs!$C$38*SIN(2*PI()*(A146)/Inputs!$C$39)*SIN(2*PI()*(0)/Inputs!$C$40)+-Inputs!$C$41*EXP(-(((0)-Inputs!$C$43)^2)/(2*Inputs!$C$44^2))*EXP(-(((A146)-Inputs!$C$42)^2)/(2*Inputs!$C$45^2)))</x:f>
        <x:v>-27.406806630194353</x:v>
      </x:c>
      <x:c r="Y146" s="40" t="n">
        <x:f>IF(Inputs!$C$27="ON",1,0)*(Inputs!$C$28*EXP(-(((A146)-Inputs!$C$29)^2)/(2*Inputs!$C$31^2))*EXP(-(((Inputs!$C$6)-Inputs!$C$30)^2)/(2*Inputs!$C$32^2))+-Inputs!$C$33*EXP(-(((((A146)-Inputs!$C$34)^2)+(((Inputs!$C$6)-Inputs!$C$35)^2))/(2*Inputs!$C$36^2)))+Inputs!$C$37*(0.55*SIN(2*PI()*(A146)/Inputs!$C$39)+0.35*COS(2*PI()*(Inputs!$C$6)/Inputs!$C$40)+0.2*SIN(2*PI()*((A146)+(Inputs!$C$6))/(0.5*(Inputs!$C$39+Inputs!$C$40))))+Inputs!$C$38*SIN(2*PI()*(A146)/Inputs!$C$39)*SIN(2*PI()*(Inputs!$C$6)/Inputs!$C$40)+-Inputs!$C$41*EXP(-(((Inputs!$C$6)-Inputs!$C$43)^2)/(2*Inputs!$C$44^2))*EXP(-(((A146)-Inputs!$C$42)^2)/(2*Inputs!$C$45^2)))</x:f>
        <x:v>285.1463557287653</x:v>
      </x:c>
      <x:c r="Z146" s="40" t="n">
        <x:f>B146-X146/1000</x:f>
        <x:v>400.18740680663024</x:v>
      </x:c>
      <x:c r="AA146" s="40" t="n">
        <x:f>SQRT(A146^2+Inputs!$C$6^2+(B146-Y146/1000)^2)</x:f>
        <x:v>400.83525116564704</x:v>
      </x:c>
      <x:c r="AB146" s="40" t="n">
        <x:f>(AA146-Z146)*1000</x:f>
        <x:v>647.8443590168013</x:v>
      </x:c>
      <x:c r="AC146" s="40" t="n">
        <x:f>AB146/Inputs!$C$12</x:f>
        <x:v>363.9575050656187</x:v>
      </x:c>
      <x:c r="AD146" s="40" t="n">
        <x:f>2*AB146/Inputs!$C$21*1000000</x:f>
        <x:v>4.321952348893322</x:v>
      </x:c>
      <x:c r="AE146" s="40" t="n">
        <x:f>DEGREES(ATAN(H146/(B146-Y146/1000)))</x:f>
        <x:v>3.967043322866086</x:v>
      </x:c>
      <x:c r="AF146" s="40" t="n">
        <x:f>DEGREES((2*PI()/Inputs!$C$13)*Inputs!$C$15*SIN(RADIANS(AE146)))</x:f>
        <x:v>24.905757914627895</x:v>
      </x:c>
      <x:c r="AG146" s="40" t="n">
        <x:f>(Z146/AA146)^4</x:f>
        <x:v>0.9935507124714077</x:v>
      </x:c>
      <x:c r="AH146" s="40" t="n">
        <x:f>10*LOG10(AG146)</x:f>
        <x:v>-0.028099608798710797</x:v>
      </x:c>
      <x:c r="AI146" s="40" t="n">
        <x:f>AC146-F146</x:f>
        <x:v>-175.2081120482249</x:v>
      </x:c>
      <x:c r="AJ146" s="40" t="n">
        <x:f>AD146-G146</x:f>
        <x:v>-2.0805756190560363</x:v>
      </x:c>
      <x:c r="AK146" s="40" t="n">
        <x:f>Y146-X146</x:f>
        <x:v>312.55316235895964</x:v>
      </x:c>
      <x:c r="AL146" s="40" t="n">
        <x:f>1000*(AA147-AA145)/(A147-A145)*Inputs!$C$11</x:f>
        <x:v>309.80033343348623</x:v>
      </x:c>
      <x:c r="AM146" s="40" t="n">
        <x:f>-2*AL146/Inputs!$C$13</x:f>
        <x:v>-123.92013337339449</x:v>
      </x:c>
      <x:c r="AN146" s="40" t="n">
        <x:f>-2*AL146/Inputs!$C$14</x:f>
        <x:v>-18.606626632641817</x:v>
      </x:c>
      <x:c r="AO146" s="40" t="n">
        <x:f>ABS(AM146)</x:f>
        <x:v>123.92013337339449</x:v>
      </x:c>
      <x:c r="AP146" s="40" t="n">
        <x:f>ABS(AN146)</x:f>
        <x:v>18.606626632641817</x:v>
      </x:c>
      <x:c r="AQ146" s="40" t="n">
        <x:f>IF(Inputs!$C$27="ON",Inputs!$C$46/Inputs!$C$12,0)</x:f>
        <x:v>42.13483146067416</x:v>
      </x:c>
      <x:c r="AR146" s="40" t="n">
        <x:f>AC146-AQ146</x:f>
        <x:v>321.82267360494455</x:v>
      </x:c>
      <x:c r="AS146" s="40" t="n">
        <x:f>AC146+AQ146</x:f>
        <x:v>406.09233652629285</x:v>
      </x:c>
    </x:row>
    <x:row r="147">
      <x:c r="A147" s="40" t="n">
        <x:f>Inputs!$C$7+145*(Inputs!$C$8-Inputs!$C$7)/240</x:f>
        <x:v>12.5</x:v>
      </x:c>
      <x:c r="B147" s="40" t="n">
        <x:f>Inputs!$C$5+Inputs!$C$9*(A147/Inputs!$C$10)^2</x:f>
        <x:v>400.1736111111111</x:v>
      </x:c>
      <x:c r="C147" s="40" t="n">
        <x:f>B147</x:f>
        <x:v>400.1736111111111</x:v>
      </x:c>
      <x:c r="D147" s="40" t="n">
        <x:f>SQRT(A147^2+Inputs!$C$6^2+B147^2)</x:f>
        <x:v>401.1485622929575</x:v>
      </x:c>
      <x:c r="E147" s="40" t="n">
        <x:f>(D147-C147)*1000</x:f>
        <x:v>974.951181846393</x:v>
      </x:c>
      <x:c r="F147" s="40" t="n">
        <x:f>E147/Inputs!$C$12</x:f>
        <x:v>547.7253830597713</x:v>
      </x:c>
      <x:c r="G147" s="40" t="n">
        <x:f>2*E147/Inputs!$C$21*1000000</x:f>
        <x:v>6.504174176699221</x:v>
      </x:c>
      <x:c r="H147" s="40" t="n">
        <x:f>SQRT(A147^2+Inputs!$C$6^2)</x:f>
        <x:v>27.95084971874737</x:v>
      </x:c>
      <x:c r="I147" s="40" t="n">
        <x:f>DEGREES(ATAN(H147/B147))</x:f>
        <x:v>3.9954384393380815</x:v>
      </x:c>
      <x:c r="J147" s="40" t="n">
        <x:f>DEGREES((2*PI()/Inputs!$C$13)*Inputs!$C$15*SIN(RADIANS(I147)))</x:f>
        <x:v>25.083739154474607</x:v>
      </x:c>
      <x:c r="K147" s="40" t="n">
        <x:f>(C147/D147)^4</x:f>
        <x:v>0.9903137864866547</x:v>
      </x:c>
      <x:c r="L147" s="40" t="n">
        <x:f>10*LOG10(K147)</x:f>
        <x:v>-0.0422717495042741</x:v>
      </x:c>
      <x:c r="M147" s="40" t="n">
        <x:f>2*(Inputs!$C$9/(Inputs!$C$10^2))*A147</x:f>
        <x:v>0.027777777777777776</x:v>
      </x:c>
      <x:c r="N147" s="40" t="n">
        <x:f>M147*Inputs!$C$11</x:f>
        <x:v>0.1111111111111111</x:v>
      </x:c>
      <x:c r="O147" s="40" t="n">
        <x:f>1000*((A147*Inputs!$C$11)+(B147*N147))/D147</x:f>
        <x:v>235.48316869926774</x:v>
      </x:c>
      <x:c r="P147" s="40" t="n">
        <x:f>-2*O147/Inputs!$C$13</x:f>
        <x:v>-94.19326747970709</x:v>
      </x:c>
      <x:c r="Q147" s="40" t="n">
        <x:f>-2*O147/Inputs!$C$14</x:f>
        <x:v>-14.143133255211277</x:v>
      </x:c>
      <x:c r="R147" s="40" t="n">
        <x:f>F147-Inputs!$C$16/2</x:f>
        <x:v>532.7253830597713</x:v>
      </x:c>
      <x:c r="S147" s="40" t="n">
        <x:f>F147+Inputs!$C$16/2</x:f>
        <x:v>562.7253830597713</x:v>
      </x:c>
      <x:c r="T147" s="40" t="n">
        <x:f>F147-Inputs!$C$17/2</x:f>
        <x:v>397.7253830597713</x:v>
      </x:c>
      <x:c r="U147" s="40" t="n">
        <x:f>F147+Inputs!$C$17/2</x:f>
        <x:v>697.7253830597713</x:v>
      </x:c>
      <x:c r="V147" s="40" t="n">
        <x:f>ABS(P147)</x:f>
        <x:v>94.19326747970709</x:v>
      </x:c>
      <x:c r="W147" s="40" t="n">
        <x:f>ABS(Q147)</x:f>
        <x:v>14.143133255211277</x:v>
      </x:c>
      <x:c r="X147" s="40" t="n">
        <x:f>IF(Inputs!$C$27="ON",1,0)*(Inputs!$C$28*EXP(-(((A147)-Inputs!$C$29)^2)/(2*Inputs!$C$31^2))*EXP(-(((0)-Inputs!$C$30)^2)/(2*Inputs!$C$32^2))+-Inputs!$C$33*EXP(-(((((A147)-Inputs!$C$34)^2)+(((0)-Inputs!$C$35)^2))/(2*Inputs!$C$36^2)))+Inputs!$C$37*(0.55*SIN(2*PI()*(A147)/Inputs!$C$39)+0.35*COS(2*PI()*(0)/Inputs!$C$40)+0.2*SIN(2*PI()*((A147)+(0))/(0.5*(Inputs!$C$39+Inputs!$C$40))))+Inputs!$C$38*SIN(2*PI()*(A147)/Inputs!$C$39)*SIN(2*PI()*(0)/Inputs!$C$40)+-Inputs!$C$41*EXP(-(((0)-Inputs!$C$43)^2)/(2*Inputs!$C$44^2))*EXP(-(((A147)-Inputs!$C$42)^2)/(2*Inputs!$C$45^2)))</x:f>
        <x:v>-28.914112557422595</x:v>
      </x:c>
      <x:c r="Y147" s="40" t="n">
        <x:f>IF(Inputs!$C$27="ON",1,0)*(Inputs!$C$28*EXP(-(((A147)-Inputs!$C$29)^2)/(2*Inputs!$C$31^2))*EXP(-(((Inputs!$C$6)-Inputs!$C$30)^2)/(2*Inputs!$C$32^2))+-Inputs!$C$33*EXP(-(((((A147)-Inputs!$C$34)^2)+(((Inputs!$C$6)-Inputs!$C$35)^2))/(2*Inputs!$C$36^2)))+Inputs!$C$37*(0.55*SIN(2*PI()*(A147)/Inputs!$C$39)+0.35*COS(2*PI()*(Inputs!$C$6)/Inputs!$C$40)+0.2*SIN(2*PI()*((A147)+(Inputs!$C$6))/(0.5*(Inputs!$C$39+Inputs!$C$40))))+Inputs!$C$38*SIN(2*PI()*(A147)/Inputs!$C$39)*SIN(2*PI()*(Inputs!$C$6)/Inputs!$C$40)+-Inputs!$C$41*EXP(-(((Inputs!$C$6)-Inputs!$C$43)^2)/(2*Inputs!$C$44^2))*EXP(-(((A147)-Inputs!$C$42)^2)/(2*Inputs!$C$45^2)))</x:f>
        <x:v>275.2571609402307</x:v>
      </x:c>
      <x:c r="Z147" s="40" t="n">
        <x:f>B147-X147/1000</x:f>
        <x:v>400.2025252236685</x:v>
      </x:c>
      <x:c r="AA147" s="40" t="n">
        <x:f>SQRT(A147^2+Inputs!$C$6^2+(B147-Y147/1000)^2)</x:f>
        <x:v>400.8739745756216</x:v>
      </x:c>
      <x:c r="AB147" s="40" t="n">
        <x:f>(AA147-Z147)*1000</x:f>
        <x:v>671.4493519531288</x:v>
      </x:c>
      <x:c r="AC147" s="40" t="n">
        <x:f>AB147/Inputs!$C$12</x:f>
        <x:v>377.21873705231957</x:v>
      </x:c>
      <x:c r="AD147" s="40" t="n">
        <x:f>2*AB147/Inputs!$C$21*1000000</x:f>
        <x:v>4.4794279111126185</x:v>
      </x:c>
      <x:c r="AE147" s="40" t="n">
        <x:f>DEGREES(ATAN(H147/(B147-Y147/1000)))</x:f>
        <x:v>3.998179654793941</x:v>
      </x:c>
      <x:c r="AF147" s="40" t="n">
        <x:f>DEGREES((2*PI()/Inputs!$C$13)*Inputs!$C$15*SIN(RADIANS(AE147)))</x:f>
        <x:v>25.100920830296708</x:v>
      </x:c>
      <x:c r="AG147" s="40" t="n">
        <x:f>(Z147/AA147)^4</x:f>
        <x:v>0.9933169594688724</x:v>
      </x:c>
      <x:c r="AH147" s="40" t="n">
        <x:f>10*LOG10(AG147)</x:f>
        <x:v>-0.029121495067549397</x:v>
      </x:c>
      <x:c r="AI147" s="40" t="n">
        <x:f>AC147-F147</x:f>
        <x:v>-170.5066460074517</x:v>
      </x:c>
      <x:c r="AJ147" s="40" t="n">
        <x:f>AD147-G147</x:f>
        <x:v>-2.024746265586603</x:v>
      </x:c>
      <x:c r="AK147" s="40" t="n">
        <x:f>Y147-X147</x:f>
        <x:v>304.17127349765326</x:v>
      </x:c>
      <x:c r="AL147" s="40" t="n">
        <x:f>1000*(AA148-AA146)/(A148-A146)*Inputs!$C$11</x:f>
        <x:v>308.8107457131173</x:v>
      </x:c>
      <x:c r="AM147" s="40" t="n">
        <x:f>-2*AL147/Inputs!$C$13</x:f>
        <x:v>-123.52429828524691</x:v>
      </x:c>
      <x:c r="AN147" s="40" t="n">
        <x:f>-2*AL147/Inputs!$C$14</x:f>
        <x:v>-18.54719193472176</x:v>
      </x:c>
      <x:c r="AO147" s="40" t="n">
        <x:f>ABS(AM147)</x:f>
        <x:v>123.52429828524691</x:v>
      </x:c>
      <x:c r="AP147" s="40" t="n">
        <x:f>ABS(AN147)</x:f>
        <x:v>18.54719193472176</x:v>
      </x:c>
      <x:c r="AQ147" s="40" t="n">
        <x:f>IF(Inputs!$C$27="ON",Inputs!$C$46/Inputs!$C$12,0)</x:f>
        <x:v>42.13483146067416</x:v>
      </x:c>
      <x:c r="AR147" s="40" t="n">
        <x:f>AC147-AQ147</x:f>
        <x:v>335.0839055916454</x:v>
      </x:c>
      <x:c r="AS147" s="40" t="n">
        <x:f>AC147+AQ147</x:f>
        <x:v>419.3535685129937</x:v>
      </x:c>
    </x:row>
    <x:row r="148">
      <x:c r="A148" s="40" t="n">
        <x:f>Inputs!$C$7+146*(Inputs!$C$8-Inputs!$C$7)/240</x:f>
        <x:v>13</x:v>
      </x:c>
      <x:c r="B148" s="40" t="n">
        <x:f>Inputs!$C$5+Inputs!$C$9*(A148/Inputs!$C$10)^2</x:f>
        <x:v>400.1877777777778</x:v>
      </x:c>
      <x:c r="C148" s="40" t="n">
        <x:f>B148</x:f>
        <x:v>400.1877777777778</x:v>
      </x:c>
      <x:c r="D148" s="40" t="n">
        <x:f>SQRT(A148^2+Inputs!$C$6^2+B148^2)</x:f>
        <x:v>401.1785855235995</x:v>
      </x:c>
      <x:c r="E148" s="40" t="n">
        <x:f>(D148-C148)*1000</x:f>
        <x:v>990.8077458217122</x:v>
      </x:c>
      <x:c r="F148" s="40" t="n">
        <x:f>E148/Inputs!$C$12</x:f>
        <x:v>556.6335650683776</x:v>
      </x:c>
      <x:c r="G148" s="40" t="n">
        <x:f>2*E148/Inputs!$C$21*1000000</x:f>
        <x:v>6.6099577850068005</x:v>
      </x:c>
      <x:c r="H148" s="40" t="n">
        <x:f>SQRT(A148^2+Inputs!$C$6^2)</x:f>
        <x:v>28.178005607210743</x:v>
      </x:c>
      <x:c r="I148" s="40" t="n">
        <x:f>DEGREES(ATAN(H148/B148))</x:f>
        <x:v>4.027660713508556</x:v>
      </x:c>
      <x:c r="J148" s="40" t="n">
        <x:f>DEGREES((2*PI()/Inputs!$C$13)*Inputs!$C$15*SIN(RADIANS(I148)))</x:f>
        <x:v>25.285701641717207</x:v>
      </x:c>
      <x:c r="K148" s="40" t="n">
        <x:f>(C148/D148)^4</x:f>
        <x:v>0.990157568110751</x:v>
      </x:c>
      <x:c r="L148" s="40" t="n">
        <x:f>10*LOG10(K148)</x:f>
        <x:v>-0.042956887197481294</x:v>
      </x:c>
      <x:c r="M148" s="40" t="n">
        <x:f>2*(Inputs!$C$9/(Inputs!$C$10^2))*A148</x:f>
        <x:v>0.028888888888888888</x:v>
      </x:c>
      <x:c r="N148" s="40" t="n">
        <x:f>M148*Inputs!$C$11</x:f>
        <x:v>0.11555555555555555</x:v>
      </x:c>
      <x:c r="O148" s="40" t="n">
        <x:f>1000*((A148*Inputs!$C$11)+(B148*N148))/D148</x:f>
        <x:v>244.888248108834</x:v>
      </x:c>
      <x:c r="P148" s="40" t="n">
        <x:f>-2*O148/Inputs!$C$13</x:f>
        <x:v>-97.9552992435336</x:v>
      </x:c>
      <x:c r="Q148" s="40" t="n">
        <x:f>-2*O148/Inputs!$C$14</x:f>
        <x:v>-14.708002889419461</x:v>
      </x:c>
      <x:c r="R148" s="40" t="n">
        <x:f>F148-Inputs!$C$16/2</x:f>
        <x:v>541.6335650683776</x:v>
      </x:c>
      <x:c r="S148" s="40" t="n">
        <x:f>F148+Inputs!$C$16/2</x:f>
        <x:v>571.6335650683776</x:v>
      </x:c>
      <x:c r="T148" s="40" t="n">
        <x:f>F148-Inputs!$C$17/2</x:f>
        <x:v>406.6335650683776</x:v>
      </x:c>
      <x:c r="U148" s="40" t="n">
        <x:f>F148+Inputs!$C$17/2</x:f>
        <x:v>706.6335650683776</x:v>
      </x:c>
      <x:c r="V148" s="40" t="n">
        <x:f>ABS(P148)</x:f>
        <x:v>97.9552992435336</x:v>
      </x:c>
      <x:c r="W148" s="40" t="n">
        <x:f>ABS(Q148)</x:f>
        <x:v>14.708002889419461</x:v>
      </x:c>
      <x:c r="X148" s="40" t="n">
        <x:f>IF(Inputs!$C$27="ON",1,0)*(Inputs!$C$28*EXP(-(((A148)-Inputs!$C$29)^2)/(2*Inputs!$C$31^2))*EXP(-(((0)-Inputs!$C$30)^2)/(2*Inputs!$C$32^2))+-Inputs!$C$33*EXP(-(((((A148)-Inputs!$C$34)^2)+(((0)-Inputs!$C$35)^2))/(2*Inputs!$C$36^2)))+Inputs!$C$37*(0.55*SIN(2*PI()*(A148)/Inputs!$C$39)+0.35*COS(2*PI()*(0)/Inputs!$C$40)+0.2*SIN(2*PI()*((A148)+(0))/(0.5*(Inputs!$C$39+Inputs!$C$40))))+Inputs!$C$38*SIN(2*PI()*(A148)/Inputs!$C$39)*SIN(2*PI()*(0)/Inputs!$C$40)+-Inputs!$C$41*EXP(-(((0)-Inputs!$C$43)^2)/(2*Inputs!$C$44^2))*EXP(-(((A148)-Inputs!$C$42)^2)/(2*Inputs!$C$45^2)))</x:f>
        <x:v>-28.9115127400367</x:v>
      </x:c>
      <x:c r="Y148" s="40" t="n">
        <x:f>IF(Inputs!$C$27="ON",1,0)*(Inputs!$C$28*EXP(-(((A148)-Inputs!$C$29)^2)/(2*Inputs!$C$31^2))*EXP(-(((Inputs!$C$6)-Inputs!$C$30)^2)/(2*Inputs!$C$32^2))+-Inputs!$C$33*EXP(-(((((A148)-Inputs!$C$34)^2)+(((Inputs!$C$6)-Inputs!$C$35)^2))/(2*Inputs!$C$36^2)))+Inputs!$C$37*(0.55*SIN(2*PI()*(A148)/Inputs!$C$39)+0.35*COS(2*PI()*(Inputs!$C$6)/Inputs!$C$40)+0.2*SIN(2*PI()*((A148)+(Inputs!$C$6))/(0.5*(Inputs!$C$39+Inputs!$C$40))))+Inputs!$C$38*SIN(2*PI()*(A148)/Inputs!$C$39)*SIN(2*PI()*(Inputs!$C$6)/Inputs!$C$40)+-Inputs!$C$41*EXP(-(((Inputs!$C$6)-Inputs!$C$43)^2)/(2*Inputs!$C$44^2))*EXP(-(((A148)-Inputs!$C$42)^2)/(2*Inputs!$C$45^2)))</x:f>
        <x:v>266.7910145267534</x:v>
      </x:c>
      <x:c r="Z148" s="40" t="n">
        <x:f>B148-X148/1000</x:f>
        <x:v>400.2166892905178</x:v>
      </x:c>
      <x:c r="AA148" s="40" t="n">
        <x:f>SQRT(A148^2+Inputs!$C$6^2+(B148-Y148/1000)^2)</x:f>
        <x:v>400.9124538520753</x:v>
      </x:c>
      <x:c r="AB148" s="40" t="n">
        <x:f>(AA148-Z148)*1000</x:f>
        <x:v>695.7645615574961</x:v>
      </x:c>
      <x:c r="AC148" s="40" t="n">
        <x:f>AB148/Inputs!$C$12</x:f>
        <x:v>390.87896716713266</x:v>
      </x:c>
      <x:c r="AD148" s="40" t="n">
        <x:f>2*AB148/Inputs!$C$21*1000000</x:f>
        <x:v>4.641641528937304</x:v>
      </x:c>
      <x:c r="AE148" s="40" t="n">
        <x:f>DEGREES(ATAN(H148/(B148-Y148/1000)))</x:f>
        <x:v>4.030338751860596</x:v>
      </x:c>
      <x:c r="AF148" s="40" t="n">
        <x:f>DEGREES((2*PI()/Inputs!$C$13)*Inputs!$C$15*SIN(RADIANS(AE148)))</x:f>
        <x:v>25.3024866679216</x:v>
      </x:c>
      <x:c r="AG148" s="40" t="n">
        <x:f>(Z148/AA148)^4</x:f>
        <x:v>0.9930762394647272</x:v>
      </x:c>
      <x:c r="AH148" s="40" t="n">
        <x:f>10*LOG10(AG148)</x:f>
        <x:v>-0.0301740899923798</x:v>
      </x:c>
      <x:c r="AI148" s="40" t="n">
        <x:f>AC148-F148</x:f>
        <x:v>-165.75459790124495</x:v>
      </x:c>
      <x:c r="AJ148" s="40" t="n">
        <x:f>AD148-G148</x:f>
        <x:v>-1.968316256069497</x:v>
      </x:c>
      <x:c r="AK148" s="40" t="n">
        <x:f>Y148-X148</x:f>
        <x:v>295.70252726679007</x:v>
      </x:c>
      <x:c r="AL148" s="40" t="n">
        <x:f>1000*(AA149-AA147)/(A149-A147)*Inputs!$C$11</x:f>
        <x:v>306.0784581518874</x:v>
      </x:c>
      <x:c r="AM148" s="40" t="n">
        <x:f>-2*AL148/Inputs!$C$13</x:f>
        <x:v>-122.43138326075496</x:v>
      </x:c>
      <x:c r="AN148" s="40" t="n">
        <x:f>-2*AL148/Inputs!$C$14</x:f>
        <x:v>-18.383090579692936</x:v>
      </x:c>
      <x:c r="AO148" s="40" t="n">
        <x:f>ABS(AM148)</x:f>
        <x:v>122.43138326075496</x:v>
      </x:c>
      <x:c r="AP148" s="40" t="n">
        <x:f>ABS(AN148)</x:f>
        <x:v>18.383090579692936</x:v>
      </x:c>
      <x:c r="AQ148" s="40" t="n">
        <x:f>IF(Inputs!$C$27="ON",Inputs!$C$46/Inputs!$C$12,0)</x:f>
        <x:v>42.13483146067416</x:v>
      </x:c>
      <x:c r="AR148" s="40" t="n">
        <x:f>AC148-AQ148</x:f>
        <x:v>348.7441357064585</x:v>
      </x:c>
      <x:c r="AS148" s="40" t="n">
        <x:f>AC148+AQ148</x:f>
        <x:v>433.0137986278068</x:v>
      </x:c>
    </x:row>
    <x:row r="149">
      <x:c r="A149" s="40" t="n">
        <x:f>Inputs!$C$7+147*(Inputs!$C$8-Inputs!$C$7)/240</x:f>
        <x:v>13.5</x:v>
      </x:c>
      <x:c r="B149" s="40" t="n">
        <x:f>Inputs!$C$5+Inputs!$C$9*(A149/Inputs!$C$10)^2</x:f>
        <x:v>400.2025</x:v>
      </x:c>
      <x:c r="C149" s="40" t="n">
        <x:f>B149</x:f>
        <x:v>400.2025</x:v>
      </x:c>
      <x:c r="D149" s="40" t="n">
        <x:f>SQRT(A149^2+Inputs!$C$6^2+B149^2)</x:f>
        <x:v>401.20978428529133</x:v>
      </x:c>
      <x:c r="E149" s="40" t="n">
        <x:f>(D149-C149)*1000</x:f>
        <x:v>1007.2842852913482</x:v>
      </x:c>
      <x:c r="F149" s="40" t="n">
        <x:f>E149/Inputs!$C$12</x:f>
        <x:v>565.8900479164877</x:v>
      </x:c>
      <x:c r="G149" s="40" t="n">
        <x:f>2*E149/Inputs!$C$21*1000000</x:f>
        <x:v>6.719877424610516</x:v>
      </x:c>
      <x:c r="H149" s="40" t="n">
        <x:f>SQRT(A149^2+Inputs!$C$6^2)</x:f>
        <x:v>28.412145290350743</x:v>
      </x:c>
      <x:c r="I149" s="40" t="n">
        <x:f>DEGREES(ATAN(H149/B149))</x:f>
        <x:v>4.060867373737527</x:v>
      </x:c>
      <x:c r="J149" s="40" t="n">
        <x:f>DEGREES((2*PI()/Inputs!$C$13)*Inputs!$C$15*SIN(RADIANS(I149)))</x:f>
        <x:v>25.49382568709516</x:v>
      </x:c>
      <x:c r="K149" s="40" t="n">
        <x:f>(C149/D149)^4</x:f>
        <x:v>0.989995286142351</x:v>
      </x:c>
      <x:c r="L149" s="40" t="n">
        <x:f>10*LOG10(K149)</x:f>
        <x:v>-0.043668732885503894</x:v>
      </x:c>
      <x:c r="M149" s="40" t="n">
        <x:f>2*(Inputs!$C$9/(Inputs!$C$10^2))*A149</x:f>
        <x:v>0.03</x:v>
      </x:c>
      <x:c r="N149" s="40" t="n">
        <x:f>M149*Inputs!$C$11</x:f>
        <x:v>0.12</x:v>
      </x:c>
      <x:c r="O149" s="40" t="n">
        <x:f>1000*((A149*Inputs!$C$11)+(B149*N149))/D149</x:f>
        <x:v>254.2916548801133</x:v>
      </x:c>
      <x:c r="P149" s="40" t="n">
        <x:f>-2*O149/Inputs!$C$13</x:f>
        <x:v>-101.71666195204531</x:v>
      </x:c>
      <x:c r="Q149" s="40" t="n">
        <x:f>-2*O149/Inputs!$C$14</x:f>
        <x:v>-15.27277206487167</x:v>
      </x:c>
      <x:c r="R149" s="40" t="n">
        <x:f>F149-Inputs!$C$16/2</x:f>
        <x:v>550.8900479164877</x:v>
      </x:c>
      <x:c r="S149" s="40" t="n">
        <x:f>F149+Inputs!$C$16/2</x:f>
        <x:v>580.8900479164877</x:v>
      </x:c>
      <x:c r="T149" s="40" t="n">
        <x:f>F149-Inputs!$C$17/2</x:f>
        <x:v>415.8900479164877</x:v>
      </x:c>
      <x:c r="U149" s="40" t="n">
        <x:f>F149+Inputs!$C$17/2</x:f>
        <x:v>715.8900479164877</x:v>
      </x:c>
      <x:c r="V149" s="40" t="n">
        <x:f>ABS(P149)</x:f>
        <x:v>101.71666195204531</x:v>
      </x:c>
      <x:c r="W149" s="40" t="n">
        <x:f>ABS(Q149)</x:f>
        <x:v>15.27277206487167</x:v>
      </x:c>
      <x:c r="X149" s="40" t="n">
        <x:f>IF(Inputs!$C$27="ON",1,0)*(Inputs!$C$28*EXP(-(((A149)-Inputs!$C$29)^2)/(2*Inputs!$C$31^2))*EXP(-(((0)-Inputs!$C$30)^2)/(2*Inputs!$C$32^2))+-Inputs!$C$33*EXP(-(((((A149)-Inputs!$C$34)^2)+(((0)-Inputs!$C$35)^2))/(2*Inputs!$C$36^2)))+Inputs!$C$37*(0.55*SIN(2*PI()*(A149)/Inputs!$C$39)+0.35*COS(2*PI()*(0)/Inputs!$C$40)+0.2*SIN(2*PI()*((A149)+(0))/(0.5*(Inputs!$C$39+Inputs!$C$40))))+Inputs!$C$38*SIN(2*PI()*(A149)/Inputs!$C$39)*SIN(2*PI()*(0)/Inputs!$C$40)+-Inputs!$C$41*EXP(-(((0)-Inputs!$C$43)^2)/(2*Inputs!$C$44^2))*EXP(-(((A149)-Inputs!$C$42)^2)/(2*Inputs!$C$45^2)))</x:f>
        <x:v>-27.419068586377563</x:v>
      </x:c>
      <x:c r="Y149" s="40" t="n">
        <x:f>IF(Inputs!$C$27="ON",1,0)*(Inputs!$C$28*EXP(-(((A149)-Inputs!$C$29)^2)/(2*Inputs!$C$31^2))*EXP(-(((Inputs!$C$6)-Inputs!$C$30)^2)/(2*Inputs!$C$32^2))+-Inputs!$C$33*EXP(-(((((A149)-Inputs!$C$34)^2)+(((Inputs!$C$6)-Inputs!$C$35)^2))/(2*Inputs!$C$36^2)))+Inputs!$C$37*(0.55*SIN(2*PI()*(A149)/Inputs!$C$39)+0.35*COS(2*PI()*(Inputs!$C$6)/Inputs!$C$40)+0.2*SIN(2*PI()*((A149)+(Inputs!$C$6))/(0.5*(Inputs!$C$39+Inputs!$C$40))))+Inputs!$C$38*SIN(2*PI()*(A149)/Inputs!$C$39)*SIN(2*PI()*(Inputs!$C$6)/Inputs!$C$40)+-Inputs!$C$41*EXP(-(((Inputs!$C$6)-Inputs!$C$43)^2)/(2*Inputs!$C$44^2))*EXP(-(((A149)-Inputs!$C$42)^2)/(2*Inputs!$C$45^2)))</x:f>
        <x:v>259.9431354757137</x:v>
      </x:c>
      <x:c r="Z149" s="40" t="n">
        <x:f>B149-X149/1000</x:f>
        <x:v>400.22991906858636</x:v>
      </x:c>
      <x:c r="AA149" s="40" t="n">
        <x:f>SQRT(A149^2+Inputs!$C$6^2+(B149-Y149/1000)^2)</x:f>
        <x:v>400.9504941901596</x:v>
      </x:c>
      <x:c r="AB149" s="40" t="n">
        <x:f>(AA149-Z149)*1000</x:f>
        <x:v>720.5751215732334</x:v>
      </x:c>
      <x:c r="AC149" s="40" t="n">
        <x:f>AB149/Inputs!$C$12</x:f>
        <x:v>404.81748402990644</x:v>
      </x:c>
      <x:c r="AD149" s="40" t="n">
        <x:f>2*AB149/Inputs!$C$21*1000000</x:f>
        <x:v>4.80715976899748</x:v>
      </x:c>
      <x:c r="AE149" s="40" t="n">
        <x:f>DEGREES(ATAN(H149/(B149-Y149/1000)))</x:f>
        <x:v>4.0634979006168175</x:v>
      </x:c>
      <x:c r="AF149" s="40" t="n">
        <x:f>DEGREES((2*PI()/Inputs!$C$13)*Inputs!$C$15*SIN(RADIANS(AE149)))</x:f>
        <x:v>25.510312252353124</x:v>
      </x:c>
      <x:c r="AG149" s="40" t="n">
        <x:f>(Z149/AA149)^4</x:f>
        <x:v>0.9928306864096086</x:v>
      </x:c>
      <x:c r="AH149" s="40" t="n">
        <x:f>10*LOG10(AG149)</x:f>
        <x:v>-0.0312480812857939</x:v>
      </x:c>
      <x:c r="AI149" s="40" t="n">
        <x:f>AC149-F149</x:f>
        <x:v>-161.07256388658124</x:v>
      </x:c>
      <x:c r="AJ149" s="40" t="n">
        <x:f>AD149-G149</x:f>
        <x:v>-1.9127176556130356</x:v>
      </x:c>
      <x:c r="AK149" s="40" t="n">
        <x:f>Y149-X149</x:f>
        <x:v>287.3622040620912</x:v>
      </x:c>
      <x:c r="AL149" s="40" t="n">
        <x:f>1000*(AA150-AA148)/(A150-A148)*Inputs!$C$11</x:f>
        <x:v>302.0014322523821</x:v>
      </x:c>
      <x:c r="AM149" s="40" t="n">
        <x:f>-2*AL149/Inputs!$C$13</x:f>
        <x:v>-120.80057290095283</x:v>
      </x:c>
      <x:c r="AN149" s="40" t="n">
        <x:f>-2*AL149/Inputs!$C$14</x:f>
        <x:v>-18.13822415930223</x:v>
      </x:c>
      <x:c r="AO149" s="40" t="n">
        <x:f>ABS(AM149)</x:f>
        <x:v>120.80057290095283</x:v>
      </x:c>
      <x:c r="AP149" s="40" t="n">
        <x:f>ABS(AN149)</x:f>
        <x:v>18.13822415930223</x:v>
      </x:c>
      <x:c r="AQ149" s="40" t="n">
        <x:f>IF(Inputs!$C$27="ON",Inputs!$C$46/Inputs!$C$12,0)</x:f>
        <x:v>42.13483146067416</x:v>
      </x:c>
      <x:c r="AR149" s="40" t="n">
        <x:f>AC149-AQ149</x:f>
        <x:v>362.6826525692323</x:v>
      </x:c>
      <x:c r="AS149" s="40" t="n">
        <x:f>AC149+AQ149</x:f>
        <x:v>446.9523154905806</x:v>
      </x:c>
    </x:row>
    <x:row r="150">
      <x:c r="A150" s="40" t="n">
        <x:f>Inputs!$C$7+148*(Inputs!$C$8-Inputs!$C$7)/240</x:f>
        <x:v>14</x:v>
      </x:c>
      <x:c r="B150" s="40" t="n">
        <x:f>Inputs!$C$5+Inputs!$C$9*(A150/Inputs!$C$10)^2</x:f>
        <x:v>400.21777777777777</x:v>
      </x:c>
      <x:c r="C150" s="40" t="n">
        <x:f>B150</x:f>
        <x:v>400.21777777777777</x:v>
      </x:c>
      <x:c r="D150" s="40" t="n">
        <x:f>SQRT(A150^2+Inputs!$C$6^2+B150^2)</x:f>
        <x:v>401.2421583649738</x:v>
      </x:c>
      <x:c r="E150" s="40" t="n">
        <x:f>(D150-C150)*1000</x:f>
        <x:v>1024.380587196049</x:v>
      </x:c>
      <x:c r="F150" s="40" t="n">
        <x:f>E150/Inputs!$C$12</x:f>
        <x:v>575.4947119078927</x:v>
      </x:c>
      <x:c r="G150" s="40" t="n">
        <x:f>2*E150/Inputs!$C$21*1000000</x:f>
        <x:v>6.833931674132036</x:v>
      </x:c>
      <x:c r="H150" s="40" t="n">
        <x:f>SQRT(A150^2+Inputs!$C$6^2)</x:f>
        <x:v>28.653097563788805</x:v>
      </x:c>
      <x:c r="I150" s="40" t="n">
        <x:f>DEGREES(ATAN(H150/B150))</x:f>
        <x:v>4.095033523300829</x:v>
      </x:c>
      <x:c r="J150" s="40" t="n">
        <x:f>DEGREES((2*PI()/Inputs!$C$13)*Inputs!$C$15*SIN(RADIANS(I150)))</x:f>
        <x:v>25.707954430803454</x:v>
      </x:c>
      <x:c r="K150" s="40" t="n">
        <x:f>(C150/D150)^4</x:f>
        <x:v>0.989826947769989</x:v>
      </x:c>
      <x:c r="L150" s="40" t="n">
        <x:f>10*LOG10(K150)</x:f>
        <x:v>-0.044407268145218504</x:v>
      </x:c>
      <x:c r="M150" s="40" t="n">
        <x:f>2*(Inputs!$C$9/(Inputs!$C$10^2))*A150</x:f>
        <x:v>0.03111111111111111</x:v>
      </x:c>
      <x:c r="N150" s="40" t="n">
        <x:f>M150*Inputs!$C$11</x:f>
        <x:v>0.12444444444444444</x:v>
      </x:c>
      <x:c r="O150" s="40" t="n">
        <x:f>1000*((A150*Inputs!$C$11)+(B150*N150))/D150</x:f>
        <x:v>263.6933253561669</x:v>
      </x:c>
      <x:c r="P150" s="40" t="n">
        <x:f>-2*O150/Inputs!$C$13</x:f>
        <x:v>-105.47733014246676</x:v>
      </x:c>
      <x:c r="Q150" s="40" t="n">
        <x:f>-2*O150/Inputs!$C$14</x:f>
        <x:v>-15.837436958328343</x:v>
      </x:c>
      <x:c r="R150" s="40" t="n">
        <x:f>F150-Inputs!$C$16/2</x:f>
        <x:v>560.4947119078927</x:v>
      </x:c>
      <x:c r="S150" s="40" t="n">
        <x:f>F150+Inputs!$C$16/2</x:f>
        <x:v>590.4947119078927</x:v>
      </x:c>
      <x:c r="T150" s="40" t="n">
        <x:f>F150-Inputs!$C$17/2</x:f>
        <x:v>425.4947119078927</x:v>
      </x:c>
      <x:c r="U150" s="40" t="n">
        <x:f>F150+Inputs!$C$17/2</x:f>
        <x:v>725.4947119078927</x:v>
      </x:c>
      <x:c r="V150" s="40" t="n">
        <x:f>ABS(P150)</x:f>
        <x:v>105.47733014246676</x:v>
      </x:c>
      <x:c r="W150" s="40" t="n">
        <x:f>ABS(Q150)</x:f>
        <x:v>15.837436958328343</x:v>
      </x:c>
      <x:c r="X150" s="40" t="n">
        <x:f>IF(Inputs!$C$27="ON",1,0)*(Inputs!$C$28*EXP(-(((A150)-Inputs!$C$29)^2)/(2*Inputs!$C$31^2))*EXP(-(((0)-Inputs!$C$30)^2)/(2*Inputs!$C$32^2))+-Inputs!$C$33*EXP(-(((((A150)-Inputs!$C$34)^2)+(((0)-Inputs!$C$35)^2))/(2*Inputs!$C$36^2)))+Inputs!$C$37*(0.55*SIN(2*PI()*(A150)/Inputs!$C$39)+0.35*COS(2*PI()*(0)/Inputs!$C$40)+0.2*SIN(2*PI()*((A150)+(0))/(0.5*(Inputs!$C$39+Inputs!$C$40))))+Inputs!$C$38*SIN(2*PI()*(A150)/Inputs!$C$39)*SIN(2*PI()*(0)/Inputs!$C$40)+-Inputs!$C$41*EXP(-(((0)-Inputs!$C$43)^2)/(2*Inputs!$C$44^2))*EXP(-(((A150)-Inputs!$C$42)^2)/(2*Inputs!$C$45^2)))</x:f>
        <x:v>-24.507925954900784</x:v>
      </x:c>
      <x:c r="Y150" s="40" t="n">
        <x:f>IF(Inputs!$C$27="ON",1,0)*(Inputs!$C$28*EXP(-(((A150)-Inputs!$C$29)^2)/(2*Inputs!$C$31^2))*EXP(-(((Inputs!$C$6)-Inputs!$C$30)^2)/(2*Inputs!$C$32^2))+-Inputs!$C$33*EXP(-(((((A150)-Inputs!$C$34)^2)+(((Inputs!$C$6)-Inputs!$C$35)^2))/(2*Inputs!$C$36^2)))+Inputs!$C$37*(0.55*SIN(2*PI()*(A150)/Inputs!$C$39)+0.35*COS(2*PI()*(Inputs!$C$6)/Inputs!$C$40)+0.2*SIN(2*PI()*((A150)+(Inputs!$C$6))/(0.5*(Inputs!$C$39+Inputs!$C$40))))+Inputs!$C$38*SIN(2*PI()*(A150)/Inputs!$C$39)*SIN(2*PI()*(Inputs!$C$6)/Inputs!$C$40)+-Inputs!$C$41*EXP(-(((Inputs!$C$6)-Inputs!$C$43)^2)/(2*Inputs!$C$44^2))*EXP(-(((A150)-Inputs!$C$42)^2)/(2*Inputs!$C$45^2)))</x:f>
        <x:v>254.85521915848852</x:v>
      </x:c>
      <x:c r="Z150" s="40" t="n">
        <x:f>B150-X150/1000</x:f>
        <x:v>400.24228570373265</x:v>
      </x:c>
      <x:c r="AA150" s="40" t="n">
        <x:f>SQRT(A150^2+Inputs!$C$6^2+(B150-Y150/1000)^2)</x:f>
        <x:v>400.9879542101384</x:v>
      </x:c>
      <x:c r="AB150" s="40" t="n">
        <x:f>(AA150-Z150)*1000</x:f>
        <x:v>745.6685064057638</x:v>
      </x:c>
      <x:c r="AC150" s="40" t="n">
        <x:f>AB150/Inputs!$C$12</x:f>
        <x:v>418.91489123919314</x:v>
      </x:c>
      <x:c r="AD150" s="40" t="n">
        <x:f>2*AB150/Inputs!$C$21*1000000</x:f>
        <x:v>4.974564813139921</x:v>
      </x:c>
      <x:c r="AE150" s="40" t="n">
        <x:f>DEGREES(ATAN(H150/(B150-Y150/1000)))</x:f>
        <x:v>4.097633981389101</x:v>
      </x:c>
      <x:c r="AF150" s="40" t="n">
        <x:f>DEGREES((2*PI()/Inputs!$C$13)*Inputs!$C$15*SIN(RADIANS(AE150)))</x:f>
        <x:v>25.724251850114978</x:v>
      </x:c>
      <x:c r="AG150" s="40" t="n">
        <x:f>(Z150/AA150)^4</x:f>
        <x:v>0.9925824091974652</x:v>
      </x:c>
      <x:c r="AH150" s="40" t="n">
        <x:f>10*LOG10(AG150)</x:f>
        <x:v>-0.0323342574978559</x:v>
      </x:c>
      <x:c r="AI150" s="40" t="n">
        <x:f>AC150-F150</x:f>
        <x:v>-156.57982066869954</x:v>
      </x:c>
      <x:c r="AJ150" s="40" t="n">
        <x:f>AD150-G150</x:f>
        <x:v>-1.8593668609921155</x:v>
      </x:c>
      <x:c r="AK150" s="40" t="n">
        <x:f>Y150-X150</x:f>
        <x:v>279.3631451133893</x:v>
      </x:c>
      <x:c r="AL150" s="40" t="n">
        <x:f>1000*(AA151-AA149)/(A151-A149)*Inputs!$C$11</x:f>
        <x:v>297.0297290646613</x:v>
      </x:c>
      <x:c r="AM150" s="40" t="n">
        <x:f>-2*AL150/Inputs!$C$13</x:f>
        <x:v>-118.81189162586452</x:v>
      </x:c>
      <x:c r="AN150" s="40" t="n">
        <x:f>-2*AL150/Inputs!$C$14</x:f>
        <x:v>-17.839623367246926</x:v>
      </x:c>
      <x:c r="AO150" s="40" t="n">
        <x:f>ABS(AM150)</x:f>
        <x:v>118.81189162586452</x:v>
      </x:c>
      <x:c r="AP150" s="40" t="n">
        <x:f>ABS(AN150)</x:f>
        <x:v>17.839623367246926</x:v>
      </x:c>
      <x:c r="AQ150" s="40" t="n">
        <x:f>IF(Inputs!$C$27="ON",Inputs!$C$46/Inputs!$C$12,0)</x:f>
        <x:v>42.13483146067416</x:v>
      </x:c>
      <x:c r="AR150" s="40" t="n">
        <x:f>AC150-AQ150</x:f>
        <x:v>376.780059778519</x:v>
      </x:c>
      <x:c r="AS150" s="40" t="n">
        <x:f>AC150+AQ150</x:f>
        <x:v>461.0497226998673</x:v>
      </x:c>
    </x:row>
    <x:row r="151">
      <x:c r="A151" s="40" t="n">
        <x:f>Inputs!$C$7+149*(Inputs!$C$8-Inputs!$C$7)/240</x:f>
        <x:v>14.5</x:v>
      </x:c>
      <x:c r="B151" s="40" t="n">
        <x:f>Inputs!$C$5+Inputs!$C$9*(A151/Inputs!$C$10)^2</x:f>
        <x:v>400.2336111111111</x:v>
      </x:c>
      <x:c r="C151" s="40" t="n">
        <x:f>B151</x:f>
        <x:v>400.2336111111111</x:v>
      </x:c>
      <x:c r="D151" s="40" t="n">
        <x:f>SQRT(A151^2+Inputs!$C$6^2+B151^2)</x:f>
        <x:v>401.2757075416354</x:v>
      </x:c>
      <x:c r="E151" s="40" t="n">
        <x:f>(D151-C151)*1000</x:f>
        <x:v>1042.0964305243388</x:v>
      </x:c>
      <x:c r="F151" s="40" t="n">
        <x:f>E151/Inputs!$C$12</x:f>
        <x:v>585.4474328788419</x:v>
      </x:c>
      <x:c r="G151" s="40" t="n">
        <x:f>2*E151/Inputs!$C$21*1000000</x:f>
        <x:v>6.9521190591415</x:v>
      </x:c>
      <x:c r="H151" s="40" t="n">
        <x:f>SQRT(A151^2+Inputs!$C$6^2)</x:f>
        <x:v>28.90069203323685</x:v>
      </x:c>
      <x:c r="I151" s="40" t="n">
        <x:f>DEGREES(ATAN(H151/B151))</x:f>
        <x:v>4.130134373943814</x:v>
      </x:c>
      <x:c r="J151" s="40" t="n">
        <x:f>DEGREES((2*PI()/Inputs!$C$13)*Inputs!$C$15*SIN(RADIANS(I151)))</x:f>
        <x:v>25.927931684939455</x:v>
      </x:c>
      <x:c r="K151" s="40" t="n">
        <x:f>(C151/D151)^4</x:f>
        <x:v>0.9896525604465756</x:v>
      </x:c>
      <x:c r="L151" s="40" t="n">
        <x:f>10*LOG10(K151)</x:f>
        <x:v>-0.0451724738687828</x:v>
      </x:c>
      <x:c r="M151" s="40" t="n">
        <x:f>2*(Inputs!$C$9/(Inputs!$C$10^2))*A151</x:f>
        <x:v>0.03222222222222222</x:v>
      </x:c>
      <x:c r="N151" s="40" t="n">
        <x:f>M151*Inputs!$C$11</x:f>
        <x:v>0.1288888888888889</x:v>
      </x:c>
      <x:c r="O151" s="40" t="n">
        <x:f>1000*((A151*Inputs!$C$11)+(B151*N151))/D151</x:f>
        <x:v>273.09319595612055</x:v>
      </x:c>
      <x:c r="P151" s="40" t="n">
        <x:f>-2*O151/Inputs!$C$13</x:f>
        <x:v>-109.23727838244822</x:v>
      </x:c>
      <x:c r="Q151" s="40" t="n">
        <x:f>-2*O151/Inputs!$C$14</x:f>
        <x:v>-16.401993751118354</x:v>
      </x:c>
      <x:c r="R151" s="40" t="n">
        <x:f>F151-Inputs!$C$16/2</x:f>
        <x:v>570.4474328788419</x:v>
      </x:c>
      <x:c r="S151" s="40" t="n">
        <x:f>F151+Inputs!$C$16/2</x:f>
        <x:v>600.4474328788419</x:v>
      </x:c>
      <x:c r="T151" s="40" t="n">
        <x:f>F151-Inputs!$C$17/2</x:f>
        <x:v>435.44743287884194</x:v>
      </x:c>
      <x:c r="U151" s="40" t="n">
        <x:f>F151+Inputs!$C$17/2</x:f>
        <x:v>735.4474328788419</x:v>
      </x:c>
      <x:c r="V151" s="40" t="n">
        <x:f>ABS(P151)</x:f>
        <x:v>109.23727838244822</x:v>
      </x:c>
      <x:c r="W151" s="40" t="n">
        <x:f>ABS(Q151)</x:f>
        <x:v>16.401993751118354</x:v>
      </x:c>
      <x:c r="X151" s="40" t="n">
        <x:f>IF(Inputs!$C$27="ON",1,0)*(Inputs!$C$28*EXP(-(((A151)-Inputs!$C$29)^2)/(2*Inputs!$C$31^2))*EXP(-(((0)-Inputs!$C$30)^2)/(2*Inputs!$C$32^2))+-Inputs!$C$33*EXP(-(((((A151)-Inputs!$C$34)^2)+(((0)-Inputs!$C$35)^2))/(2*Inputs!$C$36^2)))+Inputs!$C$37*(0.55*SIN(2*PI()*(A151)/Inputs!$C$39)+0.35*COS(2*PI()*(0)/Inputs!$C$40)+0.2*SIN(2*PI()*((A151)+(0))/(0.5*(Inputs!$C$39+Inputs!$C$40))))+Inputs!$C$38*SIN(2*PI()*(A151)/Inputs!$C$39)*SIN(2*PI()*(0)/Inputs!$C$40)+-Inputs!$C$41*EXP(-(((0)-Inputs!$C$43)^2)/(2*Inputs!$C$44^2))*EXP(-(((A151)-Inputs!$C$42)^2)/(2*Inputs!$C$45^2)))</x:f>
        <x:v>-20.296939924539288</x:v>
      </x:c>
      <x:c r="Y151" s="40" t="n">
        <x:f>IF(Inputs!$C$27="ON",1,0)*(Inputs!$C$28*EXP(-(((A151)-Inputs!$C$29)^2)/(2*Inputs!$C$31^2))*EXP(-(((Inputs!$C$6)-Inputs!$C$30)^2)/(2*Inputs!$C$32^2))+-Inputs!$C$33*EXP(-(((((A151)-Inputs!$C$34)^2)+(((Inputs!$C$6)-Inputs!$C$35)^2))/(2*Inputs!$C$36^2)))+Inputs!$C$37*(0.55*SIN(2*PI()*(A151)/Inputs!$C$39)+0.35*COS(2*PI()*(Inputs!$C$6)/Inputs!$C$40)+0.2*SIN(2*PI()*((A151)+(Inputs!$C$6))/(0.5*(Inputs!$C$39+Inputs!$C$40))))+Inputs!$C$38*SIN(2*PI()*(A151)/Inputs!$C$39)*SIN(2*PI()*(Inputs!$C$6)/Inputs!$C$40)+-Inputs!$C$41*EXP(-(((Inputs!$C$6)-Inputs!$C$43)^2)/(2*Inputs!$C$44^2))*EXP(-(((A151)-Inputs!$C$42)^2)/(2*Inputs!$C$45^2)))</x:f>
        <x:v>251.6097487644385</x:v>
      </x:c>
      <x:c r="Z151" s="40" t="n">
        <x:f>B151-X151/1000</x:f>
        <x:v>400.25390805103564</x:v>
      </x:c>
      <x:c r="AA151" s="40" t="n">
        <x:f>SQRT(A151^2+Inputs!$C$6^2+(B151-Y151/1000)^2)</x:f>
        <x:v>401.02475162242575</x:v>
      </x:c>
      <x:c r="AB151" s="40" t="n">
        <x:f>(AA151-Z151)*1000</x:f>
        <x:v>770.8435713901167</x:v>
      </x:c>
      <x:c r="AC151" s="40" t="n">
        <x:f>AB151/Inputs!$C$12</x:f>
        <x:v>433.0581861742229</x:v>
      </x:c>
      <x:c r="AD151" s="40" t="n">
        <x:f>2*AB151/Inputs!$C$21*1000000</x:f>
        <x:v>5.142514768601128</x:v>
      </x:c>
      <x:c r="AE151" s="40" t="n">
        <x:f>DEGREES(ATAN(H151/(B151-Y151/1000)))</x:f>
        <x:v>4.132723446916337</x:v>
      </x:c>
      <x:c r="AF151" s="40" t="n">
        <x:f>DEGREES((2*PI()/Inputs!$C$13)*Inputs!$C$15*SIN(RADIANS(AE151)))</x:f>
        <x:v>25.944157037371877</x:v>
      </x:c>
      <x:c r="AG151" s="40" t="n">
        <x:f>(Z151/AA151)^4</x:f>
        <x:v>0.99233340226862</x:v>
      </x:c>
      <x:c r="AH151" s="40" t="n">
        <x:f>10*LOG10(AG151)</x:f>
        <x:v>-0.0334238990342451</x:v>
      </x:c>
      <x:c r="AI151" s="40" t="n">
        <x:f>AC151-F151</x:f>
        <x:v>-152.38924670461904</x:v>
      </x:c>
      <x:c r="AJ151" s="40" t="n">
        <x:f>AD151-G151</x:f>
        <x:v>-1.8096042905403724</x:v>
      </x:c>
      <x:c r="AK151" s="40" t="n">
        <x:f>Y151-X151</x:f>
        <x:v>271.9066886889778</x:v>
      </x:c>
      <x:c r="AL151" s="40" t="n">
        <x:f>1000*(AA152-AA150)/(A152-A150)*Inputs!$C$11</x:f>
        <x:v>291.65100037425873</x:v>
      </x:c>
      <x:c r="AM151" s="40" t="n">
        <x:f>-2*AL151/Inputs!$C$13</x:f>
        <x:v>-116.66040014970349</x:v>
      </x:c>
      <x:c r="AN151" s="40" t="n">
        <x:f>-2*AL151/Inputs!$C$14</x:f>
        <x:v>-17.51657659905458</x:v>
      </x:c>
      <x:c r="AO151" s="40" t="n">
        <x:f>ABS(AM151)</x:f>
        <x:v>116.66040014970349</x:v>
      </x:c>
      <x:c r="AP151" s="40" t="n">
        <x:f>ABS(AN151)</x:f>
        <x:v>17.51657659905458</x:v>
      </x:c>
      <x:c r="AQ151" s="40" t="n">
        <x:f>IF(Inputs!$C$27="ON",Inputs!$C$46/Inputs!$C$12,0)</x:f>
        <x:v>42.13483146067416</x:v>
      </x:c>
      <x:c r="AR151" s="40" t="n">
        <x:f>AC151-AQ151</x:f>
        <x:v>390.92335471354875</x:v>
      </x:c>
      <x:c r="AS151" s="40" t="n">
        <x:f>AC151+AQ151</x:f>
        <x:v>475.19301763489705</x:v>
      </x:c>
    </x:row>
    <x:row r="152">
      <x:c r="A152" s="40" t="n">
        <x:f>Inputs!$C$7+150*(Inputs!$C$8-Inputs!$C$7)/240</x:f>
        <x:v>15</x:v>
      </x:c>
      <x:c r="B152" s="40" t="n">
        <x:f>Inputs!$C$5+Inputs!$C$9*(A152/Inputs!$C$10)^2</x:f>
        <x:v>400.25</x:v>
      </x:c>
      <x:c r="C152" s="40" t="n">
        <x:f>B152</x:f>
        <x:v>400.25</x:v>
      </x:c>
      <x:c r="D152" s="40" t="n">
        <x:f>SQRT(A152^2+Inputs!$C$6^2+B152^2)</x:f>
        <x:v>401.31043158632195</x:v>
      </x:c>
      <x:c r="E152" s="40" t="n">
        <x:f>(D152-C152)*1000</x:f>
        <x:v>1060.431586321954</x:v>
      </x:c>
      <x:c r="F152" s="40" t="n">
        <x:f>E152/Inputs!$C$12</x:f>
        <x:v>595.7480822033449</x:v>
      </x:c>
      <x:c r="G152" s="40" t="n">
        <x:f>2*E152/Inputs!$C$21*1000000</x:f>
        <x:v>7.074438052220473</x:v>
      </x:c>
      <x:c r="H152" s="40" t="n">
        <x:f>SQRT(A152^2+Inputs!$C$6^2)</x:f>
        <x:v>29.154759474226502</x:v>
      </x:c>
      <x:c r="I152" s="40" t="n">
        <x:f>DEGREES(ATAN(H152/B152))</x:f>
        <x:v>4.1661452978543005</x:v>
      </x:c>
      <x:c r="J152" s="40" t="n">
        <x:f>DEGREES((2*PI()/Inputs!$C$13)*Inputs!$C$15*SIN(RADIANS(I152)))</x:f>
        <x:v>26.153602260558017</x:v>
      </x:c>
      <x:c r="K152" s="40" t="n">
        <x:f>(C152/D152)^4</x:f>
        <x:v>0.9894721318886404</x:v>
      </x:c>
      <x:c r="L152" s="40" t="n">
        <x:f>10*LOG10(K152)</x:f>
        <x:v>-0.045964330264790396</x:v>
      </x:c>
      <x:c r="M152" s="40" t="n">
        <x:f>2*(Inputs!$C$9/(Inputs!$C$10^2))*A152</x:f>
        <x:v>0.03333333333333333</x:v>
      </x:c>
      <x:c r="N152" s="40" t="n">
        <x:f>M152*Inputs!$C$11</x:f>
        <x:v>0.13333333333333333</x:v>
      </x:c>
      <x:c r="O152" s="40" t="n">
        <x:f>1000*((A152*Inputs!$C$11)+(B152*N152))/D152</x:f>
        <x:v>282.4912031779106</x:v>
      </x:c>
      <x:c r="P152" s="40" t="n">
        <x:f>-2*O152/Inputs!$C$13</x:f>
        <x:v>-112.99648127116424</x:v>
      </x:c>
      <x:c r="Q152" s="40" t="n">
        <x:f>-2*O152/Inputs!$C$14</x:f>
        <x:v>-16.966438629303944</x:v>
      </x:c>
      <x:c r="R152" s="40" t="n">
        <x:f>F152-Inputs!$C$16/2</x:f>
        <x:v>580.7480822033449</x:v>
      </x:c>
      <x:c r="S152" s="40" t="n">
        <x:f>F152+Inputs!$C$16/2</x:f>
        <x:v>610.7480822033449</x:v>
      </x:c>
      <x:c r="T152" s="40" t="n">
        <x:f>F152-Inputs!$C$17/2</x:f>
        <x:v>445.7480822033449</x:v>
      </x:c>
      <x:c r="U152" s="40" t="n">
        <x:f>F152+Inputs!$C$17/2</x:f>
        <x:v>745.7480822033449</x:v>
      </x:c>
      <x:c r="V152" s="40" t="n">
        <x:f>ABS(P152)</x:f>
        <x:v>112.99648127116424</x:v>
      </x:c>
      <x:c r="W152" s="40" t="n">
        <x:f>ABS(Q152)</x:f>
        <x:v>16.966438629303944</x:v>
      </x:c>
      <x:c r="X152" s="40" t="n">
        <x:f>IF(Inputs!$C$27="ON",1,0)*(Inputs!$C$28*EXP(-(((A152)-Inputs!$C$29)^2)/(2*Inputs!$C$31^2))*EXP(-(((0)-Inputs!$C$30)^2)/(2*Inputs!$C$32^2))+-Inputs!$C$33*EXP(-(((((A152)-Inputs!$C$34)^2)+(((0)-Inputs!$C$35)^2))/(2*Inputs!$C$36^2)))+Inputs!$C$37*(0.55*SIN(2*PI()*(A152)/Inputs!$C$39)+0.35*COS(2*PI()*(0)/Inputs!$C$40)+0.2*SIN(2*PI()*((A152)+(0))/(0.5*(Inputs!$C$39+Inputs!$C$40))))+Inputs!$C$38*SIN(2*PI()*(A152)/Inputs!$C$39)*SIN(2*PI()*(0)/Inputs!$C$40)+-Inputs!$C$41*EXP(-(((0)-Inputs!$C$43)^2)/(2*Inputs!$C$44^2))*EXP(-(((A152)-Inputs!$C$42)^2)/(2*Inputs!$C$45^2)))</x:f>
        <x:v>-14.94766107004692</x:v>
      </x:c>
      <x:c r="Y152" s="40" t="n">
        <x:f>IF(Inputs!$C$27="ON",1,0)*(Inputs!$C$28*EXP(-(((A152)-Inputs!$C$29)^2)/(2*Inputs!$C$31^2))*EXP(-(((Inputs!$C$6)-Inputs!$C$30)^2)/(2*Inputs!$C$32^2))+-Inputs!$C$33*EXP(-(((((A152)-Inputs!$C$34)^2)+(((Inputs!$C$6)-Inputs!$C$35)^2))/(2*Inputs!$C$36^2)))+Inputs!$C$37*(0.55*SIN(2*PI()*(A152)/Inputs!$C$39)+0.35*COS(2*PI()*(Inputs!$C$6)/Inputs!$C$40)+0.2*SIN(2*PI()*((A152)+(Inputs!$C$6))/(0.5*(Inputs!$C$39+Inputs!$C$40))))+Inputs!$C$38*SIN(2*PI()*(A152)/Inputs!$C$39)*SIN(2*PI()*(Inputs!$C$6)/Inputs!$C$40)+-Inputs!$C$41*EXP(-(((Inputs!$C$6)-Inputs!$C$43)^2)/(2*Inputs!$C$44^2))*EXP(-(((A152)-Inputs!$C$42)^2)/(2*Inputs!$C$45^2)))</x:f>
        <x:v>250.2262414478555</x:v>
      </x:c>
      <x:c r="Z152" s="40" t="n">
        <x:f>B152-X152/1000</x:f>
        <x:v>400.26494766107004</x:v>
      </x:c>
      <x:c r="AA152" s="40" t="n">
        <x:f>SQRT(A152^2+Inputs!$C$6^2+(B152-Y152/1000)^2)</x:f>
        <x:v>401.060866960232</x:v>
      </x:c>
      <x:c r="AB152" s="40" t="n">
        <x:f>(AA152-Z152)*1000</x:f>
        <x:v>795.9192991619375</x:v>
      </x:c>
      <x:c r="AC152" s="40" t="n">
        <x:f>AB152/Inputs!$C$12</x:f>
        <x:v>447.1456736864817</x:v>
      </x:c>
      <x:c r="AD152" s="40" t="n">
        <x:f>2*AB152/Inputs!$C$21*1000000</x:f>
        <x:v>5.309802017513979</x:v>
      </x:c>
      <x:c r="AE152" s="40" t="n">
        <x:f>DEGREES(ATAN(H152/(B152-Y152/1000)))</x:f>
        <x:v>4.168742311376203</x:v>
      </x:c>
      <x:c r="AF152" s="40" t="n">
        <x:f>DEGREES((2*PI()/Inputs!$C$13)*Inputs!$C$15*SIN(RADIANS(AE152)))</x:f>
        <x:v>26.16987663312029</x:v>
      </x:c>
      <x:c r="AG152" s="40" t="n">
        <x:f>(Z152/AA152)^4</x:f>
        <x:v>0.9920854593091741</x:v>
      </x:c>
      <x:c r="AH152" s="40" t="n">
        <x:f>10*LOG10(AG152)</x:f>
        <x:v>-0.0345091564036376</x:v>
      </x:c>
      <x:c r="AI152" s="40" t="n">
        <x:f>AC152-F152</x:f>
        <x:v>-148.6024085168632</x:v>
      </x:c>
      <x:c r="AJ152" s="40" t="n">
        <x:f>AD152-G152</x:f>
        <x:v>-1.764636034706494</x:v>
      </x:c>
      <x:c r="AK152" s="40" t="n">
        <x:f>Y152-X152</x:f>
        <x:v>265.17390251790243</x:v>
      </x:c>
      <x:c r="AL152" s="40" t="n">
        <x:f>1000*(AA153-AA151)/(A153-A151)*Inputs!$C$11</x:f>
        <x:v>286.37433789299394</x:v>
      </x:c>
      <x:c r="AM152" s="40" t="n">
        <x:f>-2*AL152/Inputs!$C$13</x:f>
        <x:v>-114.54973515719757</x:v>
      </x:c>
      <x:c r="AN152" s="40" t="n">
        <x:f>-2*AL152/Inputs!$C$14</x:f>
        <x:v>-17.19965993351315</x:v>
      </x:c>
      <x:c r="AO152" s="40" t="n">
        <x:f>ABS(AM152)</x:f>
        <x:v>114.54973515719757</x:v>
      </x:c>
      <x:c r="AP152" s="40" t="n">
        <x:f>ABS(AN152)</x:f>
        <x:v>17.19965993351315</x:v>
      </x:c>
      <x:c r="AQ152" s="40" t="n">
        <x:f>IF(Inputs!$C$27="ON",Inputs!$C$46/Inputs!$C$12,0)</x:f>
        <x:v>42.13483146067416</x:v>
      </x:c>
      <x:c r="AR152" s="40" t="n">
        <x:f>AC152-AQ152</x:f>
        <x:v>405.01084222580755</x:v>
      </x:c>
      <x:c r="AS152" s="40" t="n">
        <x:f>AC152+AQ152</x:f>
        <x:v>489.28050514715585</x:v>
      </x:c>
    </x:row>
    <x:row r="153">
      <x:c r="A153" s="40" t="n">
        <x:f>Inputs!$C$7+151*(Inputs!$C$8-Inputs!$C$7)/240</x:f>
        <x:v>15.5</x:v>
      </x:c>
      <x:c r="B153" s="40" t="n">
        <x:f>Inputs!$C$5+Inputs!$C$9*(A153/Inputs!$C$10)^2</x:f>
        <x:v>400.26694444444445</x:v>
      </x:c>
      <x:c r="C153" s="40" t="n">
        <x:f>B153</x:f>
        <x:v>400.26694444444445</x:v>
      </x:c>
      <x:c r="D153" s="40" t="n">
        <x:f>SQRT(A153^2+Inputs!$C$6^2+B153^2)</x:f>
        <x:v>401.3463302621465</x:v>
      </x:c>
      <x:c r="E153" s="40" t="n">
        <x:f>(D153-C153)*1000</x:f>
        <x:v>1079.3858177020752</x:v>
      </x:c>
      <x:c r="F153" s="40" t="n">
        <x:f>E153/Inputs!$C$12</x:f>
        <x:v>606.3965267989187</x:v>
      </x:c>
      <x:c r="G153" s="40" t="n">
        <x:f>2*E153/Inputs!$C$21*1000000</x:f>
        <x:v>7.200887073030204</x:v>
      </x:c>
      <x:c r="H153" s="40" t="n">
        <x:f>SQRT(A153^2+Inputs!$C$6^2)</x:f>
        <x:v>29.415132160165456</x:v>
      </x:c>
      <x:c r="I153" s="40" t="n">
        <x:f>DEGREES(ATAN(H153/B153))</x:f>
        <x:v>4.203041875082947</x:v>
      </x:c>
      <x:c r="J153" s="40" t="n">
        <x:f>DEGREES((2*PI()/Inputs!$C$13)*Inputs!$C$15*SIN(RADIANS(I153)))</x:f>
        <x:v>26.38481226611161</x:v>
      </x:c>
      <x:c r="K153" s="40" t="n">
        <x:f>(C153/D153)^4</x:f>
        <x:v>0.9892856700755499</x:v>
      </x:c>
      <x:c r="L153" s="40" t="n">
        <x:f>10*LOG10(K153)</x:f>
        <x:v>-0.0467828168594627</x:v>
      </x:c>
      <x:c r="M153" s="40" t="n">
        <x:f>2*(Inputs!$C$9/(Inputs!$C$10^2))*A153</x:f>
        <x:v>0.034444444444444444</x:v>
      </x:c>
      <x:c r="N153" s="40" t="n">
        <x:f>M153*Inputs!$C$11</x:f>
        <x:v>0.13777777777777778</x:v>
      </x:c>
      <x:c r="O153" s="40" t="n">
        <x:f>1000*((A153*Inputs!$C$11)+(B153*N153))/D153</x:f>
        <x:v>291.8872836010225</x:v>
      </x:c>
      <x:c r="P153" s="40" t="n">
        <x:f>-2*O153/Inputs!$C$13</x:f>
        <x:v>-116.754913440409</x:v>
      </x:c>
      <x:c r="Q153" s="40" t="n">
        <x:f>-2*O153/Inputs!$C$14</x:f>
        <x:v>-17.530767783845196</x:v>
      </x:c>
      <x:c r="R153" s="40" t="n">
        <x:f>F153-Inputs!$C$16/2</x:f>
        <x:v>591.3965267989187</x:v>
      </x:c>
      <x:c r="S153" s="40" t="n">
        <x:f>F153+Inputs!$C$16/2</x:f>
        <x:v>621.3965267989187</x:v>
      </x:c>
      <x:c r="T153" s="40" t="n">
        <x:f>F153-Inputs!$C$17/2</x:f>
        <x:v>456.39652679891867</x:v>
      </x:c>
      <x:c r="U153" s="40" t="n">
        <x:f>F153+Inputs!$C$17/2</x:f>
        <x:v>756.3965267989187</x:v>
      </x:c>
      <x:c r="V153" s="40" t="n">
        <x:f>ABS(P153)</x:f>
        <x:v>116.754913440409</x:v>
      </x:c>
      <x:c r="W153" s="40" t="n">
        <x:f>ABS(Q153)</x:f>
        <x:v>17.530767783845196</x:v>
      </x:c>
      <x:c r="X153" s="40" t="n">
        <x:f>IF(Inputs!$C$27="ON",1,0)*(Inputs!$C$28*EXP(-(((A153)-Inputs!$C$29)^2)/(2*Inputs!$C$31^2))*EXP(-(((0)-Inputs!$C$30)^2)/(2*Inputs!$C$32^2))+-Inputs!$C$33*EXP(-(((((A153)-Inputs!$C$34)^2)+(((0)-Inputs!$C$35)^2))/(2*Inputs!$C$36^2)))+Inputs!$C$37*(0.55*SIN(2*PI()*(A153)/Inputs!$C$39)+0.35*COS(2*PI()*(0)/Inputs!$C$40)+0.2*SIN(2*PI()*((A153)+(0))/(0.5*(Inputs!$C$39+Inputs!$C$40))))+Inputs!$C$38*SIN(2*PI()*(A153)/Inputs!$C$39)*SIN(2*PI()*(0)/Inputs!$C$40)+-Inputs!$C$41*EXP(-(((0)-Inputs!$C$43)^2)/(2*Inputs!$C$44^2))*EXP(-(((A153)-Inputs!$C$42)^2)/(2*Inputs!$C$45^2)))</x:f>
        <x:v>-8.657894812887456</x:v>
      </x:c>
      <x:c r="Y153" s="40" t="n">
        <x:f>IF(Inputs!$C$27="ON",1,0)*(Inputs!$C$28*EXP(-(((A153)-Inputs!$C$29)^2)/(2*Inputs!$C$31^2))*EXP(-(((Inputs!$C$6)-Inputs!$C$30)^2)/(2*Inputs!$C$32^2))+-Inputs!$C$33*EXP(-(((((A153)-Inputs!$C$34)^2)+(((Inputs!$C$6)-Inputs!$C$35)^2))/(2*Inputs!$C$36^2)))+Inputs!$C$37*(0.55*SIN(2*PI()*(A153)/Inputs!$C$39)+0.35*COS(2*PI()*(Inputs!$C$6)/Inputs!$C$40)+0.2*SIN(2*PI()*((A153)+(Inputs!$C$6))/(0.5*(Inputs!$C$39+Inputs!$C$40))))+Inputs!$C$38*SIN(2*PI()*(A153)/Inputs!$C$39)*SIN(2*PI()*(Inputs!$C$6)/Inputs!$C$40)+-Inputs!$C$41*EXP(-(((Inputs!$C$6)-Inputs!$C$43)^2)/(2*Inputs!$C$44^2))*EXP(-(((A153)-Inputs!$C$42)^2)/(2*Inputs!$C$45^2)))</x:f>
        <x:v>250.6596030246285</x:v>
      </x:c>
      <x:c r="Z153" s="40" t="n">
        <x:f>B153-X153/1000</x:f>
        <x:v>400.2756023392573</x:v>
      </x:c>
      <x:c r="AA153" s="40" t="n">
        <x:f>SQRT(A153^2+Inputs!$C$6^2+(B153-Y153/1000)^2)</x:f>
        <x:v>401.096345206899</x:v>
      </x:c>
      <x:c r="AB153" s="40" t="n">
        <x:f>(AA153-Z153)*1000</x:f>
        <x:v>820.7428676416839</x:v>
      </x:c>
      <x:c r="AC153" s="40" t="n">
        <x:f>AB153/Inputs!$C$12</x:f>
        <x:v>461.0914986751033</x:v>
      </x:c>
      <x:c r="AD153" s="40" t="n">
        <x:f>2*AB153/Inputs!$C$21*1000000</x:f>
        <x:v>5.4754070407047</x:v>
      </x:c>
      <x:c r="AE153" s="40" t="n">
        <x:f>DEGREES(ATAN(H153/(B153-Y153/1000)))</x:f>
        <x:v>4.205666152740894</x:v>
      </x:c>
      <x:c r="AF153" s="40" t="n">
        <x:f>DEGREES((2*PI()/Inputs!$C$13)*Inputs!$C$15*SIN(RADIANS(AE153)))</x:f>
        <x:v>26.401256716007147</x:v>
      </x:c>
      <x:c r="AG153" s="40" t="n">
        <x:f>(Z153/AA153)^4</x:f>
        <x:v>0.9918400938207979</x:v>
      </x:c>
      <x:c r="AH153" s="40" t="n">
        <x:f>10*LOG10(AG153)</x:f>
        <x:v>-0.0355833991142727</x:v>
      </x:c>
      <x:c r="AI153" s="40" t="n">
        <x:f>AC153-F153</x:f>
        <x:v>-145.30502812381536</x:v>
      </x:c>
      <x:c r="AJ153" s="40" t="n">
        <x:f>AD153-G153</x:f>
        <x:v>-1.7254800323255042</x:v>
      </x:c>
      <x:c r="AK153" s="40" t="n">
        <x:f>Y153-X153</x:f>
        <x:v>259.31749783751593</x:v>
      </x:c>
      <x:c r="AL153" s="40" t="n">
        <x:f>1000*(AA154-AA152)/(A154-A152)*Inputs!$C$11</x:f>
        <x:v>281.71302921032293</x:v>
      </x:c>
      <x:c r="AM153" s="40" t="n">
        <x:f>-2*AL153/Inputs!$C$13</x:f>
        <x:v>-112.68521168412917</x:v>
      </x:c>
      <x:c r="AN153" s="40" t="n">
        <x:f>-2*AL153/Inputs!$C$14</x:f>
        <x:v>-16.91970145407345</x:v>
      </x:c>
      <x:c r="AO153" s="40" t="n">
        <x:f>ABS(AM153)</x:f>
        <x:v>112.68521168412917</x:v>
      </x:c>
      <x:c r="AP153" s="40" t="n">
        <x:f>ABS(AN153)</x:f>
        <x:v>16.91970145407345</x:v>
      </x:c>
      <x:c r="AQ153" s="40" t="n">
        <x:f>IF(Inputs!$C$27="ON",Inputs!$C$46/Inputs!$C$12,0)</x:f>
        <x:v>42.13483146067416</x:v>
      </x:c>
      <x:c r="AR153" s="40" t="n">
        <x:f>AC153-AQ153</x:f>
        <x:v>418.95666721442916</x:v>
      </x:c>
      <x:c r="AS153" s="40" t="n">
        <x:f>AC153+AQ153</x:f>
        <x:v>503.22633013577746</x:v>
      </x:c>
    </x:row>
    <x:row r="154">
      <x:c r="A154" s="40" t="n">
        <x:f>Inputs!$C$7+152*(Inputs!$C$8-Inputs!$C$7)/240</x:f>
        <x:v>16</x:v>
      </x:c>
      <x:c r="B154" s="40" t="n">
        <x:f>Inputs!$C$5+Inputs!$C$9*(A154/Inputs!$C$10)^2</x:f>
        <x:v>400.28444444444443</x:v>
      </x:c>
      <x:c r="C154" s="40" t="n">
        <x:f>B154</x:f>
        <x:v>400.28444444444443</x:v>
      </x:c>
      <x:c r="D154" s="40" t="n">
        <x:f>SQRT(A154^2+Inputs!$C$6^2+B154^2)</x:f>
        <x:v>401.38340332429976</x:v>
      </x:c>
      <x:c r="E154" s="40" t="n">
        <x:f>(D154-C154)*1000</x:f>
        <x:v>1098.9588798553314</x:v>
      </x:c>
      <x:c r="F154" s="40" t="n">
        <x:f>E154/Inputs!$C$12</x:f>
        <x:v>617.3926291322086</x:v>
      </x:c>
      <x:c r="G154" s="40" t="n">
        <x:f>2*E154/Inputs!$C$21*1000000</x:f>
        <x:v>7.331464488378367</x:v>
      </x:c>
      <x:c r="H154" s="40" t="n">
        <x:f>SQRT(A154^2+Inputs!$C$6^2)</x:f>
        <x:v>29.68164415931166</x:v>
      </x:c>
      <x:c r="I154" s="40" t="n">
        <x:f>DEGREES(ATAN(H154/B154))</x:f>
        <x:v>4.240799936495226</x:v>
      </x:c>
      <x:c r="J154" s="40" t="n">
        <x:f>DEGREES((2*PI()/Inputs!$C$13)*Inputs!$C$15*SIN(RADIANS(I154)))</x:f>
        <x:v>26.621409377803502</x:v>
      </x:c>
      <x:c r="K154" s="40" t="n">
        <x:f>(C154/D154)^4</x:f>
        <x:v>0.9890931832486968</x:v>
      </x:c>
      <x:c r="L154" s="40" t="n">
        <x:f>10*LOG10(K154)</x:f>
        <x:v>-0.0476279124978911</x:v>
      </x:c>
      <x:c r="M154" s="40" t="n">
        <x:f>2*(Inputs!$C$9/(Inputs!$C$10^2))*A154</x:f>
        <x:v>0.035555555555555556</x:v>
      </x:c>
      <x:c r="N154" s="40" t="n">
        <x:f>M154*Inputs!$C$11</x:f>
        <x:v>0.14222222222222222</x:v>
      </x:c>
      <x:c r="O154" s="40" t="n">
        <x:f>1000*((A154*Inputs!$C$11)+(B154*N154))/D154</x:f>
        <x:v>301.28137388922147</x:v>
      </x:c>
      <x:c r="P154" s="40" t="n">
        <x:f>-2*O154/Inputs!$C$13</x:f>
        <x:v>-120.5125495556886</x:v>
      </x:c>
      <x:c r="Q154" s="40" t="n">
        <x:f>-2*O154/Inputs!$C$14</x:f>
        <x:v>-18.094977410764052</x:v>
      </x:c>
      <x:c r="R154" s="40" t="n">
        <x:f>F154-Inputs!$C$16/2</x:f>
        <x:v>602.3926291322086</x:v>
      </x:c>
      <x:c r="S154" s="40" t="n">
        <x:f>F154+Inputs!$C$16/2</x:f>
        <x:v>632.3926291322086</x:v>
      </x:c>
      <x:c r="T154" s="40" t="n">
        <x:f>F154-Inputs!$C$17/2</x:f>
        <x:v>467.39262913220864</x:v>
      </x:c>
      <x:c r="U154" s="40" t="n">
        <x:f>F154+Inputs!$C$17/2</x:f>
        <x:v>767.3926291322086</x:v>
      </x:c>
      <x:c r="V154" s="40" t="n">
        <x:f>ABS(P154)</x:f>
        <x:v>120.5125495556886</x:v>
      </x:c>
      <x:c r="W154" s="40" t="n">
        <x:f>ABS(Q154)</x:f>
        <x:v>18.094977410764052</x:v>
      </x:c>
      <x:c r="X154" s="40" t="n">
        <x:f>IF(Inputs!$C$27="ON",1,0)*(Inputs!$C$28*EXP(-(((A154)-Inputs!$C$29)^2)/(2*Inputs!$C$31^2))*EXP(-(((0)-Inputs!$C$30)^2)/(2*Inputs!$C$32^2))+-Inputs!$C$33*EXP(-(((((A154)-Inputs!$C$34)^2)+(((0)-Inputs!$C$35)^2))/(2*Inputs!$C$36^2)))+Inputs!$C$37*(0.55*SIN(2*PI()*(A154)/Inputs!$C$39)+0.35*COS(2*PI()*(0)/Inputs!$C$40)+0.2*SIN(2*PI()*((A154)+(0))/(0.5*(Inputs!$C$39+Inputs!$C$40))))+Inputs!$C$38*SIN(2*PI()*(A154)/Inputs!$C$39)*SIN(2*PI()*(0)/Inputs!$C$40)+-Inputs!$C$41*EXP(-(((0)-Inputs!$C$43)^2)/(2*Inputs!$C$44^2))*EXP(-(((A154)-Inputs!$C$42)^2)/(2*Inputs!$C$45^2)))</x:f>
        <x:v>-1.6540947002614148</x:v>
      </x:c>
      <x:c r="Y154" s="40" t="n">
        <x:f>IF(Inputs!$C$27="ON",1,0)*(Inputs!$C$28*EXP(-(((A154)-Inputs!$C$29)^2)/(2*Inputs!$C$31^2))*EXP(-(((Inputs!$C$6)-Inputs!$C$30)^2)/(2*Inputs!$C$32^2))+-Inputs!$C$33*EXP(-(((((A154)-Inputs!$C$34)^2)+(((Inputs!$C$6)-Inputs!$C$35)^2))/(2*Inputs!$C$36^2)))+Inputs!$C$37*(0.55*SIN(2*PI()*(A154)/Inputs!$C$39)+0.35*COS(2*PI()*(Inputs!$C$6)/Inputs!$C$40)+0.2*SIN(2*PI()*((A154)+(Inputs!$C$6))/(0.5*(Inputs!$C$39+Inputs!$C$40))))+Inputs!$C$38*SIN(2*PI()*(A154)/Inputs!$C$39)*SIN(2*PI()*(Inputs!$C$6)/Inputs!$C$40)+-Inputs!$C$41*EXP(-(((Inputs!$C$6)-Inputs!$C$43)^2)/(2*Inputs!$C$44^2))*EXP(-(((A154)-Inputs!$C$42)^2)/(2*Inputs!$C$45^2)))</x:f>
        <x:v>252.80069248211987</x:v>
      </x:c>
      <x:c r="Z154" s="40" t="n">
        <x:f>B154-X154/1000</x:f>
        <x:v>400.2860985391447</x:v>
      </x:c>
      <x:c r="AA154" s="40" t="n">
        <x:f>SQRT(A154^2+Inputs!$C$6^2+(B154-Y154/1000)^2)</x:f>
        <x:v>401.13129521753456</x:v>
      </x:c>
      <x:c r="AB154" s="40" t="n">
        <x:f>(AA154-Z154)*1000</x:f>
        <x:v>845.1966783898683</x:v>
      </x:c>
      <x:c r="AC154" s="40" t="n">
        <x:f>AB154/Inputs!$C$12</x:f>
        <x:v>474.8295946010496</x:v>
      </x:c>
      <x:c r="AD154" s="40" t="n">
        <x:f>2*AB154/Inputs!$C$21*1000000</x:f>
        <x:v>5.6385453058319985</x:v>
      </x:c>
      <x:c r="AE154" s="40" t="n">
        <x:f>DEGREES(ATAN(H154/(B154-Y154/1000)))</x:f>
        <x:v>4.243470130947012</x:v>
      </x:c>
      <x:c r="AF154" s="40" t="n">
        <x:f>DEGREES((2*PI()/Inputs!$C$13)*Inputs!$C$15*SIN(RADIANS(AE154)))</x:f>
        <x:v>26.638140740321646</x:v>
      </x:c>
      <x:c r="AG154" s="40" t="n">
        <x:f>(Z154/AA154)^4</x:f>
        <x:v>0.9915984700922812</x:v>
      </x:c>
      <x:c r="AH154" s="40" t="n">
        <x:f>10*LOG10(AG154)</x:f>
        <x:v>-0.0366415196370858</x:v>
      </x:c>
      <x:c r="AI154" s="40" t="n">
        <x:f>AC154-F154</x:f>
        <x:v>-142.56303453115902</x:v>
      </x:c>
      <x:c r="AJ154" s="40" t="n">
        <x:f>AD154-G154</x:f>
        <x:v>-1.692919182546368</x:v>
      </x:c>
      <x:c r="AK154" s="40" t="n">
        <x:f>Y154-X154</x:f>
        <x:v>254.4547871823813</x:v>
      </x:c>
      <x:c r="AL154" s="40" t="n">
        <x:f>1000*(AA155-AA153)/(A155-A153)*Inputs!$C$11</x:f>
        <x:v>278.1668218701725</x:v>
      </x:c>
      <x:c r="AM154" s="40" t="n">
        <x:f>-2*AL154/Inputs!$C$13</x:f>
        <x:v>-111.266728748069</x:v>
      </x:c>
      <x:c r="AN154" s="40" t="n">
        <x:f>-2*AL154/Inputs!$C$14</x:f>
        <x:v>-16.70671602823859</x:v>
      </x:c>
      <x:c r="AO154" s="40" t="n">
        <x:f>ABS(AM154)</x:f>
        <x:v>111.266728748069</x:v>
      </x:c>
      <x:c r="AP154" s="40" t="n">
        <x:f>ABS(AN154)</x:f>
        <x:v>16.70671602823859</x:v>
      </x:c>
      <x:c r="AQ154" s="40" t="n">
        <x:f>IF(Inputs!$C$27="ON",Inputs!$C$46/Inputs!$C$12,0)</x:f>
        <x:v>42.13483146067416</x:v>
      </x:c>
      <x:c r="AR154" s="40" t="n">
        <x:f>AC154-AQ154</x:f>
        <x:v>432.69476314037547</x:v>
      </x:c>
      <x:c r="AS154" s="40" t="n">
        <x:f>AC154+AQ154</x:f>
        <x:v>516.9644260617238</x:v>
      </x:c>
    </x:row>
    <x:row r="155">
      <x:c r="A155" s="40" t="n">
        <x:f>Inputs!$C$7+153*(Inputs!$C$8-Inputs!$C$7)/240</x:f>
        <x:v>16.5</x:v>
      </x:c>
      <x:c r="B155" s="40" t="n">
        <x:f>Inputs!$C$5+Inputs!$C$9*(A155/Inputs!$C$10)^2</x:f>
        <x:v>400.3025</x:v>
      </x:c>
      <x:c r="C155" s="40" t="n">
        <x:f>B155</x:f>
        <x:v>400.3025</x:v>
      </x:c>
      <x:c r="D155" s="40" t="n">
        <x:f>SQRT(A155^2+Inputs!$C$6^2+B155^2)</x:f>
        <x:v>401.421650520061</x:v>
      </x:c>
      <x:c r="E155" s="40" t="n">
        <x:f>(D155-C155)*1000</x:f>
        <x:v>1119.1505200609981</x:v>
      </x:c>
      <x:c r="F155" s="40" t="n">
        <x:f>E155/Inputs!$C$12</x:f>
        <x:v>628.7362472252798</x:v>
      </x:c>
      <x:c r="G155" s="40" t="n">
        <x:f>2*E155/Inputs!$C$21*1000000</x:f>
        <x:v>7.466168612293763</x:v>
      </x:c>
      <x:c r="H155" s="40" t="n">
        <x:f>SQRT(A155^2+Inputs!$C$6^2)</x:f>
        <x:v>29.95413160150032</x:v>
      </x:c>
      <x:c r="I155" s="40" t="n">
        <x:f>DEGREES(ATAN(H155/B155))</x:f>
        <x:v>4.2793956023743185</x:v>
      </x:c>
      <x:c r="J155" s="40" t="n">
        <x:f>DEGREES((2*PI()/Inputs!$C$13)*Inputs!$C$15*SIN(RADIANS(I155)))</x:f>
        <x:v>26.863243082603024</x:v>
      </x:c>
      <x:c r="K155" s="40" t="n">
        <x:f>(C155/D155)^4</x:f>
        <x:v>0.988894679910662</x:v>
      </x:c>
      <x:c r="L155" s="40" t="n">
        <x:f>10*LOG10(K155)</x:f>
        <x:v>-0.0484995953453235</x:v>
      </x:c>
      <x:c r="M155" s="40" t="n">
        <x:f>2*(Inputs!$C$9/(Inputs!$C$10^2))*A155</x:f>
        <x:v>0.03666666666666667</x:v>
      </x:c>
      <x:c r="N155" s="40" t="n">
        <x:f>M155*Inputs!$C$11</x:f>
        <x:v>0.14666666666666667</x:v>
      </x:c>
      <x:c r="O155" s="40" t="n">
        <x:f>1000*((A155*Inputs!$C$11)+(B155*N155))/D155</x:f>
        <x:v>310.6734107932749</x:v>
      </x:c>
      <x:c r="P155" s="40" t="n">
        <x:f>-2*O155/Inputs!$C$13</x:f>
        <x:v>-124.26936431730996</x:v>
      </x:c>
      <x:c r="Q155" s="40" t="n">
        <x:f>-2*O155/Inputs!$C$14</x:f>
        <x:v>-18.659063711307805</x:v>
      </x:c>
      <x:c r="R155" s="40" t="n">
        <x:f>F155-Inputs!$C$16/2</x:f>
        <x:v>613.7362472252798</x:v>
      </x:c>
      <x:c r="S155" s="40" t="n">
        <x:f>F155+Inputs!$C$16/2</x:f>
        <x:v>643.7362472252798</x:v>
      </x:c>
      <x:c r="T155" s="40" t="n">
        <x:f>F155-Inputs!$C$17/2</x:f>
        <x:v>478.73624722527984</x:v>
      </x:c>
      <x:c r="U155" s="40" t="n">
        <x:f>F155+Inputs!$C$17/2</x:f>
        <x:v>778.7362472252798</x:v>
      </x:c>
      <x:c r="V155" s="40" t="n">
        <x:f>ABS(P155)</x:f>
        <x:v>124.26936431730996</x:v>
      </x:c>
      <x:c r="W155" s="40" t="n">
        <x:f>ABS(Q155)</x:f>
        <x:v>18.659063711307805</x:v>
      </x:c>
      <x:c r="X155" s="40" t="n">
        <x:f>IF(Inputs!$C$27="ON",1,0)*(Inputs!$C$28*EXP(-(((A155)-Inputs!$C$29)^2)/(2*Inputs!$C$31^2))*EXP(-(((0)-Inputs!$C$30)^2)/(2*Inputs!$C$32^2))+-Inputs!$C$33*EXP(-(((((A155)-Inputs!$C$34)^2)+(((0)-Inputs!$C$35)^2))/(2*Inputs!$C$36^2)))+Inputs!$C$37*(0.55*SIN(2*PI()*(A155)/Inputs!$C$39)+0.35*COS(2*PI()*(0)/Inputs!$C$40)+0.2*SIN(2*PI()*((A155)+(0))/(0.5*(Inputs!$C$39+Inputs!$C$40))))+Inputs!$C$38*SIN(2*PI()*(A155)/Inputs!$C$39)*SIN(2*PI()*(0)/Inputs!$C$40)+-Inputs!$C$41*EXP(-(((0)-Inputs!$C$43)^2)/(2*Inputs!$C$44^2))*EXP(-(((A155)-Inputs!$C$42)^2)/(2*Inputs!$C$45^2)))</x:f>
        <x:v>5.817111049729508</x:v>
      </x:c>
      <x:c r="Y155" s="40" t="n">
        <x:f>IF(Inputs!$C$27="ON",1,0)*(Inputs!$C$28*EXP(-(((A155)-Inputs!$C$29)^2)/(2*Inputs!$C$31^2))*EXP(-(((Inputs!$C$6)-Inputs!$C$30)^2)/(2*Inputs!$C$32^2))+-Inputs!$C$33*EXP(-(((((A155)-Inputs!$C$34)^2)+(((Inputs!$C$6)-Inputs!$C$35)^2))/(2*Inputs!$C$36^2)))+Inputs!$C$37*(0.55*SIN(2*PI()*(A155)/Inputs!$C$39)+0.35*COS(2*PI()*(Inputs!$C$6)/Inputs!$C$40)+0.2*SIN(2*PI()*((A155)+(Inputs!$C$6))/(0.5*(Inputs!$C$39+Inputs!$C$40))))+Inputs!$C$38*SIN(2*PI()*(A155)/Inputs!$C$39)*SIN(2*PI()*(Inputs!$C$6)/Inputs!$C$40)+-Inputs!$C$41*EXP(-(((Inputs!$C$6)-Inputs!$C$43)^2)/(2*Inputs!$C$44^2))*EXP(-(((A155)-Inputs!$C$42)^2)/(2*Inputs!$C$45^2)))</x:f>
        <x:v>256.4791196697492</x:v>
      </x:c>
      <x:c r="Z155" s="40" t="n">
        <x:f>B155-X155/1000</x:f>
        <x:v>400.2966828889503</x:v>
      </x:c>
      <x:c r="AA155" s="40" t="n">
        <x:f>SQRT(A155^2+Inputs!$C$6^2+(B155-Y155/1000)^2)</x:f>
        <x:v>401.16588691236655</x:v>
      </x:c>
      <x:c r="AB155" s="40" t="n">
        <x:f>(AA155-Z155)*1000</x:f>
        <x:v>869.2040234162732</x:v>
      </x:c>
      <x:c r="AC155" s="40" t="n">
        <x:f>AB155/Inputs!$C$12</x:f>
        <x:v>488.3168670877939</x:v>
      </x:c>
      <x:c r="AD155" s="40" t="n">
        <x:f>2*AB155/Inputs!$C$21*1000000</x:f>
        <x:v>5.7987050722688505</x:v>
      </x:c>
      <x:c r="AE155" s="40" t="n">
        <x:f>DEGREES(ATAN(H155/(B155-Y155/1000)))</x:f>
        <x:v>4.282129023788194</x:v>
      </x:c>
      <x:c r="AF155" s="40" t="n">
        <x:f>DEGREES((2*PI()/Inputs!$C$13)*Inputs!$C$15*SIN(RADIANS(AE155)))</x:f>
        <x:v>26.880369763084403</x:v>
      </x:c>
      <x:c r="AG155" s="40" t="n">
        <x:f>(Z155/AA155)^4</x:f>
        <x:v>0.9913613477086897</x:v>
      </x:c>
      <x:c r="AH155" s="40" t="n">
        <x:f>10*LOG10(AG155)</x:f>
        <x:v>-0.037680178537744705</x:v>
      </x:c>
      <x:c r="AI155" s="40" t="n">
        <x:f>AC155-F155</x:f>
        <x:v>-140.41938013748592</x:v>
      </x:c>
      <x:c r="AJ155" s="40" t="n">
        <x:f>AD155-G155</x:f>
        <x:v>-1.6674635400249125</x:v>
      </x:c>
      <x:c r="AK155" s="40" t="n">
        <x:f>Y155-X155</x:f>
        <x:v>250.6620086200197</x:v>
      </x:c>
      <x:c r="AL155" s="40" t="n">
        <x:f>1000*(AA156-AA154)/(A156-A154)*Inputs!$C$11</x:f>
        <x:v>276.2043278623878</x:v>
      </x:c>
      <x:c r="AM155" s="40" t="n">
        <x:f>-2*AL155/Inputs!$C$13</x:f>
        <x:v>-110.48173114495512</x:v>
      </x:c>
      <x:c r="AN155" s="40" t="n">
        <x:f>-2*AL155/Inputs!$C$14</x:f>
        <x:v>-16.588848520263532</x:v>
      </x:c>
      <x:c r="AO155" s="40" t="n">
        <x:f>ABS(AM155)</x:f>
        <x:v>110.48173114495512</x:v>
      </x:c>
      <x:c r="AP155" s="40" t="n">
        <x:f>ABS(AN155)</x:f>
        <x:v>16.588848520263532</x:v>
      </x:c>
      <x:c r="AQ155" s="40" t="n">
        <x:f>IF(Inputs!$C$27="ON",Inputs!$C$46/Inputs!$C$12,0)</x:f>
        <x:v>42.13483146067416</x:v>
      </x:c>
      <x:c r="AR155" s="40" t="n">
        <x:f>AC155-AQ155</x:f>
        <x:v>446.1820356271198</x:v>
      </x:c>
      <x:c r="AS155" s="40" t="n">
        <x:f>AC155+AQ155</x:f>
        <x:v>530.4516985484681</x:v>
      </x:c>
    </x:row>
    <x:row r="156">
      <x:c r="A156" s="40" t="n">
        <x:f>Inputs!$C$7+154*(Inputs!$C$8-Inputs!$C$7)/240</x:f>
        <x:v>17</x:v>
      </x:c>
      <x:c r="B156" s="40" t="n">
        <x:f>Inputs!$C$5+Inputs!$C$9*(A156/Inputs!$C$10)^2</x:f>
        <x:v>400.3211111111111</x:v>
      </x:c>
      <x:c r="C156" s="40" t="n">
        <x:f>B156</x:f>
        <x:v>400.3211111111111</x:v>
      </x:c>
      <x:c r="D156" s="40" t="n">
        <x:f>SQRT(A156^2+Inputs!$C$6^2+B156^2)</x:f>
        <x:v>401.4610715888087</x:v>
      </x:c>
      <x:c r="E156" s="40" t="n">
        <x:f>(D156-C156)*1000</x:f>
        <x:v>1139.9604776975707</x:v>
      </x:c>
      <x:c r="F156" s="40" t="n">
        <x:f>E156/Inputs!$C$12</x:f>
        <x:v>640.4272346615566</x:v>
      </x:c>
      <x:c r="G156" s="40" t="n">
        <x:f>2*E156/Inputs!$C$21*1000000</x:f>
        <x:v>7.604997706096867</x:v>
      </x:c>
      <x:c r="H156" s="40" t="n">
        <x:f>SQRT(A156^2+Inputs!$C$6^2)</x:f>
        <x:v>30.23243291566195</x:v>
      </x:c>
      <x:c r="I156" s="40" t="n">
        <x:f>DEGREES(ATAN(H156/B156))</x:f>
        <x:v>4.3188053168235525</x:v>
      </x:c>
      <x:c r="J156" s="40" t="n">
        <x:f>DEGREES((2*PI()/Inputs!$C$13)*Inputs!$C$15*SIN(RADIANS(I156)))</x:f>
        <x:v>27.110164894856272</x:v>
      </x:c>
      <x:c r="K156" s="40" t="n">
        <x:f>(C156/D156)^4</x:f>
        <x:v>0.9886901688243562</x:v>
      </x:c>
      <x:c r="L156" s="40" t="n">
        <x:f>10*LOG10(K156)</x:f>
        <x:v>-0.04939784288847281</x:v>
      </x:c>
      <x:c r="M156" s="40" t="n">
        <x:f>2*(Inputs!$C$9/(Inputs!$C$10^2))*A156</x:f>
        <x:v>0.03777777777777778</x:v>
      </x:c>
      <x:c r="N156" s="40" t="n">
        <x:f>M156*Inputs!$C$11</x:f>
        <x:v>0.1511111111111111</x:v>
      </x:c>
      <x:c r="O156" s="40" t="n">
        <x:f>1000*((A156*Inputs!$C$11)+(B156*N156))/D156</x:f>
        <x:v>320.0633311536662</x:v>
      </x:c>
      <x:c r="P156" s="40" t="n">
        <x:f>-2*O156/Inputs!$C$13</x:f>
        <x:v>-128.02533246146646</x:v>
      </x:c>
      <x:c r="Q156" s="40" t="n">
        <x:f>-2*O156/Inputs!$C$14</x:f>
        <x:v>-19.223022892112084</x:v>
      </x:c>
      <x:c r="R156" s="40" t="n">
        <x:f>F156-Inputs!$C$16/2</x:f>
        <x:v>625.4272346615566</x:v>
      </x:c>
      <x:c r="S156" s="40" t="n">
        <x:f>F156+Inputs!$C$16/2</x:f>
        <x:v>655.4272346615566</x:v>
      </x:c>
      <x:c r="T156" s="40" t="n">
        <x:f>F156-Inputs!$C$17/2</x:f>
        <x:v>490.42723466155655</x:v>
      </x:c>
      <x:c r="U156" s="40" t="n">
        <x:f>F156+Inputs!$C$17/2</x:f>
        <x:v>790.4272346615566</x:v>
      </x:c>
      <x:c r="V156" s="40" t="n">
        <x:f>ABS(P156)</x:f>
        <x:v>128.02533246146646</x:v>
      </x:c>
      <x:c r="W156" s="40" t="n">
        <x:f>ABS(Q156)</x:f>
        <x:v>19.223022892112084</x:v>
      </x:c>
      <x:c r="X156" s="40" t="n">
        <x:f>IF(Inputs!$C$27="ON",1,0)*(Inputs!$C$28*EXP(-(((A156)-Inputs!$C$29)^2)/(2*Inputs!$C$31^2))*EXP(-(((0)-Inputs!$C$30)^2)/(2*Inputs!$C$32^2))+-Inputs!$C$33*EXP(-(((((A156)-Inputs!$C$34)^2)+(((0)-Inputs!$C$35)^2))/(2*Inputs!$C$36^2)))+Inputs!$C$37*(0.55*SIN(2*PI()*(A156)/Inputs!$C$39)+0.35*COS(2*PI()*(0)/Inputs!$C$40)+0.2*SIN(2*PI()*((A156)+(0))/(0.5*(Inputs!$C$39+Inputs!$C$40))))+Inputs!$C$38*SIN(2*PI()*(A156)/Inputs!$C$39)*SIN(2*PI()*(0)/Inputs!$C$40)+-Inputs!$C$41*EXP(-(((0)-Inputs!$C$43)^2)/(2*Inputs!$C$44^2))*EXP(-(((A156)-Inputs!$C$42)^2)/(2*Inputs!$C$45^2)))</x:f>
        <x:v>13.497934012597739</x:v>
      </x:c>
      <x:c r="Y156" s="40" t="n">
        <x:f>IF(Inputs!$C$27="ON",1,0)*(Inputs!$C$28*EXP(-(((A156)-Inputs!$C$29)^2)/(2*Inputs!$C$31^2))*EXP(-(((Inputs!$C$6)-Inputs!$C$30)^2)/(2*Inputs!$C$32^2))+-Inputs!$C$33*EXP(-(((((A156)-Inputs!$C$34)^2)+(((Inputs!$C$6)-Inputs!$C$35)^2))/(2*Inputs!$C$36^2)))+Inputs!$C$37*(0.55*SIN(2*PI()*(A156)/Inputs!$C$39)+0.35*COS(2*PI()*(Inputs!$C$6)/Inputs!$C$40)+0.2*SIN(2*PI()*((A156)+(Inputs!$C$6))/(0.5*(Inputs!$C$39+Inputs!$C$40))))+Inputs!$C$38*SIN(2*PI()*(A156)/Inputs!$C$39)*SIN(2*PI()*(Inputs!$C$6)/Inputs!$C$40)+-Inputs!$C$41*EXP(-(((Inputs!$C$6)-Inputs!$C$43)^2)/(2*Inputs!$C$44^2))*EXP(-(((A156)-Inputs!$C$42)^2)/(2*Inputs!$C$45^2)))</x:f>
        <x:v>261.46821915572235</x:v>
      </x:c>
      <x:c r="Z156" s="40" t="n">
        <x:f>B156-X156/1000</x:f>
        <x:v>400.3076131770985</x:v>
      </x:c>
      <x:c r="AA156" s="40" t="n">
        <x:f>SQRT(A156^2+Inputs!$C$6^2+(B156-Y156/1000)^2)</x:f>
        <x:v>401.20034629950015</x:v>
      </x:c>
      <x:c r="AB156" s="40" t="n">
        <x:f>(AA156-Z156)*1000</x:f>
        <x:v>892.733122401637</x:v>
      </x:c>
      <x:c r="AC156" s="40" t="n">
        <x:f>AB156/Inputs!$C$12</x:f>
        <x:v>501.5354620233916</x:v>
      </x:c>
      <x:c r="AD156" s="40" t="n">
        <x:f>2*AB156/Inputs!$C$21*1000000</x:f>
        <x:v>5.955674324546464</x:v>
      </x:c>
      <x:c r="AE156" s="40" t="n">
        <x:f>DEGREES(ATAN(H156/(B156-Y156/1000)))</x:f>
        <x:v>4.3216172817580745</x:v>
      </x:c>
      <x:c r="AF156" s="40" t="n">
        <x:f>DEGREES((2*PI()/Inputs!$C$13)*Inputs!$C$15*SIN(RADIANS(AE156)))</x:f>
        <x:v>27.127782789882062</x:v>
      </x:c>
      <x:c r="AG156" s="40" t="n">
        <x:f>(Z156/AA156)^4</x:f>
        <x:v>0.9911290422010465</x:v>
      </x:c>
      <x:c r="AH156" s="40" t="n">
        <x:f>10*LOG10(AG156)</x:f>
        <x:v>-0.038697979189495</x:v>
      </x:c>
      <x:c r="AI156" s="40" t="n">
        <x:f>AC156-F156</x:f>
        <x:v>-138.89177263816498</x:v>
      </x:c>
      <x:c r="AJ156" s="40" t="n">
        <x:f>AD156-G156</x:f>
        <x:v>-1.6493233815504036</x:v>
      </x:c>
      <x:c r="AK156" s="40" t="n">
        <x:f>Y156-X156</x:f>
        <x:v>247.9702851431246</x:v>
      </x:c>
      <x:c r="AL156" s="40" t="n">
        <x:f>1000*(AA157-AA155)/(A157-A155)*Inputs!$C$11</x:f>
        <x:v>276.2462084683648</x:v>
      </x:c>
      <x:c r="AM156" s="40" t="n">
        <x:f>-2*AL156/Inputs!$C$13</x:f>
        <x:v>-110.49848338734591</x:v>
      </x:c>
      <x:c r="AN156" s="40" t="n">
        <x:f>-2*AL156/Inputs!$C$14</x:f>
        <x:v>-16.59136387197386</x:v>
      </x:c>
      <x:c r="AO156" s="40" t="n">
        <x:f>ABS(AM156)</x:f>
        <x:v>110.49848338734591</x:v>
      </x:c>
      <x:c r="AP156" s="40" t="n">
        <x:f>ABS(AN156)</x:f>
        <x:v>16.59136387197386</x:v>
      </x:c>
      <x:c r="AQ156" s="40" t="n">
        <x:f>IF(Inputs!$C$27="ON",Inputs!$C$46/Inputs!$C$12,0)</x:f>
        <x:v>42.13483146067416</x:v>
      </x:c>
      <x:c r="AR156" s="40" t="n">
        <x:f>AC156-AQ156</x:f>
        <x:v>459.4006305627174</x:v>
      </x:c>
      <x:c r="AS156" s="40" t="n">
        <x:f>AC156+AQ156</x:f>
        <x:v>543.6702934840657</x:v>
      </x:c>
    </x:row>
    <x:row r="157">
      <x:c r="A157" s="40" t="n">
        <x:f>Inputs!$C$7+155*(Inputs!$C$8-Inputs!$C$7)/240</x:f>
        <x:v>17.5</x:v>
      </x:c>
      <x:c r="B157" s="40" t="n">
        <x:f>Inputs!$C$5+Inputs!$C$9*(A157/Inputs!$C$10)^2</x:f>
        <x:v>400.34027777777777</x:v>
      </x:c>
      <x:c r="C157" s="40" t="n">
        <x:f>B157</x:f>
        <x:v>400.34027777777777</x:v>
      </x:c>
      <x:c r="D157" s="40" t="n">
        <x:f>SQRT(A157^2+Inputs!$C$6^2+B157^2)</x:f>
        <x:v>401.5016662620322</x:v>
      </x:c>
      <x:c r="E157" s="40" t="n">
        <x:f>(D157-C157)*1000</x:f>
        <x:v>1161.3884842544167</x:v>
      </x:c>
      <x:c r="F157" s="40" t="n">
        <x:f>E157/Inputs!$C$12</x:f>
        <x:v>652.4654405923689</x:v>
      </x:c>
      <x:c r="G157" s="40" t="n">
        <x:f>2*E157/Inputs!$C$21*1000000</x:f>
        <x:v>7.747949978477554</x:v>
      </x:c>
      <x:c r="H157" s="40" t="n">
        <x:f>SQRT(A157^2+Inputs!$C$6^2)</x:f>
        <x:v>30.516389039334257</x:v>
      </x:c>
      <x:c r="I157" s="40" t="n">
        <x:f>DEGREES(ATAN(H157/B157))</x:f>
        <x:v>4.359005878140658</x:v>
      </x:c>
      <x:c r="J157" s="40" t="n">
        <x:f>DEGREES((2*PI()/Inputs!$C$13)*Inputs!$C$15*SIN(RADIANS(I157)))</x:f>
        <x:v>27.3620285475742</x:v>
      </x:c>
      <x:c r="K157" s="40" t="n">
        <x:f>(C157/D157)^4</x:f>
        <x:v>0.988479659012131</x:v>
      </x:c>
      <x:c r="L157" s="40" t="n">
        <x:f>10*LOG10(K157)</x:f>
        <x:v>-0.05032263193688159</x:v>
      </x:c>
      <x:c r="M157" s="40" t="n">
        <x:f>2*(Inputs!$C$9/(Inputs!$C$10^2))*A157</x:f>
        <x:v>0.03888888888888889</x:v>
      </x:c>
      <x:c r="N157" s="40" t="n">
        <x:f>M157*Inputs!$C$11</x:f>
        <x:v>0.15555555555555556</x:v>
      </x:c>
      <x:c r="O157" s="40" t="n">
        <x:f>1000*((A157*Inputs!$C$11)+(B157*N157))/D157</x:f>
        <x:v>329.4510719033004</x:v>
      </x:c>
      <x:c r="P157" s="40" t="n">
        <x:f>-2*O157/Inputs!$C$13</x:f>
        <x:v>-131.78042876132014</x:v>
      </x:c>
      <x:c r="Q157" s="40" t="n">
        <x:f>-2*O157/Inputs!$C$14</x:f>
        <x:v>-19.786851165363387</x:v>
      </x:c>
      <x:c r="R157" s="40" t="n">
        <x:f>F157-Inputs!$C$16/2</x:f>
        <x:v>637.4654405923689</x:v>
      </x:c>
      <x:c r="S157" s="40" t="n">
        <x:f>F157+Inputs!$C$16/2</x:f>
        <x:v>667.4654405923689</x:v>
      </x:c>
      <x:c r="T157" s="40" t="n">
        <x:f>F157-Inputs!$C$17/2</x:f>
        <x:v>502.46544059236885</x:v>
      </x:c>
      <x:c r="U157" s="40" t="n">
        <x:f>F157+Inputs!$C$17/2</x:f>
        <x:v>802.4654405923689</x:v>
      </x:c>
      <x:c r="V157" s="40" t="n">
        <x:f>ABS(P157)</x:f>
        <x:v>131.78042876132014</x:v>
      </x:c>
      <x:c r="W157" s="40" t="n">
        <x:f>ABS(Q157)</x:f>
        <x:v>19.786851165363387</x:v>
      </x:c>
      <x:c r="X157" s="40" t="n">
        <x:f>IF(Inputs!$C$27="ON",1,0)*(Inputs!$C$28*EXP(-(((A157)-Inputs!$C$29)^2)/(2*Inputs!$C$31^2))*EXP(-(((0)-Inputs!$C$30)^2)/(2*Inputs!$C$32^2))+-Inputs!$C$33*EXP(-(((((A157)-Inputs!$C$34)^2)+(((0)-Inputs!$C$35)^2))/(2*Inputs!$C$36^2)))+Inputs!$C$37*(0.55*SIN(2*PI()*(A157)/Inputs!$C$39)+0.35*COS(2*PI()*(0)/Inputs!$C$40)+0.2*SIN(2*PI()*((A157)+(0))/(0.5*(Inputs!$C$39+Inputs!$C$40))))+Inputs!$C$38*SIN(2*PI()*(A157)/Inputs!$C$39)*SIN(2*PI()*(0)/Inputs!$C$40)+-Inputs!$C$41*EXP(-(((0)-Inputs!$C$43)^2)/(2*Inputs!$C$44^2))*EXP(-(((A157)-Inputs!$C$42)^2)/(2*Inputs!$C$45^2)))</x:f>
        <x:v>21.128641823820605</x:v>
      </x:c>
      <x:c r="Y157" s="40" t="n">
        <x:f>IF(Inputs!$C$27="ON",1,0)*(Inputs!$C$28*EXP(-(((A157)-Inputs!$C$29)^2)/(2*Inputs!$C$31^2))*EXP(-(((Inputs!$C$6)-Inputs!$C$30)^2)/(2*Inputs!$C$32^2))+-Inputs!$C$33*EXP(-(((((A157)-Inputs!$C$34)^2)+(((Inputs!$C$6)-Inputs!$C$35)^2))/(2*Inputs!$C$36^2)))+Inputs!$C$37*(0.55*SIN(2*PI()*(A157)/Inputs!$C$39)+0.35*COS(2*PI()*(Inputs!$C$6)/Inputs!$C$40)+0.2*SIN(2*PI()*((A157)+(Inputs!$C$6))/(0.5*(Inputs!$C$39+Inputs!$C$40))))+Inputs!$C$38*SIN(2*PI()*(A157)/Inputs!$C$39)*SIN(2*PI()*(Inputs!$C$6)/Inputs!$C$40)+-Inputs!$C$41*EXP(-(((Inputs!$C$6)-Inputs!$C$43)^2)/(2*Inputs!$C$44^2))*EXP(-(((A157)-Inputs!$C$42)^2)/(2*Inputs!$C$45^2)))</x:f>
        <x:v>267.4920633569952</x:v>
      </x:c>
      <x:c r="Z157" s="40" t="n">
        <x:f>B157-X157/1000</x:f>
        <x:v>400.319149135954</x:v>
      </x:c>
      <x:c r="AA157" s="40" t="n">
        <x:f>SQRT(A157^2+Inputs!$C$6^2+(B157-Y157/1000)^2)</x:f>
        <x:v>401.23494846448364</x:v>
      </x:c>
      <x:c r="AB157" s="40" t="n">
        <x:f>(AA157-Z157)*1000</x:f>
        <x:v>915.7993285296584</x:v>
      </x:c>
      <x:c r="AC157" s="40" t="n">
        <x:f>AB157/Inputs!$C$12</x:f>
        <x:v>514.4940047919429</x:v>
      </x:c>
      <x:c r="AD157" s="40" t="n">
        <x:f>2*AB157/Inputs!$C$21*1000000</x:f>
        <x:v>6.109555488081414</x:v>
      </x:c>
      <x:c r="AE157" s="40" t="n">
        <x:f>DEGREES(ATAN(H157/(B157-Y157/1000)))</x:f>
        <x:v>4.36190910230701</x:v>
      </x:c>
      <x:c r="AF157" s="40" t="n">
        <x:f>DEGREES((2*PI()/Inputs!$C$13)*Inputs!$C$15*SIN(RADIANS(AE157)))</x:f>
        <x:v>27.380217242299317</x:v>
      </x:c>
      <x:c r="AG157" s="40" t="n">
        <x:f>(Z157/AA157)^4</x:f>
        <x:v>0.99090140379003</x:v>
      </x:c>
      <x:c r="AH157" s="40" t="n">
        <x:f>10*LOG10(AG157)</x:f>
        <x:v>-0.0396955633225574</x:v>
      </x:c>
      <x:c r="AI157" s="40" t="n">
        <x:f>AC157-F157</x:f>
        <x:v>-137.97143580042598</x:v>
      </x:c>
      <x:c r="AJ157" s="40" t="n">
        <x:f>AD157-G157</x:f>
        <x:v>-1.6383944903961405</x:v>
      </x:c>
      <x:c r="AK157" s="40" t="n">
        <x:f>Y157-X157</x:f>
        <x:v>246.36342153317457</x:v>
      </x:c>
      <x:c r="AL157" s="40" t="n">
        <x:f>1000*(AA158-AA156)/(A158-A156)*Inputs!$C$11</x:f>
        <x:v>278.6497629608675</x:v>
      </x:c>
      <x:c r="AM157" s="40" t="n">
        <x:f>-2*AL157/Inputs!$C$13</x:f>
        <x:v>-111.45990518434701</x:v>
      </x:c>
      <x:c r="AN157" s="40" t="n">
        <x:f>-2*AL157/Inputs!$C$14</x:f>
        <x:v>-16.735721499151204</x:v>
      </x:c>
      <x:c r="AO157" s="40" t="n">
        <x:f>ABS(AM157)</x:f>
        <x:v>111.45990518434701</x:v>
      </x:c>
      <x:c r="AP157" s="40" t="n">
        <x:f>ABS(AN157)</x:f>
        <x:v>16.735721499151204</x:v>
      </x:c>
      <x:c r="AQ157" s="40" t="n">
        <x:f>IF(Inputs!$C$27="ON",Inputs!$C$46/Inputs!$C$12,0)</x:f>
        <x:v>42.13483146067416</x:v>
      </x:c>
      <x:c r="AR157" s="40" t="n">
        <x:f>AC157-AQ157</x:f>
        <x:v>472.3591733312687</x:v>
      </x:c>
      <x:c r="AS157" s="40" t="n">
        <x:f>AC157+AQ157</x:f>
        <x:v>556.628836252617</x:v>
      </x:c>
    </x:row>
    <x:row r="158">
      <x:c r="A158" s="40" t="n">
        <x:f>Inputs!$C$7+156*(Inputs!$C$8-Inputs!$C$7)/240</x:f>
        <x:v>18</x:v>
      </x:c>
      <x:c r="B158" s="40" t="n">
        <x:f>Inputs!$C$5+Inputs!$C$9*(A158/Inputs!$C$10)^2</x:f>
        <x:v>400.36</x:v>
      </x:c>
      <x:c r="C158" s="40" t="n">
        <x:f>B158</x:f>
        <x:v>400.36</x:v>
      </x:c>
      <x:c r="D158" s="40" t="n">
        <x:f>SQRT(A158^2+Inputs!$C$6^2+B158^2)</x:f>
        <x:v>401.54343426334344</x:v>
      </x:c>
      <x:c r="E158" s="40" t="n">
        <x:f>(D158-C158)*1000</x:f>
        <x:v>1183.434263343429</x:v>
      </x:c>
      <x:c r="F158" s="40" t="n">
        <x:f>E158/Inputs!$C$12</x:f>
        <x:v>664.8507097434994</x:v>
      </x:c>
      <x:c r="G158" s="40" t="n">
        <x:f>2*E158/Inputs!$C$21*1000000</x:f>
        <x:v>7.895023585572849</x:v>
      </x:c>
      <x:c r="H158" s="40" t="n">
        <x:f>SQRT(A158^2+Inputs!$C$6^2)</x:f>
        <x:v>30.805843601498726</x:v>
      </x:c>
      <x:c r="I158" s="40" t="n">
        <x:f>DEGREES(ATAN(H158/B158))</x:f>
        <x:v>4.3999744653546005</x:v>
      </x:c>
      <x:c r="J158" s="40" t="n">
        <x:f>DEGREES((2*PI()/Inputs!$C$13)*Inputs!$C$15*SIN(RADIANS(I158)))</x:f>
        <x:v>27.618690159596383</x:v>
      </x:c>
      <x:c r="K158" s="40" t="n">
        <x:f>(C158/D158)^4</x:f>
        <x:v>0.9882631597548657</x:v>
      </x:c>
      <x:c r="L158" s="40" t="n">
        <x:f>10*LOG10(K158)</x:f>
        <x:v>-0.0512739386243249</x:v>
      </x:c>
      <x:c r="M158" s="40" t="n">
        <x:f>2*(Inputs!$C$9/(Inputs!$C$10^2))*A158</x:f>
        <x:v>0.04</x:v>
      </x:c>
      <x:c r="N158" s="40" t="n">
        <x:f>M158*Inputs!$C$11</x:f>
        <x:v>0.16</x:v>
      </x:c>
      <x:c r="O158" s="40" t="n">
        <x:f>1000*((A158*Inputs!$C$11)+(B158*N158))/D158</x:f>
        <x:v>338.83657007019974</x:v>
      </x:c>
      <x:c r="P158" s="40" t="n">
        <x:f>-2*O158/Inputs!$C$13</x:f>
        <x:v>-135.5346280280799</x:v>
      </x:c>
      <x:c r="Q158" s="40" t="n">
        <x:f>-2*O158/Inputs!$C$14</x:f>
        <x:v>-20.350544748960946</x:v>
      </x:c>
      <x:c r="R158" s="40" t="n">
        <x:f>F158-Inputs!$C$16/2</x:f>
        <x:v>649.8507097434994</x:v>
      </x:c>
      <x:c r="S158" s="40" t="n">
        <x:f>F158+Inputs!$C$16/2</x:f>
        <x:v>679.8507097434994</x:v>
      </x:c>
      <x:c r="T158" s="40" t="n">
        <x:f>F158-Inputs!$C$17/2</x:f>
        <x:v>514.8507097434994</x:v>
      </x:c>
      <x:c r="U158" s="40" t="n">
        <x:f>F158+Inputs!$C$17/2</x:f>
        <x:v>814.8507097434994</x:v>
      </x:c>
      <x:c r="V158" s="40" t="n">
        <x:f>ABS(P158)</x:f>
        <x:v>135.5346280280799</x:v>
      </x:c>
      <x:c r="W158" s="40" t="n">
        <x:f>ABS(Q158)</x:f>
        <x:v>20.350544748960946</x:v>
      </x:c>
      <x:c r="X158" s="40" t="n">
        <x:f>IF(Inputs!$C$27="ON",1,0)*(Inputs!$C$28*EXP(-(((A158)-Inputs!$C$29)^2)/(2*Inputs!$C$31^2))*EXP(-(((0)-Inputs!$C$30)^2)/(2*Inputs!$C$32^2))+-Inputs!$C$33*EXP(-(((((A158)-Inputs!$C$34)^2)+(((0)-Inputs!$C$35)^2))/(2*Inputs!$C$36^2)))+Inputs!$C$37*(0.55*SIN(2*PI()*(A158)/Inputs!$C$39)+0.35*COS(2*PI()*(0)/Inputs!$C$40)+0.2*SIN(2*PI()*((A158)+(0))/(0.5*(Inputs!$C$39+Inputs!$C$40))))+Inputs!$C$38*SIN(2*PI()*(A158)/Inputs!$C$39)*SIN(2*PI()*(0)/Inputs!$C$40)+-Inputs!$C$41*EXP(-(((0)-Inputs!$C$43)^2)/(2*Inputs!$C$44^2))*EXP(-(((A158)-Inputs!$C$42)^2)/(2*Inputs!$C$45^2)))</x:f>
        <x:v>28.456636737610513</x:v>
      </x:c>
      <x:c r="Y158" s="40" t="n">
        <x:f>IF(Inputs!$C$27="ON",1,0)*(Inputs!$C$28*EXP(-(((A158)-Inputs!$C$29)^2)/(2*Inputs!$C$31^2))*EXP(-(((Inputs!$C$6)-Inputs!$C$30)^2)/(2*Inputs!$C$32^2))+-Inputs!$C$33*EXP(-(((((A158)-Inputs!$C$34)^2)+(((Inputs!$C$6)-Inputs!$C$35)^2))/(2*Inputs!$C$36^2)))+Inputs!$C$37*(0.55*SIN(2*PI()*(A158)/Inputs!$C$39)+0.35*COS(2*PI()*(Inputs!$C$6)/Inputs!$C$40)+0.2*SIN(2*PI()*((A158)+(Inputs!$C$6))/(0.5*(Inputs!$C$39+Inputs!$C$40))))+Inputs!$C$38*SIN(2*PI()*(A158)/Inputs!$C$39)*SIN(2*PI()*(Inputs!$C$6)/Inputs!$C$40)+-Inputs!$C$41*EXP(-(((Inputs!$C$6)-Inputs!$C$43)^2)/(2*Inputs!$C$44^2))*EXP(-(((A158)-Inputs!$C$42)^2)/(2*Inputs!$C$45^2)))</x:f>
        <x:v>274.2343017030606</x:v>
      </x:c>
      <x:c r="Z158" s="40" t="n">
        <x:f>B158-X158/1000</x:f>
        <x:v>400.3315433632624</x:v>
      </x:c>
      <x:c r="AA158" s="40" t="n">
        <x:f>SQRT(A158^2+Inputs!$C$6^2+(B158-Y158/1000)^2)</x:f>
        <x:v>401.27000874024037</x:v>
      </x:c>
      <x:c r="AB158" s="40" t="n">
        <x:f>(AA158-Z158)*1000</x:f>
        <x:v>938.4653769779447</x:v>
      </x:c>
      <x:c r="AC158" s="40" t="n">
        <x:f>AB158/Inputs!$C$12</x:f>
        <x:v>527.2277398752499</x:v>
      </x:c>
      <x:c r="AD158" s="40" t="n">
        <x:f>2*AB158/Inputs!$C$21*1000000</x:f>
        <x:v>6.260767086928817</x:v>
      </x:c>
      <x:c r="AE158" s="40" t="n">
        <x:f>DEGREES(ATAN(H158/(B158-Y158/1000)))</x:f>
        <x:v>4.402978523154676</x:v>
      </x:c>
      <x:c r="AF158" s="40" t="n">
        <x:f>DEGREES((2*PI()/Inputs!$C$13)*Inputs!$C$15*SIN(RADIANS(AE158)))</x:f>
        <x:v>27.637509544648402</x:v>
      </x:c>
      <x:c r="AG158" s="40" t="n">
        <x:f>(Z158/AA158)^4</x:f>
        <x:v>0.9906778154368767</x:v>
      </x:c>
      <x:c r="AH158" s="40" t="n">
        <x:f>10*LOG10(AG158)</x:f>
        <x:v>-0.0406756219289681</x:v>
      </x:c>
      <x:c r="AI158" s="40" t="n">
        <x:f>AC158-F158</x:f>
        <x:v>-137.62296986824947</x:v>
      </x:c>
      <x:c r="AJ158" s="40" t="n">
        <x:f>AD158-G158</x:f>
        <x:v>-1.6342564986440324</x:v>
      </x:c>
      <x:c r="AK158" s="40" t="n">
        <x:f>Y158-X158</x:f>
        <x:v>245.7776649654501</x:v>
      </x:c>
      <x:c r="AL158" s="40" t="n">
        <x:f>1000*(AA159-AA157)/(A159-A157)*Inputs!$C$11</x:f>
        <x:v>283.6955043837861</x:v>
      </x:c>
      <x:c r="AM158" s="40" t="n">
        <x:f>-2*AL158/Inputs!$C$13</x:f>
        <x:v>-113.47820175351444</x:v>
      </x:c>
      <x:c r="AN158" s="40" t="n">
        <x:f>-2*AL158/Inputs!$C$14</x:f>
        <x:v>-17.03876903205923</x:v>
      </x:c>
      <x:c r="AO158" s="40" t="n">
        <x:f>ABS(AM158)</x:f>
        <x:v>113.47820175351444</x:v>
      </x:c>
      <x:c r="AP158" s="40" t="n">
        <x:f>ABS(AN158)</x:f>
        <x:v>17.03876903205923</x:v>
      </x:c>
      <x:c r="AQ158" s="40" t="n">
        <x:f>IF(Inputs!$C$27="ON",Inputs!$C$46/Inputs!$C$12,0)</x:f>
        <x:v>42.13483146067416</x:v>
      </x:c>
      <x:c r="AR158" s="40" t="n">
        <x:f>AC158-AQ158</x:f>
        <x:v>485.09290841457573</x:v>
      </x:c>
      <x:c r="AS158" s="40" t="n">
        <x:f>AC158+AQ158</x:f>
        <x:v>569.362571335924</x:v>
      </x:c>
    </x:row>
    <x:row r="159">
      <x:c r="A159" s="40" t="n">
        <x:f>Inputs!$C$7+157*(Inputs!$C$8-Inputs!$C$7)/240</x:f>
        <x:v>18.5</x:v>
      </x:c>
      <x:c r="B159" s="40" t="n">
        <x:f>Inputs!$C$5+Inputs!$C$9*(A159/Inputs!$C$10)^2</x:f>
        <x:v>400.3802777777778</x:v>
      </x:c>
      <x:c r="C159" s="40" t="n">
        <x:f>B159</x:f>
        <x:v>400.3802777777778</x:v>
      </x:c>
      <x:c r="D159" s="40" t="n">
        <x:f>SQRT(A159^2+Inputs!$C$6^2+B159^2)</x:f>
        <x:v>401.5863753084889</x:v>
      </x:c>
      <x:c r="E159" s="40" t="n">
        <x:f>(D159-C159)*1000</x:f>
        <x:v>1206.0975307111335</x:v>
      </x:c>
      <x:c r="F159" s="40" t="n">
        <x:f>E159/Inputs!$C$12</x:f>
        <x:v>677.5828824219851</x:v>
      </x:c>
      <x:c r="G159" s="40" t="n">
        <x:f>2*E159/Inputs!$C$21*1000000</x:f>
        <x:v>8.046216631047692</x:v>
      </x:c>
      <x:c r="H159" s="40" t="n">
        <x:f>SQRT(A159^2+Inputs!$C$6^2)</x:f>
        <x:v>31.100643080167973</x:v>
      </x:c>
      <x:c r="I159" s="40" t="n">
        <x:f>DEGREES(ATAN(H159/B159))</x:f>
        <x:v>4.441688661129496</x:v>
      </x:c>
      <x:c r="J159" s="40" t="n">
        <x:f>DEGREES((2*PI()/Inputs!$C$13)*Inputs!$C$15*SIN(RADIANS(I159)))</x:f>
        <x:v>27.88000837991527</x:v>
      </x:c>
      <x:c r="K159" s="40" t="n">
        <x:f>(C159/D159)^4</x:f>
        <x:v>0.9880406805910283</x:v>
      </x:c>
      <x:c r="L159" s="40" t="n">
        <x:f>10*LOG10(K159)</x:f>
        <x:v>-0.052251738410254996</x:v>
      </x:c>
      <x:c r="M159" s="40" t="n">
        <x:f>2*(Inputs!$C$9/(Inputs!$C$10^2))*A159</x:f>
        <x:v>0.04111111111111111</x:v>
      </x:c>
      <x:c r="N159" s="40" t="n">
        <x:f>M159*Inputs!$C$11</x:f>
        <x:v>0.16444444444444445</x:v>
      </x:c>
      <x:c r="O159" s="40" t="n">
        <x:f>1000*((A159*Inputs!$C$11)+(B159*N159))/D159</x:f>
        <x:v>348.2197627801917</x:v>
      </x:c>
      <x:c r="P159" s="40" t="n">
        <x:f>-2*O159/Inputs!$C$13</x:f>
        <x:v>-139.28790511207666</x:v>
      </x:c>
      <x:c r="Q159" s="40" t="n">
        <x:f>-2*O159/Inputs!$C$14</x:f>
        <x:v>-20.914099866678182</x:v>
      </x:c>
      <x:c r="R159" s="40" t="n">
        <x:f>F159-Inputs!$C$16/2</x:f>
        <x:v>662.5828824219851</x:v>
      </x:c>
      <x:c r="S159" s="40" t="n">
        <x:f>F159+Inputs!$C$16/2</x:f>
        <x:v>692.5828824219851</x:v>
      </x:c>
      <x:c r="T159" s="40" t="n">
        <x:f>F159-Inputs!$C$17/2</x:f>
        <x:v>527.5828824219851</x:v>
      </x:c>
      <x:c r="U159" s="40" t="n">
        <x:f>F159+Inputs!$C$17/2</x:f>
        <x:v>827.5828824219851</x:v>
      </x:c>
      <x:c r="V159" s="40" t="n">
        <x:f>ABS(P159)</x:f>
        <x:v>139.28790511207666</x:v>
      </x:c>
      <x:c r="W159" s="40" t="n">
        <x:f>ABS(Q159)</x:f>
        <x:v>20.914099866678182</x:v>
      </x:c>
      <x:c r="X159" s="40" t="n">
        <x:f>IF(Inputs!$C$27="ON",1,0)*(Inputs!$C$28*EXP(-(((A159)-Inputs!$C$29)^2)/(2*Inputs!$C$31^2))*EXP(-(((0)-Inputs!$C$30)^2)/(2*Inputs!$C$32^2))+-Inputs!$C$33*EXP(-(((((A159)-Inputs!$C$34)^2)+(((0)-Inputs!$C$35)^2))/(2*Inputs!$C$36^2)))+Inputs!$C$37*(0.55*SIN(2*PI()*(A159)/Inputs!$C$39)+0.35*COS(2*PI()*(0)/Inputs!$C$40)+0.2*SIN(2*PI()*((A159)+(0))/(0.5*(Inputs!$C$39+Inputs!$C$40))))+Inputs!$C$38*SIN(2*PI()*(A159)/Inputs!$C$39)*SIN(2*PI()*(0)/Inputs!$C$40)+-Inputs!$C$41*EXP(-(((0)-Inputs!$C$43)^2)/(2*Inputs!$C$44^2))*EXP(-(((A159)-Inputs!$C$42)^2)/(2*Inputs!$C$45^2)))</x:f>
        <x:v>35.24506960234823</x:v>
      </x:c>
      <x:c r="Y159" s="40" t="n">
        <x:f>IF(Inputs!$C$27="ON",1,0)*(Inputs!$C$28*EXP(-(((A159)-Inputs!$C$29)^2)/(2*Inputs!$C$31^2))*EXP(-(((Inputs!$C$6)-Inputs!$C$30)^2)/(2*Inputs!$C$32^2))+-Inputs!$C$33*EXP(-(((((A159)-Inputs!$C$34)^2)+(((Inputs!$C$6)-Inputs!$C$35)^2))/(2*Inputs!$C$36^2)))+Inputs!$C$37*(0.55*SIN(2*PI()*(A159)/Inputs!$C$39)+0.35*COS(2*PI()*(Inputs!$C$6)/Inputs!$C$40)+0.2*SIN(2*PI()*((A159)+(Inputs!$C$6))/(0.5*(Inputs!$C$39+Inputs!$C$40))))+Inputs!$C$38*SIN(2*PI()*(A159)/Inputs!$C$39)*SIN(2*PI()*(Inputs!$C$6)/Inputs!$C$40)+-Inputs!$C$41*EXP(-(((Inputs!$C$6)-Inputs!$C$43)^2)/(2*Inputs!$C$44^2))*EXP(-(((A159)-Inputs!$C$42)^2)/(2*Inputs!$C$45^2)))</x:f>
        <x:v>281.34854272773623</x:v>
      </x:c>
      <x:c r="Z159" s="40" t="n">
        <x:f>B159-X159/1000</x:f>
        <x:v>400.34503270817544</x:v>
      </x:c>
      <x:c r="AA159" s="40" t="n">
        <x:f>SQRT(A159^2+Inputs!$C$6^2+(B159-Y159/1000)^2)</x:f>
        <x:v>401.3058723405796</x:v>
      </x:c>
      <x:c r="AB159" s="40" t="n">
        <x:f>(AA159-Z159)*1000</x:f>
        <x:v>960.839632404145</x:v>
      </x:c>
      <x:c r="AC159" s="40" t="n">
        <x:f>AB159/Inputs!$C$12</x:f>
        <x:v>539.7975462944635</x:v>
      </x:c>
      <x:c r="AD159" s="40" t="n">
        <x:f>2*AB159/Inputs!$C$21*1000000</x:f>
        <x:v>6.410032052268273</x:v>
      </x:c>
      <x:c r="AE159" s="40" t="n">
        <x:f>DEGREES(ATAN(H159/(B159-Y159/1000)))</x:f>
        <x:v>4.444799533451903</x:v>
      </x:c>
      <x:c r="AF159" s="40" t="n">
        <x:f>DEGREES((2*PI()/Inputs!$C$13)*Inputs!$C$15*SIN(RADIANS(AE159)))</x:f>
        <x:v>27.89949582237479</x:v>
      </x:c>
      <x:c r="AG159" s="40" t="n">
        <x:f>(Z159/AA159)^4</x:f>
        <x:v>0.990457210612667</x:v>
      </x:c>
      <x:c r="AH159" s="40" t="n">
        <x:f>10*LOG10(AG159)</x:f>
        <x:v>-0.041642819590629196</x:v>
      </x:c>
      <x:c r="AI159" s="40" t="n">
        <x:f>AC159-F159</x:f>
        <x:v>-137.78533612752165</x:v>
      </x:c>
      <x:c r="AJ159" s="40" t="n">
        <x:f>AD159-G159</x:f>
        <x:v>-1.6361845787794183</x:v>
      </x:c>
      <x:c r="AK159" s="40" t="n">
        <x:f>Y159-X159</x:f>
        <x:v>246.103473125388</x:v>
      </x:c>
      <x:c r="AL159" s="40" t="n">
        <x:f>1000*(AA160-AA158)/(A160-A158)*Inputs!$C$11</x:f>
        <x:v>291.57624259983095</x:v>
      </x:c>
      <x:c r="AM159" s="40" t="n">
        <x:f>-2*AL159/Inputs!$C$13</x:f>
        <x:v>-116.63049703993238</x:v>
      </x:c>
      <x:c r="AN159" s="40" t="n">
        <x:f>-2*AL159/Inputs!$C$14</x:f>
        <x:v>-17.51208664263249</x:v>
      </x:c>
      <x:c r="AO159" s="40" t="n">
        <x:f>ABS(AM159)</x:f>
        <x:v>116.63049703993238</x:v>
      </x:c>
      <x:c r="AP159" s="40" t="n">
        <x:f>ABS(AN159)</x:f>
        <x:v>17.51208664263249</x:v>
      </x:c>
      <x:c r="AQ159" s="40" t="n">
        <x:f>IF(Inputs!$C$27="ON",Inputs!$C$46/Inputs!$C$12,0)</x:f>
        <x:v>42.13483146067416</x:v>
      </x:c>
      <x:c r="AR159" s="40" t="n">
        <x:f>AC159-AQ159</x:f>
        <x:v>497.6627148337893</x:v>
      </x:c>
      <x:c r="AS159" s="40" t="n">
        <x:f>AC159+AQ159</x:f>
        <x:v>581.9323777551376</x:v>
      </x:c>
    </x:row>
    <x:row r="160">
      <x:c r="A160" s="40" t="n">
        <x:f>Inputs!$C$7+158*(Inputs!$C$8-Inputs!$C$7)/240</x:f>
        <x:v>19</x:v>
      </x:c>
      <x:c r="B160" s="40" t="n">
        <x:f>Inputs!$C$5+Inputs!$C$9*(A160/Inputs!$C$10)^2</x:f>
        <x:v>400.4011111111111</x:v>
      </x:c>
      <x:c r="C160" s="40" t="n">
        <x:f>B160</x:f>
        <x:v>400.4011111111111</x:v>
      </x:c>
      <x:c r="D160" s="40" t="n">
        <x:f>SQRT(A160^2+Inputs!$C$6^2+B160^2)</x:f>
        <x:v>401.630489105362</x:v>
      </x:c>
      <x:c r="E160" s="40" t="n">
        <x:f>(D160-C160)*1000</x:f>
        <x:v>1229.3779942509104</x:v>
      </x:c>
      <x:c r="F160" s="40" t="n">
        <x:f>E160/Inputs!$C$12</x:f>
        <x:v>690.6617945229834</x:v>
      </x:c>
      <x:c r="G160" s="40" t="n">
        <x:f>2*E160/Inputs!$C$21*1000000</x:f>
        <x:v>8.201527166176477</x:v>
      </x:c>
      <x:c r="H160" s="40" t="n">
        <x:f>SQRT(A160^2+Inputs!$C$6^2)</x:f>
        <x:v>31.400636936215164</x:v>
      </x:c>
      <x:c r="I160" s="40" t="n">
        <x:f>DEGREES(ATAN(H160/B160))</x:f>
        <x:v>4.484126471249511</x:v>
      </x:c>
      <x:c r="J160" s="40" t="n">
        <x:f>DEGREES((2*PI()/Inputs!$C$13)*Inputs!$C$15*SIN(RADIANS(I160)))</x:f>
        <x:v>28.14584451050467</x:v>
      </x:c>
      <x:c r="K160" s="40" t="n">
        <x:f>(C160/D160)^4</x:f>
        <x:v>0.9878122313157164</x:v>
      </x:c>
      <x:c r="L160" s="40" t="n">
        <x:f>10*LOG10(K160)</x:f>
        <x:v>-0.05325600608126439</x:v>
      </x:c>
      <x:c r="M160" s="40" t="n">
        <x:f>2*(Inputs!$C$9/(Inputs!$C$10^2))*A160</x:f>
        <x:v>0.042222222222222223</x:v>
      </x:c>
      <x:c r="N160" s="40" t="n">
        <x:f>M160*Inputs!$C$11</x:f>
        <x:v>0.1688888888888889</x:v>
      </x:c>
      <x:c r="O160" s="40" t="n">
        <x:f>1000*((A160*Inputs!$C$11)+(B160*N160))/D160</x:f>
        <x:v>357.60058725958567</x:v>
      </x:c>
      <x:c r="P160" s="40" t="n">
        <x:f>-2*O160/Inputs!$C$13</x:f>
        <x:v>-143.04023490383426</x:v>
      </x:c>
      <x:c r="Q160" s="40" t="n">
        <x:f>-2*O160/Inputs!$C$14</x:f>
        <x:v>-21.477512748323466</x:v>
      </x:c>
      <x:c r="R160" s="40" t="n">
        <x:f>F160-Inputs!$C$16/2</x:f>
        <x:v>675.6617945229834</x:v>
      </x:c>
      <x:c r="S160" s="40" t="n">
        <x:f>F160+Inputs!$C$16/2</x:f>
        <x:v>705.6617945229834</x:v>
      </x:c>
      <x:c r="T160" s="40" t="n">
        <x:f>F160-Inputs!$C$17/2</x:f>
        <x:v>540.6617945229834</x:v>
      </x:c>
      <x:c r="U160" s="40" t="n">
        <x:f>F160+Inputs!$C$17/2</x:f>
        <x:v>840.6617945229834</x:v>
      </x:c>
      <x:c r="V160" s="40" t="n">
        <x:f>ABS(P160)</x:f>
        <x:v>143.04023490383426</x:v>
      </x:c>
      <x:c r="W160" s="40" t="n">
        <x:f>ABS(Q160)</x:f>
        <x:v>21.477512748323466</x:v>
      </x:c>
      <x:c r="X160" s="40" t="n">
        <x:f>IF(Inputs!$C$27="ON",1,0)*(Inputs!$C$28*EXP(-(((A160)-Inputs!$C$29)^2)/(2*Inputs!$C$31^2))*EXP(-(((0)-Inputs!$C$30)^2)/(2*Inputs!$C$32^2))+-Inputs!$C$33*EXP(-(((((A160)-Inputs!$C$34)^2)+(((0)-Inputs!$C$35)^2))/(2*Inputs!$C$36^2)))+Inputs!$C$37*(0.55*SIN(2*PI()*(A160)/Inputs!$C$39)+0.35*COS(2*PI()*(0)/Inputs!$C$40)+0.2*SIN(2*PI()*((A160)+(0))/(0.5*(Inputs!$C$39+Inputs!$C$40))))+Inputs!$C$38*SIN(2*PI()*(A160)/Inputs!$C$39)*SIN(2*PI()*(0)/Inputs!$C$40)+-Inputs!$C$41*EXP(-(((0)-Inputs!$C$43)^2)/(2*Inputs!$C$44^2))*EXP(-(((A160)-Inputs!$C$42)^2)/(2*Inputs!$C$45^2)))</x:f>
        <x:v>41.28068719127039</x:v>
      </x:c>
      <x:c r="Y160" s="40" t="n">
        <x:f>IF(Inputs!$C$27="ON",1,0)*(Inputs!$C$28*EXP(-(((A160)-Inputs!$C$29)^2)/(2*Inputs!$C$31^2))*EXP(-(((Inputs!$C$6)-Inputs!$C$30)^2)/(2*Inputs!$C$32^2))+-Inputs!$C$33*EXP(-(((((A160)-Inputs!$C$34)^2)+(((Inputs!$C$6)-Inputs!$C$35)^2))/(2*Inputs!$C$36^2)))+Inputs!$C$37*(0.55*SIN(2*PI()*(A160)/Inputs!$C$39)+0.35*COS(2*PI()*(Inputs!$C$6)/Inputs!$C$40)+0.2*SIN(2*PI()*((A160)+(Inputs!$C$6))/(0.5*(Inputs!$C$39+Inputs!$C$40))))+Inputs!$C$38*SIN(2*PI()*(A160)/Inputs!$C$39)*SIN(2*PI()*(Inputs!$C$6)/Inputs!$C$40)+-Inputs!$C$41*EXP(-(((Inputs!$C$6)-Inputs!$C$43)^2)/(2*Inputs!$C$44^2))*EXP(-(((A160)-Inputs!$C$42)^2)/(2*Inputs!$C$45^2)))</x:f>
        <x:v>288.46993534808973</x:v>
      </x:c>
      <x:c r="Z160" s="40" t="n">
        <x:f>B160-X160/1000</x:f>
        <x:v>400.35983042391985</x:v>
      </x:c>
      <x:c r="AA160" s="40" t="n">
        <x:f>SQRT(A160^2+Inputs!$C$6^2+(B160-Y160/1000)^2)</x:f>
        <x:v>401.34290280089033</x:v>
      </x:c>
      <x:c r="AB160" s="40" t="n">
        <x:f>(AA160-Z160)*1000</x:f>
        <x:v>983.0723769704832</x:v>
      </x:c>
      <x:c r="AC160" s="40" t="n">
        <x:f>AB160/Inputs!$C$12</x:f>
        <x:v>552.2878522306086</x:v>
      </x:c>
      <x:c r="AD160" s="40" t="n">
        <x:f>2*AB160/Inputs!$C$21*1000000</x:f>
        <x:v>6.558352958769118</x:v>
      </x:c>
      <x:c r="AE160" s="40" t="n">
        <x:f>DEGREES(ATAN(H160/(B160-Y160/1000)))</x:f>
        <x:v>4.487346200741946</x:v>
      </x:c>
      <x:c r="AF160" s="40" t="n">
        <x:f>DEGREES((2*PI()/Inputs!$C$13)*Inputs!$C$15*SIN(RADIANS(AE160)))</x:f>
        <x:v>28.166012699234358</x:v>
      </x:c>
      <x:c r="AG160" s="40" t="n">
        <x:f>(Z160/AA160)^4</x:f>
        <x:v>0.9902381103658227</x:v>
      </x:c>
      <x:c r="AH160" s="40" t="n">
        <x:f>10*LOG10(AG160)</x:f>
        <x:v>-0.0426036339831148</x:v>
      </x:c>
      <x:c r="AI160" s="40" t="n">
        <x:f>AC160-F160</x:f>
        <x:v>-138.37394229237486</x:v>
      </x:c>
      <x:c r="AJ160" s="40" t="n">
        <x:f>AD160-G160</x:f>
        <x:v>-1.6431742074073599</x:v>
      </x:c>
      <x:c r="AK160" s="40" t="n">
        <x:f>Y160-X160</x:f>
        <x:v>247.18924815681936</x:v>
      </x:c>
      <x:c r="AL160" s="40" t="n">
        <x:f>1000*(AA161-AA159)/(A161-A159)*Inputs!$C$11</x:f>
        <x:v>302.38911100695987</x:v>
      </x:c>
      <x:c r="AM160" s="40" t="n">
        <x:f>-2*AL160/Inputs!$C$13</x:f>
        <x:v>-120.95564440278395</x:v>
      </x:c>
      <x:c r="AN160" s="40" t="n">
        <x:f>-2*AL160/Inputs!$C$14</x:f>
        <x:v>-18.16150816858618</x:v>
      </x:c>
      <x:c r="AO160" s="40" t="n">
        <x:f>ABS(AM160)</x:f>
        <x:v>120.95564440278395</x:v>
      </x:c>
      <x:c r="AP160" s="40" t="n">
        <x:f>ABS(AN160)</x:f>
        <x:v>18.16150816858618</x:v>
      </x:c>
      <x:c r="AQ160" s="40" t="n">
        <x:f>IF(Inputs!$C$27="ON",Inputs!$C$46/Inputs!$C$12,0)</x:f>
        <x:v>42.13483146067416</x:v>
      </x:c>
      <x:c r="AR160" s="40" t="n">
        <x:f>AC160-AQ160</x:f>
        <x:v>510.1530207699344</x:v>
      </x:c>
      <x:c r="AS160" s="40" t="n">
        <x:f>AC160+AQ160</x:f>
        <x:v>594.4226836912827</x:v>
      </x:c>
    </x:row>
    <x:row r="161">
      <x:c r="A161" s="40" t="n">
        <x:f>Inputs!$C$7+159*(Inputs!$C$8-Inputs!$C$7)/240</x:f>
        <x:v>19.5</x:v>
      </x:c>
      <x:c r="B161" s="40" t="n">
        <x:f>Inputs!$C$5+Inputs!$C$9*(A161/Inputs!$C$10)^2</x:f>
        <x:v>400.4225</x:v>
      </x:c>
      <x:c r="C161" s="40" t="n">
        <x:f>B161</x:f>
        <x:v>400.4225</x:v>
      </x:c>
      <x:c r="D161" s="40" t="n">
        <x:f>SQRT(A161^2+Inputs!$C$6^2+B161^2)</x:f>
        <x:v>401.6757753540161</x:v>
      </x:c>
      <x:c r="E161" s="40" t="n">
        <x:f>(D161-C161)*1000</x:f>
        <x:v>1253.2753540160684</x:v>
      </x:c>
      <x:c r="F161" s="40" t="n">
        <x:f>E161/Inputs!$C$12</x:f>
        <x:v>704.0872775371171</x:v>
      </x:c>
      <x:c r="G161" s="40" t="n">
        <x:f>2*E161/Inputs!$C$21*1000000</x:f>
        <x:v>8.360953189930271</x:v>
      </x:c>
      <x:c r="H161" s="40" t="n">
        <x:f>SQRT(A161^2+Inputs!$C$6^2)</x:f>
        <x:v>31.70567772497538</x:v>
      </x:c>
      <x:c r="I161" s="40" t="n">
        <x:f>DEGREES(ATAN(H161/B161))</x:f>
        <x:v>4.527266340904271</x:v>
      </x:c>
      <x:c r="J161" s="40" t="n">
        <x:f>DEGREES((2*PI()/Inputs!$C$13)*Inputs!$C$15*SIN(RADIANS(I161)))</x:f>
        <x:v>28.416062609031858</x:v>
      </x:c>
      <x:c r="K161" s="40" t="n">
        <x:f>(C161/D161)^4</x:f>
        <x:v>0.9875778219796632</x:v>
      </x:c>
      <x:c r="L161" s="40" t="n">
        <x:f>10*LOG10(K161)</x:f>
        <x:v>-0.0542867157526281</x:v>
      </x:c>
      <x:c r="M161" s="40" t="n">
        <x:f>2*(Inputs!$C$9/(Inputs!$C$10^2))*A161</x:f>
        <x:v>0.043333333333333335</x:v>
      </x:c>
      <x:c r="N161" s="40" t="n">
        <x:f>M161*Inputs!$C$11</x:f>
        <x:v>0.17333333333333334</x:v>
      </x:c>
      <x:c r="O161" s="40" t="n">
        <x:f>1000*((A161*Inputs!$C$11)+(B161*N161))/D161</x:f>
        <x:v>366.9789808378416</x:v>
      </x:c>
      <x:c r="P161" s="40" t="n">
        <x:f>-2*O161/Inputs!$C$13</x:f>
        <x:v>-146.79159233513664</x:v>
      </x:c>
      <x:c r="Q161" s="40" t="n">
        <x:f>-2*O161/Inputs!$C$14</x:f>
        <x:v>-22.0407796299004</x:v>
      </x:c>
      <x:c r="R161" s="40" t="n">
        <x:f>F161-Inputs!$C$16/2</x:f>
        <x:v>689.0872775371171</x:v>
      </x:c>
      <x:c r="S161" s="40" t="n">
        <x:f>F161+Inputs!$C$16/2</x:f>
        <x:v>719.0872775371171</x:v>
      </x:c>
      <x:c r="T161" s="40" t="n">
        <x:f>F161-Inputs!$C$17/2</x:f>
        <x:v>554.0872775371171</x:v>
      </x:c>
      <x:c r="U161" s="40" t="n">
        <x:f>F161+Inputs!$C$17/2</x:f>
        <x:v>854.0872775371171</x:v>
      </x:c>
      <x:c r="V161" s="40" t="n">
        <x:f>ABS(P161)</x:f>
        <x:v>146.79159233513664</x:v>
      </x:c>
      <x:c r="W161" s="40" t="n">
        <x:f>ABS(Q161)</x:f>
        <x:v>22.0407796299004</x:v>
      </x:c>
      <x:c r="X161" s="40" t="n">
        <x:f>IF(Inputs!$C$27="ON",1,0)*(Inputs!$C$28*EXP(-(((A161)-Inputs!$C$29)^2)/(2*Inputs!$C$31^2))*EXP(-(((0)-Inputs!$C$30)^2)/(2*Inputs!$C$32^2))+-Inputs!$C$33*EXP(-(((((A161)-Inputs!$C$34)^2)+(((0)-Inputs!$C$35)^2))/(2*Inputs!$C$36^2)))+Inputs!$C$37*(0.55*SIN(2*PI()*(A161)/Inputs!$C$39)+0.35*COS(2*PI()*(0)/Inputs!$C$40)+0.2*SIN(2*PI()*((A161)+(0))/(0.5*(Inputs!$C$39+Inputs!$C$40))))+Inputs!$C$38*SIN(2*PI()*(A161)/Inputs!$C$39)*SIN(2*PI()*(0)/Inputs!$C$40)+-Inputs!$C$41*EXP(-(((0)-Inputs!$C$43)^2)/(2*Inputs!$C$44^2))*EXP(-(((A161)-Inputs!$C$42)^2)/(2*Inputs!$C$45^2)))</x:f>
        <x:v>46.380646599011236</x:v>
      </x:c>
      <x:c r="Y161" s="40" t="n">
        <x:f>IF(Inputs!$C$27="ON",1,0)*(Inputs!$C$28*EXP(-(((A161)-Inputs!$C$29)^2)/(2*Inputs!$C$31^2))*EXP(-(((Inputs!$C$6)-Inputs!$C$30)^2)/(2*Inputs!$C$32^2))+-Inputs!$C$33*EXP(-(((((A161)-Inputs!$C$34)^2)+(((Inputs!$C$6)-Inputs!$C$35)^2))/(2*Inputs!$C$36^2)))+Inputs!$C$37*(0.55*SIN(2*PI()*(A161)/Inputs!$C$39)+0.35*COS(2*PI()*(Inputs!$C$6)/Inputs!$C$40)+0.2*SIN(2*PI()*((A161)+(Inputs!$C$6))/(0.5*(Inputs!$C$39+Inputs!$C$40))))+Inputs!$C$38*SIN(2*PI()*(A161)/Inputs!$C$39)*SIN(2*PI()*(Inputs!$C$6)/Inputs!$C$40)+-Inputs!$C$41*EXP(-(((Inputs!$C$6)-Inputs!$C$43)^2)/(2*Inputs!$C$44^2))*EXP(-(((A161)-Inputs!$C$42)^2)/(2*Inputs!$C$45^2)))</x:f>
        <x:v>295.2275566292752</x:v>
      </x:c>
      <x:c r="Z161" s="40" t="n">
        <x:f>B161-X161/1000</x:f>
        <x:v>400.376119353401</x:v>
      </x:c>
      <x:c r="AA161" s="40" t="n">
        <x:f>SQRT(A161^2+Inputs!$C$6^2+(B161-Y161/1000)^2)</x:f>
        <x:v>401.3814696183313</x:v>
      </x:c>
      <x:c r="AB161" s="40" t="n">
        <x:f>(AA161-Z161)*1000</x:f>
        <x:v>1005.3502649303141</x:v>
      </x:c>
      <x:c r="AC161" s="40" t="n">
        <x:f>AB161/Inputs!$C$12</x:f>
        <x:v>564.803519623772</x:v>
      </x:c>
      <x:c r="AD161" s="40" t="n">
        <x:f>2*AB161/Inputs!$C$21*1000000</x:f>
        <x:v>6.706975029574053</x:v>
      </x:c>
      <x:c r="AE161" s="40" t="n">
        <x:f>DEGREES(ATAN(H161/(B161-Y161/1000)))</x:f>
        <x:v>4.530592810867872</x:v>
      </x:c>
      <x:c r="AF161" s="40" t="n">
        <x:f>DEGREES((2*PI()/Inputs!$C$13)*Inputs!$C$15*SIN(RADIANS(AE161)))</x:f>
        <x:v>28.436898175305927</x:v>
      </x:c>
      <x:c r="AG161" s="40" t="n">
        <x:f>(Z161/AA161)^4</x:f>
        <x:v>0.9900186784407842</x:v>
      </x:c>
      <x:c r="AH161" s="40" t="n">
        <x:f>10*LOG10(AG161)</x:f>
        <x:v>-0.043566115971575496</x:v>
      </x:c>
      <x:c r="AI161" s="40" t="n">
        <x:f>AC161-F161</x:f>
        <x:v>-139.28375791334508</x:v>
      </x:c>
      <x:c r="AJ161" s="40" t="n">
        <x:f>AD161-G161</x:f>
        <x:v>-1.6539781603562176</x:v>
      </x:c>
      <x:c r="AK161" s="40" t="n">
        <x:f>Y161-X161</x:f>
        <x:v>248.84691003026398</x:v>
      </x:c>
      <x:c r="AL161" s="40" t="n">
        <x:f>1000*(AA162-AA160)/(A162-A160)*Inputs!$C$11</x:f>
        <x:v>316.1308717515112</x:v>
      </x:c>
      <x:c r="AM161" s="40" t="n">
        <x:f>-2*AL161/Inputs!$C$13</x:f>
        <x:v>-126.45234870060449</x:v>
      </x:c>
      <x:c r="AN161" s="40" t="n">
        <x:f>-2*AL161/Inputs!$C$14</x:f>
        <x:v>-18.98683914423491</x:v>
      </x:c>
      <x:c r="AO161" s="40" t="n">
        <x:f>ABS(AM161)</x:f>
        <x:v>126.45234870060449</x:v>
      </x:c>
      <x:c r="AP161" s="40" t="n">
        <x:f>ABS(AN161)</x:f>
        <x:v>18.98683914423491</x:v>
      </x:c>
      <x:c r="AQ161" s="40" t="n">
        <x:f>IF(Inputs!$C$27="ON",Inputs!$C$46/Inputs!$C$12,0)</x:f>
        <x:v>42.13483146067416</x:v>
      </x:c>
      <x:c r="AR161" s="40" t="n">
        <x:f>AC161-AQ161</x:f>
        <x:v>522.6686881630978</x:v>
      </x:c>
      <x:c r="AS161" s="40" t="n">
        <x:f>AC161+AQ161</x:f>
        <x:v>606.9383510844461</x:v>
      </x:c>
    </x:row>
    <x:row r="162">
      <x:c r="A162" s="40" t="n">
        <x:f>Inputs!$C$7+160*(Inputs!$C$8-Inputs!$C$7)/240</x:f>
        <x:v>20</x:v>
      </x:c>
      <x:c r="B162" s="40" t="n">
        <x:f>Inputs!$C$5+Inputs!$C$9*(A162/Inputs!$C$10)^2</x:f>
        <x:v>400.44444444444446</x:v>
      </x:c>
      <x:c r="C162" s="40" t="n">
        <x:f>B162</x:f>
        <x:v>400.44444444444446</x:v>
      </x:c>
      <x:c r="D162" s="40" t="n">
        <x:f>SQRT(A162^2+Inputs!$C$6^2+B162^2)</x:f>
        <x:v>401.722233746677</x:v>
      </x:c>
      <x:c r="E162" s="40" t="n">
        <x:f>(D162-C162)*1000</x:f>
        <x:v>1277.7893022325202</x:v>
      </x:c>
      <x:c r="F162" s="40" t="n">
        <x:f>E162/Inputs!$C$12</x:f>
        <x:v>717.8591585575956</x:v>
      </x:c>
      <x:c r="G162" s="40" t="n">
        <x:f>2*E162/Inputs!$C$21*1000000</x:f>
        <x:v>8.524492649061374</x:v>
      </x:c>
      <x:c r="H162" s="40" t="n">
        <x:f>SQRT(A162^2+Inputs!$C$6^2)</x:f>
        <x:v>32.01562118716424</x:v>
      </x:c>
      <x:c r="I162" s="40" t="n">
        <x:f>DEGREES(ATAN(H162/B162))</x:f>
        <x:v>4.571087167996556</x:v>
      </x:c>
      <x:c r="J162" s="40" t="n">
        <x:f>DEGREES((2*PI()/Inputs!$C$13)*Inputs!$C$15*SIN(RADIANS(I162)))</x:f>
        <x:v>28.69052957284685</x:v>
      </x:c>
      <x:c r="K162" s="40" t="n">
        <x:f>(C162/D162)^4</x:f>
        <x:v>0.98733746288823</x:v>
      </x:c>
      <x:c r="L162" s="40" t="n">
        <x:f>10*LOG10(K162)</x:f>
        <x:v>-0.0553438408698413</x:v>
      </x:c>
      <x:c r="M162" s="40" t="n">
        <x:f>2*(Inputs!$C$9/(Inputs!$C$10^2))*A162</x:f>
        <x:v>0.044444444444444446</x:v>
      </x:c>
      <x:c r="N162" s="40" t="n">
        <x:f>M162*Inputs!$C$11</x:f>
        <x:v>0.17777777777777778</x:v>
      </x:c>
      <x:c r="O162" s="40" t="n">
        <x:f>1000*((A162*Inputs!$C$11)+(B162*N162))/D162</x:f>
        <x:v>376.35488095022765</x:v>
      </x:c>
      <x:c r="P162" s="40" t="n">
        <x:f>-2*O162/Inputs!$C$13</x:f>
        <x:v>-150.54195238009106</x:v>
      </x:c>
      <x:c r="Q162" s="40" t="n">
        <x:f>-2*O162/Inputs!$C$14</x:f>
        <x:v>-22.60389675376743</x:v>
      </x:c>
      <x:c r="R162" s="40" t="n">
        <x:f>F162-Inputs!$C$16/2</x:f>
        <x:v>702.8591585575956</x:v>
      </x:c>
      <x:c r="S162" s="40" t="n">
        <x:f>F162+Inputs!$C$16/2</x:f>
        <x:v>732.8591585575956</x:v>
      </x:c>
      <x:c r="T162" s="40" t="n">
        <x:f>F162-Inputs!$C$17/2</x:f>
        <x:v>567.8591585575956</x:v>
      </x:c>
      <x:c r="U162" s="40" t="n">
        <x:f>F162+Inputs!$C$17/2</x:f>
        <x:v>867.8591585575956</x:v>
      </x:c>
      <x:c r="V162" s="40" t="n">
        <x:f>ABS(P162)</x:f>
        <x:v>150.54195238009106</x:v>
      </x:c>
      <x:c r="W162" s="40" t="n">
        <x:f>ABS(Q162)</x:f>
        <x:v>22.60389675376743</x:v>
      </x:c>
      <x:c r="X162" s="40" t="n">
        <x:f>IF(Inputs!$C$27="ON",1,0)*(Inputs!$C$28*EXP(-(((A162)-Inputs!$C$29)^2)/(2*Inputs!$C$31^2))*EXP(-(((0)-Inputs!$C$30)^2)/(2*Inputs!$C$32^2))+-Inputs!$C$33*EXP(-(((((A162)-Inputs!$C$34)^2)+(((0)-Inputs!$C$35)^2))/(2*Inputs!$C$36^2)))+Inputs!$C$37*(0.55*SIN(2*PI()*(A162)/Inputs!$C$39)+0.35*COS(2*PI()*(0)/Inputs!$C$40)+0.2*SIN(2*PI()*((A162)+(0))/(0.5*(Inputs!$C$39+Inputs!$C$40))))+Inputs!$C$38*SIN(2*PI()*(A162)/Inputs!$C$39)*SIN(2*PI()*(0)/Inputs!$C$40)+-Inputs!$C$41*EXP(-(((0)-Inputs!$C$43)^2)/(2*Inputs!$C$44^2))*EXP(-(((A162)-Inputs!$C$42)^2)/(2*Inputs!$C$45^2)))</x:f>
        <x:v>50.39807551047105</x:v>
      </x:c>
      <x:c r="Y162" s="40" t="n">
        <x:f>IF(Inputs!$C$27="ON",1,0)*(Inputs!$C$28*EXP(-(((A162)-Inputs!$C$29)^2)/(2*Inputs!$C$31^2))*EXP(-(((Inputs!$C$6)-Inputs!$C$30)^2)/(2*Inputs!$C$32^2))+-Inputs!$C$33*EXP(-(((((A162)-Inputs!$C$34)^2)+(((Inputs!$C$6)-Inputs!$C$35)^2))/(2*Inputs!$C$36^2)))+Inputs!$C$37*(0.55*SIN(2*PI()*(A162)/Inputs!$C$39)+0.35*COS(2*PI()*(Inputs!$C$6)/Inputs!$C$40)+0.2*SIN(2*PI()*((A162)+(Inputs!$C$6))/(0.5*(Inputs!$C$39+Inputs!$C$40))))+Inputs!$C$38*SIN(2*PI()*(A162)/Inputs!$C$39)*SIN(2*PI()*(Inputs!$C$6)/Inputs!$C$40)+-Inputs!$C$41*EXP(-(((Inputs!$C$6)-Inputs!$C$43)^2)/(2*Inputs!$C$44^2))*EXP(-(((A162)-Inputs!$C$42)^2)/(2*Inputs!$C$45^2)))</x:f>
        <x:v>301.2571780831806</x:v>
      </x:c>
      <x:c r="Z162" s="40" t="n">
        <x:f>B162-X162/1000</x:f>
        <x:v>400.39404636893397</x:v>
      </x:c>
      <x:c r="AA162" s="40" t="n">
        <x:f>SQRT(A162^2+Inputs!$C$6^2+(B162-Y162/1000)^2)</x:f>
        <x:v>401.4219355188282</x:v>
      </x:c>
      <x:c r="AB162" s="40" t="n">
        <x:f>(AA162-Z162)*1000</x:f>
        <x:v>1027.8891498942357</x:v>
      </x:c>
      <x:c r="AC162" s="40" t="n">
        <x:f>AB162/Inputs!$C$12</x:f>
        <x:v>577.4658145473235</x:v>
      </x:c>
      <x:c r="AD162" s="40" t="n">
        <x:f>2*AB162/Inputs!$C$21*1000000</x:f>
        <x:v>6.857338284969369</x:v>
      </x:c>
      <x:c r="AE162" s="40" t="n">
        <x:f>DEGREES(ATAN(H162/(B162-Y162/1000)))</x:f>
        <x:v>4.574514017243906</x:v>
      </x:c>
      <x:c r="AF162" s="40" t="n">
        <x:f>DEGREES((2*PI()/Inputs!$C$13)*Inputs!$C$15*SIN(RADIANS(AE162)))</x:f>
        <x:v>28.711992563342452</x:v>
      </x:c>
      <x:c r="AG162" s="40" t="n">
        <x:f>(Z162/AA162)^4</x:f>
        <x:v>0.9897967924130743</x:v>
      </x:c>
      <x:c r="AH162" s="40" t="n">
        <x:f>10*LOG10(AG162)</x:f>
        <x:v>-0.0445395791985069</x:v>
      </x:c>
      <x:c r="AI162" s="40" t="n">
        <x:f>AC162-F162</x:f>
        <x:v>-140.39334401027213</x:v>
      </x:c>
      <x:c r="AJ162" s="40" t="n">
        <x:f>AD162-G162</x:f>
        <x:v>-1.6671543640920046</x:v>
      </x:c>
      <x:c r="AK162" s="40" t="n">
        <x:f>Y162-X162</x:f>
        <x:v>250.85910257270953</x:v>
      </x:c>
      <x:c r="AL162" s="40" t="n">
        <x:f>1000*(AA163-AA161)/(A163-A161)*Inputs!$C$11</x:f>
        <x:v>332.6967184254954</x:v>
      </x:c>
      <x:c r="AM162" s="40" t="n">
        <x:f>-2*AL162/Inputs!$C$13</x:f>
        <x:v>-133.07868737019817</x:v>
      </x:c>
      <x:c r="AN162" s="40" t="n">
        <x:f>-2*AL162/Inputs!$C$14</x:f>
        <x:v>-19.981784890420148</x:v>
      </x:c>
      <x:c r="AO162" s="40" t="n">
        <x:f>ABS(AM162)</x:f>
        <x:v>133.07868737019817</x:v>
      </x:c>
      <x:c r="AP162" s="40" t="n">
        <x:f>ABS(AN162)</x:f>
        <x:v>19.981784890420148</x:v>
      </x:c>
      <x:c r="AQ162" s="40" t="n">
        <x:f>IF(Inputs!$C$27="ON",Inputs!$C$46/Inputs!$C$12,0)</x:f>
        <x:v>42.13483146067416</x:v>
      </x:c>
      <x:c r="AR162" s="40" t="n">
        <x:f>AC162-AQ162</x:f>
        <x:v>535.3309830866493</x:v>
      </x:c>
      <x:c r="AS162" s="40" t="n">
        <x:f>AC162+AQ162</x:f>
        <x:v>619.6006460079976</x:v>
      </x:c>
    </x:row>
    <x:row r="163">
      <x:c r="A163" s="40" t="n">
        <x:f>Inputs!$C$7+161*(Inputs!$C$8-Inputs!$C$7)/240</x:f>
        <x:v>20.5</x:v>
      </x:c>
      <x:c r="B163" s="40" t="n">
        <x:f>Inputs!$C$5+Inputs!$C$9*(A163/Inputs!$C$10)^2</x:f>
        <x:v>400.46694444444444</x:v>
      </x:c>
      <x:c r="C163" s="40" t="n">
        <x:f>B163</x:f>
        <x:v>400.46694444444444</x:v>
      </x:c>
      <x:c r="D163" s="40" t="n">
        <x:f>SQRT(A163^2+Inputs!$C$6^2+B163^2)</x:f>
        <x:v>401.76986396775675</x:v>
      </x:c>
      <x:c r="E163" s="40" t="n">
        <x:f>(D163-C163)*1000</x:f>
        <x:v>1302.9195233123119</x:v>
      </x:c>
      <x:c r="F163" s="40" t="n">
        <x:f>E163/Inputs!$C$12</x:f>
        <x:v>731.9772602878156</x:v>
      </x:c>
      <x:c r="G163" s="40" t="n">
        <x:f>2*E163/Inputs!$C$21*1000000</x:f>
        <x:v>8.692143438193577</x:v>
      </x:c>
      <x:c r="H163" s="40" t="n">
        <x:f>SQRT(A163^2+Inputs!$C$6^2)</x:f>
        <x:v>32.33032632065442</x:v>
      </x:c>
      <x:c r="I163" s="40" t="n">
        <x:f>DEGREES(ATAN(H163/B163))</x:f>
        <x:v>4.61556831369344</x:v>
      </x:c>
      <x:c r="J163" s="40" t="n">
        <x:f>DEGREES((2*PI()/Inputs!$C$13)*Inputs!$C$15*SIN(RADIANS(I163)))</x:f>
        <x:v>28.96911520563834</x:v>
      </x:c>
      <x:c r="K163" s="40" t="n">
        <x:f>(C163/D163)^4</x:f>
        <x:v>0.9870911646003662</x:v>
      </x:c>
      <x:c r="L163" s="40" t="n">
        <x:f>10*LOG10(K163)</x:f>
        <x:v>-0.0564273542102285</x:v>
      </x:c>
      <x:c r="M163" s="40" t="n">
        <x:f>2*(Inputs!$C$9/(Inputs!$C$10^2))*A163</x:f>
        <x:v>0.04555555555555556</x:v>
      </x:c>
      <x:c r="N163" s="40" t="n">
        <x:f>M163*Inputs!$C$11</x:f>
        <x:v>0.18222222222222223</x:v>
      </x:c>
      <x:c r="O163" s="40" t="n">
        <x:f>1000*((A163*Inputs!$C$11)+(B163*N163))/D163</x:f>
        <x:v>385.7282251404675</x:v>
      </x:c>
      <x:c r="P163" s="40" t="n">
        <x:f>-2*O163/Inputs!$C$13</x:f>
        <x:v>-154.291290056187</x:v>
      </x:c>
      <x:c r="Q163" s="40" t="n">
        <x:f>-2*O163/Inputs!$C$14</x:f>
        <x:v>-23.166860368796847</x:v>
      </x:c>
      <x:c r="R163" s="40" t="n">
        <x:f>F163-Inputs!$C$16/2</x:f>
        <x:v>716.9772602878156</x:v>
      </x:c>
      <x:c r="S163" s="40" t="n">
        <x:f>F163+Inputs!$C$16/2</x:f>
        <x:v>746.9772602878156</x:v>
      </x:c>
      <x:c r="T163" s="40" t="n">
        <x:f>F163-Inputs!$C$17/2</x:f>
        <x:v>581.9772602878156</x:v>
      </x:c>
      <x:c r="U163" s="40" t="n">
        <x:f>F163+Inputs!$C$17/2</x:f>
        <x:v>881.9772602878156</x:v>
      </x:c>
      <x:c r="V163" s="40" t="n">
        <x:f>ABS(P163)</x:f>
        <x:v>154.291290056187</x:v>
      </x:c>
      <x:c r="W163" s="40" t="n">
        <x:f>ABS(Q163)</x:f>
        <x:v>23.166860368796847</x:v>
      </x:c>
      <x:c r="X163" s="40" t="n">
        <x:f>IF(Inputs!$C$27="ON",1,0)*(Inputs!$C$28*EXP(-(((A163)-Inputs!$C$29)^2)/(2*Inputs!$C$31^2))*EXP(-(((0)-Inputs!$C$30)^2)/(2*Inputs!$C$32^2))+-Inputs!$C$33*EXP(-(((((A163)-Inputs!$C$34)^2)+(((0)-Inputs!$C$35)^2))/(2*Inputs!$C$36^2)))+Inputs!$C$37*(0.55*SIN(2*PI()*(A163)/Inputs!$C$39)+0.35*COS(2*PI()*(0)/Inputs!$C$40)+0.2*SIN(2*PI()*((A163)+(0))/(0.5*(Inputs!$C$39+Inputs!$C$40))))+Inputs!$C$38*SIN(2*PI()*(A163)/Inputs!$C$39)*SIN(2*PI()*(0)/Inputs!$C$40)+-Inputs!$C$41*EXP(-(((0)-Inputs!$C$43)^2)/(2*Inputs!$C$44^2))*EXP(-(((A163)-Inputs!$C$42)^2)/(2*Inputs!$C$45^2)))</x:f>
        <x:v>53.22620959723946</x:v>
      </x:c>
      <x:c r="Y163" s="40" t="n">
        <x:f>IF(Inputs!$C$27="ON",1,0)*(Inputs!$C$28*EXP(-(((A163)-Inputs!$C$29)^2)/(2*Inputs!$C$31^2))*EXP(-(((Inputs!$C$6)-Inputs!$C$30)^2)/(2*Inputs!$C$32^2))+-Inputs!$C$33*EXP(-(((((A163)-Inputs!$C$34)^2)+(((Inputs!$C$6)-Inputs!$C$35)^2))/(2*Inputs!$C$36^2)))+Inputs!$C$37*(0.55*SIN(2*PI()*(A163)/Inputs!$C$39)+0.35*COS(2*PI()*(Inputs!$C$6)/Inputs!$C$40)+0.2*SIN(2*PI()*((A163)+(Inputs!$C$6))/(0.5*(Inputs!$C$39+Inputs!$C$40))))+Inputs!$C$38*SIN(2*PI()*(A163)/Inputs!$C$39)*SIN(2*PI()*(Inputs!$C$6)/Inputs!$C$40)+-Inputs!$C$41*EXP(-(((Inputs!$C$6)-Inputs!$C$43)^2)/(2*Inputs!$C$44^2))*EXP(-(((A163)-Inputs!$C$42)^2)/(2*Inputs!$C$45^2)))</x:f>
        <x:v>306.2139625479992</x:v>
      </x:c>
      <x:c r="Z163" s="40" t="n">
        <x:f>B163-X163/1000</x:f>
        <x:v>400.4137182348472</x:v>
      </x:c>
      <x:c r="AA163" s="40" t="n">
        <x:f>SQRT(A163^2+Inputs!$C$6^2+(B163-Y163/1000)^2)</x:f>
        <x:v>401.4646437979377</x:v>
      </x:c>
      <x:c r="AB163" s="40" t="n">
        <x:f>(AA163-Z163)*1000</x:f>
        <x:v>1050.9255630905159</x:v>
      </x:c>
      <x:c r="AC163" s="40" t="n">
        <x:f>AB163/Inputs!$C$12</x:f>
        <x:v>590.407619713773</x:v>
      </x:c>
      <x:c r="AD163" s="40" t="n">
        <x:f>2*AB163/Inputs!$C$21*1000000</x:f>
        <x:v>7.0110206914579285</x:v>
      </x:c>
      <x:c r="AE163" s="40" t="n">
        <x:f>DEGREES(ATAN(H163/(B163-Y163/1000)))</x:f>
        <x:v>4.61908499528813</x:v>
      </x:c>
      <x:c r="AF163" s="40" t="n">
        <x:f>DEGREES((2*PI()/Inputs!$C$13)*Inputs!$C$15*SIN(RADIANS(AE163)))</x:f>
        <x:v>28.991139457086568</x:v>
      </x:c>
      <x:c r="AG163" s="40" t="n">
        <x:f>(Z163/AA163)^4</x:f>
        <x:v>0.989570128091326</x:v>
      </x:c>
      <x:c r="AH163" s="40" t="n">
        <x:f>10*LOG10(AG163)</x:f>
        <x:v>-0.045534231211634406</x:v>
      </x:c>
      <x:c r="AI163" s="40" t="n">
        <x:f>AC163-F163</x:f>
        <x:v>-141.56964057404264</x:v>
      </x:c>
      <x:c r="AJ163" s="40" t="n">
        <x:f>AD163-G163</x:f>
        <x:v>-1.6811227467356487</x:v>
      </x:c>
      <x:c r="AK163" s="40" t="n">
        <x:f>Y163-X163</x:f>
        <x:v>252.98775295075973</x:v>
      </x:c>
      <x:c r="AL163" s="40" t="n">
        <x:f>1000*(AA164-AA162)/(A164-A162)*Inputs!$C$11</x:f>
        <x:v>351.8826694150903</x:v>
      </x:c>
      <x:c r="AM163" s="40" t="n">
        <x:f>-2*AL163/Inputs!$C$13</x:f>
        <x:v>-140.7530677660361</x:v>
      </x:c>
      <x:c r="AN163" s="40" t="n">
        <x:f>-2*AL163/Inputs!$C$14</x:f>
        <x:v>-21.134094259164584</x:v>
      </x:c>
      <x:c r="AO163" s="40" t="n">
        <x:f>ABS(AM163)</x:f>
        <x:v>140.7530677660361</x:v>
      </x:c>
      <x:c r="AP163" s="40" t="n">
        <x:f>ABS(AN163)</x:f>
        <x:v>21.134094259164584</x:v>
      </x:c>
      <x:c r="AQ163" s="40" t="n">
        <x:f>IF(Inputs!$C$27="ON",Inputs!$C$46/Inputs!$C$12,0)</x:f>
        <x:v>42.13483146067416</x:v>
      </x:c>
      <x:c r="AR163" s="40" t="n">
        <x:f>AC163-AQ163</x:f>
        <x:v>548.2727882530988</x:v>
      </x:c>
      <x:c r="AS163" s="40" t="n">
        <x:f>AC163+AQ163</x:f>
        <x:v>632.5424511744471</x:v>
      </x:c>
    </x:row>
    <x:row r="164">
      <x:c r="A164" s="40" t="n">
        <x:f>Inputs!$C$7+162*(Inputs!$C$8-Inputs!$C$7)/240</x:f>
        <x:v>21</x:v>
      </x:c>
      <x:c r="B164" s="40" t="n">
        <x:f>Inputs!$C$5+Inputs!$C$9*(A164/Inputs!$C$10)^2</x:f>
        <x:v>400.49</x:v>
      </x:c>
      <x:c r="C164" s="40" t="n">
        <x:f>B164</x:f>
        <x:v>400.49</x:v>
      </x:c>
      <x:c r="D164" s="40" t="n">
        <x:f>SQRT(A164^2+Inputs!$C$6^2+B164^2)</x:f>
        <x:v>401.81866569386744</x:v>
      </x:c>
      <x:c r="E164" s="40" t="n">
        <x:f>(D164-C164)*1000</x:f>
        <x:v>1328.6656938674355</x:v>
      </x:c>
      <x:c r="F164" s="40" t="n">
        <x:f>E164/Inputs!$C$12</x:f>
        <x:v>746.441401049121</x:v>
      </x:c>
      <x:c r="G164" s="40" t="n">
        <x:f>2*E164/Inputs!$C$21*1000000</x:f>
        <x:v>8.86390339991432</x:v>
      </x:c>
      <x:c r="H164" s="40" t="n">
        <x:f>SQRT(A164^2+Inputs!$C$6^2)</x:f>
        <x:v>32.64965543462902</x:v>
      </x:c>
      <x:c r="I164" s="40" t="n">
        <x:f>DEGREES(ATAN(H164/B164))</x:f>
        <x:v>4.660689610438978</x:v>
      </x:c>
      <x:c r="J164" s="40" t="n">
        <x:f>DEGREES((2*PI()/Inputs!$C$13)*Inputs!$C$15*SIN(RADIANS(I164)))</x:f>
        <x:v>29.251692268127087</x:v>
      </x:c>
      <x:c r="K164" s="40" t="n">
        <x:f>(C164/D164)^4</x:f>
        <x:v>0.9868389379275482</x:v>
      </x:c>
      <x:c r="L164" s="40" t="n">
        <x:f>10*LOG10(K164)</x:f>
        <x:v>-0.057537227884575506</x:v>
      </x:c>
      <x:c r="M164" s="40" t="n">
        <x:f>2*(Inputs!$C$9/(Inputs!$C$10^2))*A164</x:f>
        <x:v>0.04666666666666667</x:v>
      </x:c>
      <x:c r="N164" s="40" t="n">
        <x:f>M164*Inputs!$C$11</x:f>
        <x:v>0.18666666666666668</x:v>
      </x:c>
      <x:c r="O164" s="40" t="n">
        <x:f>1000*((A164*Inputs!$C$11)+(B164*N164))/D164</x:f>
        <x:v>395.09895106337837</x:v>
      </x:c>
      <x:c r="P164" s="40" t="n">
        <x:f>-2*O164/Inputs!$C$13</x:f>
        <x:v>-158.03958042535135</x:v>
      </x:c>
      <x:c r="Q164" s="40" t="n">
        <x:f>-2*O164/Inputs!$C$14</x:f>
        <x:v>-23.729666730533236</x:v>
      </x:c>
      <x:c r="R164" s="40" t="n">
        <x:f>F164-Inputs!$C$16/2</x:f>
        <x:v>731.441401049121</x:v>
      </x:c>
      <x:c r="S164" s="40" t="n">
        <x:f>F164+Inputs!$C$16/2</x:f>
        <x:v>761.441401049121</x:v>
      </x:c>
      <x:c r="T164" s="40" t="n">
        <x:f>F164-Inputs!$C$17/2</x:f>
        <x:v>596.441401049121</x:v>
      </x:c>
      <x:c r="U164" s="40" t="n">
        <x:f>F164+Inputs!$C$17/2</x:f>
        <x:v>896.441401049121</x:v>
      </x:c>
      <x:c r="V164" s="40" t="n">
        <x:f>ABS(P164)</x:f>
        <x:v>158.03958042535135</x:v>
      </x:c>
      <x:c r="W164" s="40" t="n">
        <x:f>ABS(Q164)</x:f>
        <x:v>23.729666730533236</x:v>
      </x:c>
      <x:c r="X164" s="40" t="n">
        <x:f>IF(Inputs!$C$27="ON",1,0)*(Inputs!$C$28*EXP(-(((A164)-Inputs!$C$29)^2)/(2*Inputs!$C$31^2))*EXP(-(((0)-Inputs!$C$30)^2)/(2*Inputs!$C$32^2))+-Inputs!$C$33*EXP(-(((((A164)-Inputs!$C$34)^2)+(((0)-Inputs!$C$35)^2))/(2*Inputs!$C$36^2)))+Inputs!$C$37*(0.55*SIN(2*PI()*(A164)/Inputs!$C$39)+0.35*COS(2*PI()*(0)/Inputs!$C$40)+0.2*SIN(2*PI()*((A164)+(0))/(0.5*(Inputs!$C$39+Inputs!$C$40))))+Inputs!$C$38*SIN(2*PI()*(A164)/Inputs!$C$39)*SIN(2*PI()*(0)/Inputs!$C$40)+-Inputs!$C$41*EXP(-(((0)-Inputs!$C$43)^2)/(2*Inputs!$C$44^2))*EXP(-(((A164)-Inputs!$C$42)^2)/(2*Inputs!$C$45^2)))</x:f>
        <x:v>54.800995876461435</x:v>
      </x:c>
      <x:c r="Y164" s="40" t="n">
        <x:f>IF(Inputs!$C$27="ON",1,0)*(Inputs!$C$28*EXP(-(((A164)-Inputs!$C$29)^2)/(2*Inputs!$C$31^2))*EXP(-(((Inputs!$C$6)-Inputs!$C$30)^2)/(2*Inputs!$C$32^2))+-Inputs!$C$33*EXP(-(((((A164)-Inputs!$C$34)^2)+(((Inputs!$C$6)-Inputs!$C$35)^2))/(2*Inputs!$C$36^2)))+Inputs!$C$37*(0.55*SIN(2*PI()*(A164)/Inputs!$C$39)+0.35*COS(2*PI()*(Inputs!$C$6)/Inputs!$C$40)+0.2*SIN(2*PI()*((A164)+(Inputs!$C$6))/(0.5*(Inputs!$C$39+Inputs!$C$40))))+Inputs!$C$38*SIN(2*PI()*(A164)/Inputs!$C$39)*SIN(2*PI()*(Inputs!$C$6)/Inputs!$C$40)+-Inputs!$C$41*EXP(-(((Inputs!$C$6)-Inputs!$C$43)^2)/(2*Inputs!$C$44^2))*EXP(-(((A164)-Inputs!$C$42)^2)/(2*Inputs!$C$45^2)))</x:f>
        <x:v>309.7846399241838</x:v>
      </x:c>
      <x:c r="Z164" s="40" t="n">
        <x:f>B164-X164/1000</x:f>
        <x:v>400.43519900412355</x:v>
      </x:c>
      <x:c r="AA164" s="40" t="n">
        <x:f>SQRT(A164^2+Inputs!$C$6^2+(B164-Y164/1000)^2)</x:f>
        <x:v>401.509906186182</x:v>
      </x:c>
      <x:c r="AB164" s="40" t="n">
        <x:f>(AA164-Z164)*1000</x:f>
        <x:v>1074.7071820584324</x:v>
      </x:c>
      <x:c r="AC164" s="40" t="n">
        <x:f>AB164/Inputs!$C$12</x:f>
        <x:v>603.768079808108</x:v>
      </x:c>
      <x:c r="AD164" s="40" t="n">
        <x:f>2*AB164/Inputs!$C$21*1000000</x:f>
        <x:v>7.169674575725534</x:v>
      </x:c>
      <x:c r="AE164" s="40" t="n">
        <x:f>DEGREES(ATAN(H164/(B164-Y164/1000)))</x:f>
        <x:v>4.664281597332659</x:v>
      </x:c>
      <x:c r="AF164" s="40" t="n">
        <x:f>DEGREES((2*PI()/Inputs!$C$13)*Inputs!$C$15*SIN(RADIANS(AE164)))</x:f>
        <x:v>29.274186702173473</x:v>
      </x:c>
      <x:c r="AG164" s="40" t="n">
        <x:f>(Z164/AA164)^4</x:f>
        <x:v>0.9893362538271983</x:v>
      </x:c>
      <x:c r="AH164" s="40" t="n">
        <x:f>10*LOG10(AG164)</x:f>
        <x:v>-0.046560760852155395</x:v>
      </x:c>
      <x:c r="AI164" s="40" t="n">
        <x:f>AC164-F164</x:f>
        <x:v>-142.673321241013</x:v>
      </x:c>
      <x:c r="AJ164" s="40" t="n">
        <x:f>AD164-G164</x:f>
        <x:v>-1.6942288241887873</x:v>
      </x:c>
      <x:c r="AK164" s="40" t="n">
        <x:f>Y164-X164</x:f>
        <x:v>254.98364404772238</x:v>
      </x:c>
      <x:c r="AL164" s="40" t="n">
        <x:f>1000*(AA165-AA163)/(A165-A163)*Inputs!$C$11</x:f>
        <x:v>373.39151395235604</x:v>
      </x:c>
      <x:c r="AM164" s="40" t="n">
        <x:f>-2*AL164/Inputs!$C$13</x:f>
        <x:v>-149.35660558094241</x:v>
      </x:c>
      <x:c r="AN164" s="40" t="n">
        <x:f>-2*AL164/Inputs!$C$14</x:f>
        <x:v>-22.425916753895258</x:v>
      </x:c>
      <x:c r="AO164" s="40" t="n">
        <x:f>ABS(AM164)</x:f>
        <x:v>149.35660558094241</x:v>
      </x:c>
      <x:c r="AP164" s="40" t="n">
        <x:f>ABS(AN164)</x:f>
        <x:v>22.425916753895258</x:v>
      </x:c>
      <x:c r="AQ164" s="40" t="n">
        <x:f>IF(Inputs!$C$27="ON",Inputs!$C$46/Inputs!$C$12,0)</x:f>
        <x:v>42.13483146067416</x:v>
      </x:c>
      <x:c r="AR164" s="40" t="n">
        <x:f>AC164-AQ164</x:f>
        <x:v>561.6332483474339</x:v>
      </x:c>
      <x:c r="AS164" s="40" t="n">
        <x:f>AC164+AQ164</x:f>
        <x:v>645.9029112687822</x:v>
      </x:c>
    </x:row>
    <x:row r="165">
      <x:c r="A165" s="40" t="n">
        <x:f>Inputs!$C$7+163*(Inputs!$C$8-Inputs!$C$7)/240</x:f>
        <x:v>21.5</x:v>
      </x:c>
      <x:c r="B165" s="40" t="n">
        <x:f>Inputs!$C$5+Inputs!$C$9*(A165/Inputs!$C$10)^2</x:f>
        <x:v>400.5136111111111</x:v>
      </x:c>
      <x:c r="C165" s="40" t="n">
        <x:f>B165</x:f>
        <x:v>400.5136111111111</x:v>
      </x:c>
      <x:c r="D165" s="40" t="n">
        <x:f>SQRT(A165^2+Inputs!$C$6^2+B165^2)</x:f>
        <x:v>401.868638593835</x:v>
      </x:c>
      <x:c r="E165" s="40" t="n">
        <x:f>(D165-C165)*1000</x:f>
        <x:v>1355.0274827238695</x:v>
      </x:c>
      <x:c r="F165" s="40" t="n">
        <x:f>E165/Inputs!$C$12</x:f>
        <x:v>761.2513947886907</x:v>
      </x:c>
      <x:c r="G165" s="40" t="n">
        <x:f>2*E165/Inputs!$C$21*1000000</x:f>
        <x:v>9.039770324868343</x:v>
      </x:c>
      <x:c r="H165" s="40" t="n">
        <x:f>SQRT(A165^2+Inputs!$C$6^2)</x:f>
        <x:v>32.973474187595095</x:v>
      </x:c>
      <x:c r="I165" s="40" t="n">
        <x:f>DEGREES(ATAN(H165/B165))</x:f>
        <x:v>4.7064313676414065</x:v>
      </x:c>
      <x:c r="J165" s="40" t="n">
        <x:f>DEGREES((2*PI()/Inputs!$C$13)*Inputs!$C$15*SIN(RADIANS(I165)))</x:f>
        <x:v>29.538136514134884</x:v>
      </x:c>
      <x:c r="K165" s="40" t="n">
        <x:f>(C165/D165)^4</x:f>
        <x:v>0.9865807939326916</x:v>
      </x:c>
      <x:c r="L165" s="40" t="n">
        <x:f>10*LOG10(K165)</x:f>
        <x:v>-0.0586734333388145</x:v>
      </x:c>
      <x:c r="M165" s="40" t="n">
        <x:f>2*(Inputs!$C$9/(Inputs!$C$10^2))*A165</x:f>
        <x:v>0.04777777777777778</x:v>
      </x:c>
      <x:c r="N165" s="40" t="n">
        <x:f>M165*Inputs!$C$11</x:f>
        <x:v>0.19111111111111112</x:v>
      </x:c>
      <x:c r="O165" s="40" t="n">
        <x:f>1000*((A165*Inputs!$C$11)+(B165*N165))/D165</x:f>
        <x:v>404.4669964874971</x:v>
      </x:c>
      <x:c r="P165" s="40" t="n">
        <x:f>-2*O165/Inputs!$C$13</x:f>
        <x:v>-161.78679859499886</x:v>
      </x:c>
      <x:c r="Q165" s="40" t="n">
        <x:f>-2*O165/Inputs!$C$14</x:f>
        <x:v>-24.29231210135118</x:v>
      </x:c>
      <x:c r="R165" s="40" t="n">
        <x:f>F165-Inputs!$C$16/2</x:f>
        <x:v>746.2513947886907</x:v>
      </x:c>
      <x:c r="S165" s="40" t="n">
        <x:f>F165+Inputs!$C$16/2</x:f>
        <x:v>776.2513947886907</x:v>
      </x:c>
      <x:c r="T165" s="40" t="n">
        <x:f>F165-Inputs!$C$17/2</x:f>
        <x:v>611.2513947886907</x:v>
      </x:c>
      <x:c r="U165" s="40" t="n">
        <x:f>F165+Inputs!$C$17/2</x:f>
        <x:v>911.2513947886907</x:v>
      </x:c>
      <x:c r="V165" s="40" t="n">
        <x:f>ABS(P165)</x:f>
        <x:v>161.78679859499886</x:v>
      </x:c>
      <x:c r="W165" s="40" t="n">
        <x:f>ABS(Q165)</x:f>
        <x:v>24.29231210135118</x:v>
      </x:c>
      <x:c r="X165" s="40" t="n">
        <x:f>IF(Inputs!$C$27="ON",1,0)*(Inputs!$C$28*EXP(-(((A165)-Inputs!$C$29)^2)/(2*Inputs!$C$31^2))*EXP(-(((0)-Inputs!$C$30)^2)/(2*Inputs!$C$32^2))+-Inputs!$C$33*EXP(-(((((A165)-Inputs!$C$34)^2)+(((0)-Inputs!$C$35)^2))/(2*Inputs!$C$36^2)))+Inputs!$C$37*(0.55*SIN(2*PI()*(A165)/Inputs!$C$39)+0.35*COS(2*PI()*(0)/Inputs!$C$40)+0.2*SIN(2*PI()*((A165)+(0))/(0.5*(Inputs!$C$39+Inputs!$C$40))))+Inputs!$C$38*SIN(2*PI()*(A165)/Inputs!$C$39)*SIN(2*PI()*(0)/Inputs!$C$40)+-Inputs!$C$41*EXP(-(((0)-Inputs!$C$43)^2)/(2*Inputs!$C$44^2))*EXP(-(((A165)-Inputs!$C$42)^2)/(2*Inputs!$C$45^2)))</x:f>
        <x:v>55.102111199615564</x:v>
      </x:c>
      <x:c r="Y165" s="40" t="n">
        <x:f>IF(Inputs!$C$27="ON",1,0)*(Inputs!$C$28*EXP(-(((A165)-Inputs!$C$29)^2)/(2*Inputs!$C$31^2))*EXP(-(((Inputs!$C$6)-Inputs!$C$30)^2)/(2*Inputs!$C$32^2))+-Inputs!$C$33*EXP(-(((((A165)-Inputs!$C$34)^2)+(((Inputs!$C$6)-Inputs!$C$35)^2))/(2*Inputs!$C$36^2)))+Inputs!$C$37*(0.55*SIN(2*PI()*(A165)/Inputs!$C$39)+0.35*COS(2*PI()*(Inputs!$C$6)/Inputs!$C$40)+0.2*SIN(2*PI()*((A165)+(Inputs!$C$6))/(0.5*(Inputs!$C$39+Inputs!$C$40))))+Inputs!$C$38*SIN(2*PI()*(A165)/Inputs!$C$39)*SIN(2*PI()*(Inputs!$C$6)/Inputs!$C$40)+-Inputs!$C$41*EXP(-(((Inputs!$C$6)-Inputs!$C$43)^2)/(2*Inputs!$C$44^2))*EXP(-(((A165)-Inputs!$C$42)^2)/(2*Inputs!$C$45^2)))</x:f>
        <x:v>311.6987228712529</x:v>
      </x:c>
      <x:c r="Z165" s="40" t="n">
        <x:f>B165-X165/1000</x:f>
        <x:v>400.4585089999115</x:v>
      </x:c>
      <x:c r="AA165" s="40" t="n">
        <x:f>SQRT(A165^2+Inputs!$C$6^2+(B165-Y165/1000)^2)</x:f>
        <x:v>401.5579916764258</x:v>
      </x:c>
      <x:c r="AB165" s="40" t="n">
        <x:f>(AA165-Z165)*1000</x:f>
        <x:v>1099.4826765142989</x:v>
      </x:c>
      <x:c r="AC165" s="40" t="n">
        <x:f>AB165/Inputs!$C$12</x:f>
        <x:v>617.6868969181454</x:v>
      </x:c>
      <x:c r="AD165" s="40" t="n">
        <x:f>2*AB165/Inputs!$C$21*1000000</x:f>
        <x:v>7.334958883550692</x:v>
      </x:c>
      <x:c r="AE165" s="40" t="n">
        <x:f>DEGREES(ATAN(H165/(B165-Y165/1000)))</x:f>
        <x:v>4.710080503012356</x:v>
      </x:c>
      <x:c r="AF165" s="40" t="n">
        <x:f>DEGREES((2*PI()/Inputs!$C$13)*Inputs!$C$15*SIN(RADIANS(AE165)))</x:f>
        <x:v>29.560987338285642</x:v>
      </x:c>
      <x:c r="AG165" s="40" t="n">
        <x:f>(Z165/AA165)^4</x:f>
        <x:v>0.9890927308980524</x:v>
      </x:c>
      <x:c r="AH165" s="40" t="n">
        <x:f>10*LOG10(AG165)</x:f>
        <x:v>-0.0476298986953191</x:v>
      </x:c>
      <x:c r="AI165" s="40" t="n">
        <x:f>AC165-F165</x:f>
        <x:v>-143.56449787054532</x:v>
      </x:c>
      <x:c r="AJ165" s="40" t="n">
        <x:f>AD165-G165</x:f>
        <x:v>-1.7048114413176512</x:v>
      </x:c>
      <x:c r="AK165" s="40" t="n">
        <x:f>Y165-X165</x:f>
        <x:v>256.59661167163733</x:v>
      </x:c>
      <x:c r="AL165" s="40" t="n">
        <x:f>1000*(AA166-AA164)/(A166-A164)*Inputs!$C$11</x:f>
        <x:v>396.84214140947915</x:v>
      </x:c>
      <x:c r="AM165" s="40" t="n">
        <x:f>-2*AL165/Inputs!$C$13</x:f>
        <x:v>-158.73685656379166</x:v>
      </x:c>
      <x:c r="AN165" s="40" t="n">
        <x:f>-2*AL165/Inputs!$C$14</x:f>
        <x:v>-23.834362847416166</x:v>
      </x:c>
      <x:c r="AO165" s="40" t="n">
        <x:f>ABS(AM165)</x:f>
        <x:v>158.73685656379166</x:v>
      </x:c>
      <x:c r="AP165" s="40" t="n">
        <x:f>ABS(AN165)</x:f>
        <x:v>23.834362847416166</x:v>
      </x:c>
      <x:c r="AQ165" s="40" t="n">
        <x:f>IF(Inputs!$C$27="ON",Inputs!$C$46/Inputs!$C$12,0)</x:f>
        <x:v>42.13483146067416</x:v>
      </x:c>
      <x:c r="AR165" s="40" t="n">
        <x:f>AC165-AQ165</x:f>
        <x:v>575.5520654574713</x:v>
      </x:c>
      <x:c r="AS165" s="40" t="n">
        <x:f>AC165+AQ165</x:f>
        <x:v>659.8217283788196</x:v>
      </x:c>
    </x:row>
    <x:row r="166">
      <x:c r="A166" s="40" t="n">
        <x:f>Inputs!$C$7+164*(Inputs!$C$8-Inputs!$C$7)/240</x:f>
        <x:v>22</x:v>
      </x:c>
      <x:c r="B166" s="40" t="n">
        <x:f>Inputs!$C$5+Inputs!$C$9*(A166/Inputs!$C$10)^2</x:f>
        <x:v>400.53777777777776</x:v>
      </x:c>
      <x:c r="C166" s="40" t="n">
        <x:f>B166</x:f>
        <x:v>400.53777777777776</x:v>
      </x:c>
      <x:c r="D166" s="40" t="n">
        <x:f>SQRT(A166^2+Inputs!$C$6^2+B166^2)</x:f>
        <x:v>401.91978232871355</x:v>
      </x:c>
      <x:c r="E166" s="40" t="n">
        <x:f>(D166-C166)*1000</x:f>
        <x:v>1382.0045509357897</x:v>
      </x:c>
      <x:c r="F166" s="40" t="n">
        <x:f>E166/Inputs!$C$12</x:f>
        <x:v>776.4070510875223</x:v>
      </x:c>
      <x:c r="G166" s="40" t="n">
        <x:f>2*E166/Inputs!$C$21*1000000</x:f>
        <x:v>9.219741951852502</x:v>
      </x:c>
      <x:c r="H166" s="40" t="n">
        <x:f>SQRT(A166^2+Inputs!$C$6^2)</x:f>
        <x:v>33.301651610693426</x:v>
      </x:c>
      <x:c r="I166" s="40" t="n">
        <x:f>DEGREES(ATAN(H166/B166))</x:f>
        <x:v>4.752774375241167</x:v>
      </x:c>
      <x:c r="J166" s="40" t="n">
        <x:f>DEGREES((2*PI()/Inputs!$C$13)*Inputs!$C$15*SIN(RADIANS(I166)))</x:f>
        <x:v>29.828326713325737</x:v>
      </x:c>
      <x:c r="K166" s="40" t="n">
        <x:f>(C166/D166)^4</x:f>
        <x:v>0.9863167439290446</x:v>
      </x:c>
      <x:c r="L166" s="40" t="n">
        <x:f>10*LOG10(K166)</x:f>
        <x:v>-0.059835941355722996</x:v>
      </x:c>
      <x:c r="M166" s="40" t="n">
        <x:f>2*(Inputs!$C$9/(Inputs!$C$10^2))*A166</x:f>
        <x:v>0.04888888888888889</x:v>
      </x:c>
      <x:c r="N166" s="40" t="n">
        <x:f>M166*Inputs!$C$11</x:f>
        <x:v>0.19555555555555557</x:v>
      </x:c>
      <x:c r="O166" s="40" t="n">
        <x:f>1000*((A166*Inputs!$C$11)+(B166*N166))/D166</x:f>
        <x:v>413.83229929769595</x:v>
      </x:c>
      <x:c r="P166" s="40" t="n">
        <x:f>-2*O166/Inputs!$C$13</x:f>
        <x:v>-165.5329197190784</x:v>
      </x:c>
      <x:c r="Q166" s="40" t="n">
        <x:f>-2*O166/Inputs!$C$14</x:f>
        <x:v>-24.854792750612372</x:v>
      </x:c>
      <x:c r="R166" s="40" t="n">
        <x:f>F166-Inputs!$C$16/2</x:f>
        <x:v>761.4070510875223</x:v>
      </x:c>
      <x:c r="S166" s="40" t="n">
        <x:f>F166+Inputs!$C$16/2</x:f>
        <x:v>791.4070510875223</x:v>
      </x:c>
      <x:c r="T166" s="40" t="n">
        <x:f>F166-Inputs!$C$17/2</x:f>
        <x:v>626.4070510875223</x:v>
      </x:c>
      <x:c r="U166" s="40" t="n">
        <x:f>F166+Inputs!$C$17/2</x:f>
        <x:v>926.4070510875223</x:v>
      </x:c>
      <x:c r="V166" s="40" t="n">
        <x:f>ABS(P166)</x:f>
        <x:v>165.5329197190784</x:v>
      </x:c>
      <x:c r="W166" s="40" t="n">
        <x:f>ABS(Q166)</x:f>
        <x:v>24.854792750612372</x:v>
      </x:c>
      <x:c r="X166" s="40" t="n">
        <x:f>IF(Inputs!$C$27="ON",1,0)*(Inputs!$C$28*EXP(-(((A166)-Inputs!$C$29)^2)/(2*Inputs!$C$31^2))*EXP(-(((0)-Inputs!$C$30)^2)/(2*Inputs!$C$32^2))+-Inputs!$C$33*EXP(-(((((A166)-Inputs!$C$34)^2)+(((0)-Inputs!$C$35)^2))/(2*Inputs!$C$36^2)))+Inputs!$C$37*(0.55*SIN(2*PI()*(A166)/Inputs!$C$39)+0.35*COS(2*PI()*(0)/Inputs!$C$40)+0.2*SIN(2*PI()*((A166)+(0))/(0.5*(Inputs!$C$39+Inputs!$C$40))))+Inputs!$C$38*SIN(2*PI()*(A166)/Inputs!$C$39)*SIN(2*PI()*(0)/Inputs!$C$40)+-Inputs!$C$41*EXP(-(((0)-Inputs!$C$43)^2)/(2*Inputs!$C$44^2))*EXP(-(((A166)-Inputs!$C$42)^2)/(2*Inputs!$C$45^2)))</x:f>
        <x:v>54.15240568995017</x:v>
      </x:c>
      <x:c r="Y166" s="40" t="n">
        <x:f>IF(Inputs!$C$27="ON",1,0)*(Inputs!$C$28*EXP(-(((A166)-Inputs!$C$29)^2)/(2*Inputs!$C$31^2))*EXP(-(((Inputs!$C$6)-Inputs!$C$30)^2)/(2*Inputs!$C$32^2))+-Inputs!$C$33*EXP(-(((((A166)-Inputs!$C$34)^2)+(((Inputs!$C$6)-Inputs!$C$35)^2))/(2*Inputs!$C$36^2)))+Inputs!$C$37*(0.55*SIN(2*PI()*(A166)/Inputs!$C$39)+0.35*COS(2*PI()*(Inputs!$C$6)/Inputs!$C$40)+0.2*SIN(2*PI()*((A166)+(Inputs!$C$6))/(0.5*(Inputs!$C$39+Inputs!$C$40))))+Inputs!$C$38*SIN(2*PI()*(A166)/Inputs!$C$39)*SIN(2*PI()*(Inputs!$C$6)/Inputs!$C$40)+-Inputs!$C$41*EXP(-(((Inputs!$C$6)-Inputs!$C$43)^2)/(2*Inputs!$C$44^2))*EXP(-(((A166)-Inputs!$C$42)^2)/(2*Inputs!$C$45^2)))</x:f>
        <x:v>311.7383527411061</x:v>
      </x:c>
      <x:c r="Z166" s="40" t="n">
        <x:f>B166-X166/1000</x:f>
        <x:v>400.48362537208783</x:v>
      </x:c>
      <x:c r="AA166" s="40" t="n">
        <x:f>SQRT(A166^2+Inputs!$C$6^2+(B166-Y166/1000)^2)</x:f>
        <x:v>401.60911672153435</x:v>
      </x:c>
      <x:c r="AB166" s="40" t="n">
        <x:f>(AA166-Z166)*1000</x:f>
        <x:v>1125.49134944652</x:v>
      </x:c>
      <x:c r="AC166" s="40" t="n">
        <x:f>AB166/Inputs!$C$12</x:f>
        <x:v>632.2985109250112</x:v>
      </x:c>
      <x:c r="AD166" s="40" t="n">
        <x:f>2*AB166/Inputs!$C$21*1000000</x:f>
        <x:v>7.508470072629512</x:v>
      </x:c>
      <x:c r="AE166" s="40" t="n">
        <x:f>DEGREES(ATAN(H166/(B166-Y166/1000)))</x:f>
        <x:v>4.756459360005017</x:v>
      </x:c>
      <x:c r="AF166" s="40" t="n">
        <x:f>DEGREES((2*PI()/Inputs!$C$13)*Inputs!$C$15*SIN(RADIANS(AE166)))</x:f>
        <x:v>29.85140048043835</x:v>
      </x:c>
      <x:c r="AG166" s="40" t="n">
        <x:f>(Z166/AA166)^4</x:f>
        <x:v>0.9888372158084414</x:v>
      </x:c>
      <x:c r="AH166" s="40" t="n">
        <x:f>10*LOG10(AG166)</x:f>
        <x:v>-0.0487519687085987</x:v>
      </x:c>
      <x:c r="AI166" s="40" t="n">
        <x:f>AC166-F166</x:f>
        <x:v>-144.10854016251108</x:v>
      </x:c>
      <x:c r="AJ166" s="40" t="n">
        <x:f>AD166-G166</x:f>
        <x:v>-1.7112718792229895</x:v>
      </x:c>
      <x:c r="AK166" s="40" t="n">
        <x:f>Y166-X166</x:f>
        <x:v>257.5859470511559</x:v>
      </x:c>
      <x:c r="AL166" s="40" t="n">
        <x:f>1000*(AA167-AA165)/(A167-A165)*Inputs!$C$11</x:f>
        <x:v>421.78195755673187</x:v>
      </x:c>
      <x:c r="AM166" s="40" t="n">
        <x:f>-2*AL166/Inputs!$C$13</x:f>
        <x:v>-168.71278302269275</x:v>
      </x:c>
      <x:c r="AN166" s="40" t="n">
        <x:f>-2*AL166/Inputs!$C$14</x:f>
        <x:v>-25.33224970310702</x:v>
      </x:c>
      <x:c r="AO166" s="40" t="n">
        <x:f>ABS(AM166)</x:f>
        <x:v>168.71278302269275</x:v>
      </x:c>
      <x:c r="AP166" s="40" t="n">
        <x:f>ABS(AN166)</x:f>
        <x:v>25.33224970310702</x:v>
      </x:c>
      <x:c r="AQ166" s="40" t="n">
        <x:f>IF(Inputs!$C$27="ON",Inputs!$C$46/Inputs!$C$12,0)</x:f>
        <x:v>42.13483146067416</x:v>
      </x:c>
      <x:c r="AR166" s="40" t="n">
        <x:f>AC166-AQ166</x:f>
        <x:v>590.1636794643371</x:v>
      </x:c>
      <x:c r="AS166" s="40" t="n">
        <x:f>AC166+AQ166</x:f>
        <x:v>674.4333423856854</x:v>
      </x:c>
    </x:row>
    <x:row r="167">
      <x:c r="A167" s="40" t="n">
        <x:f>Inputs!$C$7+165*(Inputs!$C$8-Inputs!$C$7)/240</x:f>
        <x:v>22.5</x:v>
      </x:c>
      <x:c r="B167" s="40" t="n">
        <x:f>Inputs!$C$5+Inputs!$C$9*(A167/Inputs!$C$10)^2</x:f>
        <x:v>400.5625</x:v>
      </x:c>
      <x:c r="C167" s="40" t="n">
        <x:f>B167</x:f>
        <x:v>400.5625</x:v>
      </x:c>
      <x:c r="D167" s="40" t="n">
        <x:f>SQRT(A167^2+Inputs!$C$6^2+B167^2)</x:f>
        <x:v>401.97209655180046</x:v>
      </x:c>
      <x:c r="E167" s="40" t="n">
        <x:f>(D167-C167)*1000</x:f>
        <x:v>1409.5965518004618</x:v>
      </x:c>
      <x:c r="F167" s="40" t="n">
        <x:f>E167/Inputs!$C$12</x:f>
        <x:v>791.9081751687987</x:v>
      </x:c>
      <x:c r="G167" s="40" t="n">
        <x:f>2*E167/Inputs!$C$21*1000000</x:f>
        <x:v>9.403815967915122</x:v>
      </x:c>
      <x:c r="H167" s="40" t="n">
        <x:f>SQRT(A167^2+Inputs!$C$6^2)</x:f>
        <x:v>33.63406011768428</x:v>
      </x:c>
      <x:c r="I167" s="40" t="n">
        <x:f>DEGREES(ATAN(H167/B167))</x:f>
        <x:v>4.799699905357918</x:v>
      </x:c>
      <x:c r="J167" s="40" t="n">
        <x:f>DEGREES((2*PI()/Inputs!$C$13)*Inputs!$C$15*SIN(RADIANS(I167)))</x:f>
        <x:v>30.122144661864603</x:v>
      </x:c>
      <x:c r="K167" s="40" t="n">
        <x:f>(C167/D167)^4</x:f>
        <x:v>0.9860467994790504</x:v>
      </x:c>
      <x:c r="L167" s="40" t="n">
        <x:f>10*LOG10(K167)</x:f>
        <x:v>-0.0610247220566916</x:v>
      </x:c>
      <x:c r="M167" s="40" t="n">
        <x:f>2*(Inputs!$C$9/(Inputs!$C$10^2))*A167</x:f>
        <x:v>0.05</x:v>
      </x:c>
      <x:c r="N167" s="40" t="n">
        <x:f>M167*Inputs!$C$11</x:f>
        <x:v>0.2</x:v>
      </x:c>
      <x:c r="O167" s="40" t="n">
        <x:f>1000*((A167*Inputs!$C$11)+(B167*N167))/D167</x:f>
        <x:v>423.1947974977868</x:v>
      </x:c>
      <x:c r="P167" s="40" t="n">
        <x:f>-2*O167/Inputs!$C$13</x:f>
        <x:v>-169.27791899911472</x:v>
      </x:c>
      <x:c r="Q167" s="40" t="n">
        <x:f>-2*O167/Inputs!$C$14</x:f>
        <x:v>-25.417104954822033</x:v>
      </x:c>
      <x:c r="R167" s="40" t="n">
        <x:f>F167-Inputs!$C$16/2</x:f>
        <x:v>776.9081751687987</x:v>
      </x:c>
      <x:c r="S167" s="40" t="n">
        <x:f>F167+Inputs!$C$16/2</x:f>
        <x:v>806.9081751687987</x:v>
      </x:c>
      <x:c r="T167" s="40" t="n">
        <x:f>F167-Inputs!$C$17/2</x:f>
        <x:v>641.9081751687987</x:v>
      </x:c>
      <x:c r="U167" s="40" t="n">
        <x:f>F167+Inputs!$C$17/2</x:f>
        <x:v>941.9081751687987</x:v>
      </x:c>
      <x:c r="V167" s="40" t="n">
        <x:f>ABS(P167)</x:f>
        <x:v>169.27791899911472</x:v>
      </x:c>
      <x:c r="W167" s="40" t="n">
        <x:f>ABS(Q167)</x:f>
        <x:v>25.417104954822033</x:v>
      </x:c>
      <x:c r="X167" s="40" t="n">
        <x:f>IF(Inputs!$C$27="ON",1,0)*(Inputs!$C$28*EXP(-(((A167)-Inputs!$C$29)^2)/(2*Inputs!$C$31^2))*EXP(-(((0)-Inputs!$C$30)^2)/(2*Inputs!$C$32^2))+-Inputs!$C$33*EXP(-(((((A167)-Inputs!$C$34)^2)+(((0)-Inputs!$C$35)^2))/(2*Inputs!$C$36^2)))+Inputs!$C$37*(0.55*SIN(2*PI()*(A167)/Inputs!$C$39)+0.35*COS(2*PI()*(0)/Inputs!$C$40)+0.2*SIN(2*PI()*((A167)+(0))/(0.5*(Inputs!$C$39+Inputs!$C$40))))+Inputs!$C$38*SIN(2*PI()*(A167)/Inputs!$C$39)*SIN(2*PI()*(0)/Inputs!$C$40)+-Inputs!$C$41*EXP(-(((0)-Inputs!$C$43)^2)/(2*Inputs!$C$44^2))*EXP(-(((A167)-Inputs!$C$42)^2)/(2*Inputs!$C$45^2)))</x:f>
        <x:v>52.015839527040455</x:v>
      </x:c>
      <x:c r="Y167" s="40" t="n">
        <x:f>IF(Inputs!$C$27="ON",1,0)*(Inputs!$C$28*EXP(-(((A167)-Inputs!$C$29)^2)/(2*Inputs!$C$31^2))*EXP(-(((Inputs!$C$6)-Inputs!$C$30)^2)/(2*Inputs!$C$32^2))+-Inputs!$C$33*EXP(-(((((A167)-Inputs!$C$34)^2)+(((Inputs!$C$6)-Inputs!$C$35)^2))/(2*Inputs!$C$36^2)))+Inputs!$C$37*(0.55*SIN(2*PI()*(A167)/Inputs!$C$39)+0.35*COS(2*PI()*(Inputs!$C$6)/Inputs!$C$40)+0.2*SIN(2*PI()*((A167)+(Inputs!$C$6))/(0.5*(Inputs!$C$39+Inputs!$C$40))))+Inputs!$C$38*SIN(2*PI()*(A167)/Inputs!$C$39)*SIN(2*PI()*(Inputs!$C$6)/Inputs!$C$40)+-Inputs!$C$41*EXP(-(((Inputs!$C$6)-Inputs!$C$43)^2)/(2*Inputs!$C$44^2))*EXP(-(((A167)-Inputs!$C$42)^2)/(2*Inputs!$C$45^2)))</x:f>
        <x:v>309.7464106504393</x:v>
      </x:c>
      <x:c r="Z167" s="40" t="n">
        <x:f>B167-X167/1000</x:f>
        <x:v>400.51048416047297</x:v>
      </x:c>
      <x:c r="AA167" s="40" t="n">
        <x:f>SQRT(A167^2+Inputs!$C$6^2+(B167-Y167/1000)^2)</x:f>
        <x:v>401.66343716581497</x:v>
      </x:c>
      <x:c r="AB167" s="40" t="n">
        <x:f>(AA167-Z167)*1000</x:f>
        <x:v>1152.953005341999</x:v>
      </x:c>
      <x:c r="AC167" s="40" t="n">
        <x:f>AB167/Inputs!$C$12</x:f>
        <x:v>647.726407495505</x:v>
      </x:c>
      <x:c r="AD167" s="40" t="n">
        <x:f>2*AB167/Inputs!$C$21*1000000</x:f>
        <x:v>7.691674520657881</x:v>
      </x:c>
      <x:c r="AE167" s="40" t="n">
        <x:f>DEGREES(ATAN(H167/(B167-Y167/1000)))</x:f>
        <x:v>4.8033969100687015</x:v>
      </x:c>
      <x:c r="AF167" s="40" t="n">
        <x:f>DEGREES((2*PI()/Inputs!$C$13)*Inputs!$C$15*SIN(RADIANS(AE167)))</x:f>
        <x:v>30.145292107749903</x:v>
      </x:c>
      <x:c r="AG167" s="40" t="n">
        <x:f>(Z167/AA167)^4</x:f>
        <x:v>0.9885675602122487</x:v>
      </x:c>
      <x:c r="AH167" s="40" t="n">
        <x:f>10*LOG10(AG167)</x:f>
        <x:v>-0.0499364498991666</x:v>
      </x:c>
      <x:c r="AI167" s="40" t="n">
        <x:f>AC167-F167</x:f>
        <x:v>-144.18176767329373</x:v>
      </x:c>
      <x:c r="AJ167" s="40" t="n">
        <x:f>AD167-G167</x:f>
        <x:v>-1.712141447257241</x:v>
      </x:c>
      <x:c r="AK167" s="40" t="n">
        <x:f>Y167-X167</x:f>
        <x:v>257.7305711233989</x:v>
      </x:c>
      <x:c r="AL167" s="40" t="n">
        <x:f>1000*(AA168-AA166)/(A168-A166)*Inputs!$C$11</x:f>
        <x:v>447.7019742255379</x:v>
      </x:c>
      <x:c r="AM167" s="40" t="n">
        <x:f>-2*AL167/Inputs!$C$13</x:f>
        <x:v>-179.08078969021517</x:v>
      </x:c>
      <x:c r="AN167" s="40" t="n">
        <x:f>-2*AL167/Inputs!$C$14</x:f>
        <x:v>-26.88900746099327</x:v>
      </x:c>
      <x:c r="AO167" s="40" t="n">
        <x:f>ABS(AM167)</x:f>
        <x:v>179.08078969021517</x:v>
      </x:c>
      <x:c r="AP167" s="40" t="n">
        <x:f>ABS(AN167)</x:f>
        <x:v>26.88900746099327</x:v>
      </x:c>
      <x:c r="AQ167" s="40" t="n">
        <x:f>IF(Inputs!$C$27="ON",Inputs!$C$46/Inputs!$C$12,0)</x:f>
        <x:v>42.13483146067416</x:v>
      </x:c>
      <x:c r="AR167" s="40" t="n">
        <x:f>AC167-AQ167</x:f>
        <x:v>605.5915760348308</x:v>
      </x:c>
      <x:c r="AS167" s="40" t="n">
        <x:f>AC167+AQ167</x:f>
        <x:v>689.8612389561791</x:v>
      </x:c>
    </x:row>
    <x:row r="168">
      <x:c r="A168" s="40" t="n">
        <x:f>Inputs!$C$7+166*(Inputs!$C$8-Inputs!$C$7)/240</x:f>
        <x:v>23</x:v>
      </x:c>
      <x:c r="B168" s="40" t="n">
        <x:f>Inputs!$C$5+Inputs!$C$9*(A168/Inputs!$C$10)^2</x:f>
        <x:v>400.5877777777778</x:v>
      </x:c>
      <x:c r="C168" s="40" t="n">
        <x:f>B168</x:f>
        <x:v>400.5877777777778</x:v>
      </x:c>
      <x:c r="D168" s="40" t="n">
        <x:f>SQRT(A168^2+Inputs!$C$6^2+B168^2)</x:f>
        <x:v>402.02558090865097</x:v>
      </x:c>
      <x:c r="E168" s="40" t="n">
        <x:f>(D168-C168)*1000</x:f>
        <x:v>1437.803130873192</x:v>
      </x:c>
      <x:c r="F168" s="40" t="n">
        <x:f>E168/Inputs!$C$12</x:f>
        <x:v>807.7545679062877</x:v>
      </x:c>
      <x:c r="G168" s="40" t="n">
        <x:f>2*E168/Inputs!$C$21*1000000</x:f>
        <x:v>9.59199000845573</x:v>
      </x:c>
      <x:c r="H168" s="40" t="n">
        <x:f>SQRT(A168^2+Inputs!$C$6^2)</x:f>
        <x:v>33.97057550292606</x:v>
      </x:c>
      <x:c r="I168" s="40" t="n">
        <x:f>DEGREES(ATAN(H168/B168))</x:f>
        <x:v>4.847189712205752</x:v>
      </x:c>
      <x:c r="J168" s="40" t="n">
        <x:f>DEGREES((2*PI()/Inputs!$C$13)*Inputs!$C$15*SIN(RADIANS(I168)))</x:f>
        <x:v>30.419475182182925</x:v>
      </x:c>
      <x:c r="K168" s="40" t="n">
        <x:f>(C168/D168)^4</x:f>
        <x:v>0.9857709723931932</x:v>
      </x:c>
      <x:c r="L168" s="40" t="n">
        <x:f>10*LOG10(K168)</x:f>
        <x:v>-0.062239744903501905</x:v>
      </x:c>
      <x:c r="M168" s="40" t="n">
        <x:f>2*(Inputs!$C$9/(Inputs!$C$10^2))*A168</x:f>
        <x:v>0.051111111111111114</x:v>
      </x:c>
      <x:c r="N168" s="40" t="n">
        <x:f>M168*Inputs!$C$11</x:f>
        <x:v>0.20444444444444446</x:v>
      </x:c>
      <x:c r="O168" s="40" t="n">
        <x:f>1000*((A168*Inputs!$C$11)+(B168*N168))/D168</x:f>
        <x:v>432.55442921311464</x:v>
      </x:c>
      <x:c r="P168" s="40" t="n">
        <x:f>-2*O168/Inputs!$C$13</x:f>
        <x:v>-173.02177168524585</x:v>
      </x:c>
      <x:c r="Q168" s="40" t="n">
        <x:f>-2*O168/Inputs!$C$14</x:f>
        <x:v>-25.979244997784665</x:v>
      </x:c>
      <x:c r="R168" s="40" t="n">
        <x:f>F168-Inputs!$C$16/2</x:f>
        <x:v>792.7545679062877</x:v>
      </x:c>
      <x:c r="S168" s="40" t="n">
        <x:f>F168+Inputs!$C$16/2</x:f>
        <x:v>822.7545679062877</x:v>
      </x:c>
      <x:c r="T168" s="40" t="n">
        <x:f>F168-Inputs!$C$17/2</x:f>
        <x:v>657.7545679062877</x:v>
      </x:c>
      <x:c r="U168" s="40" t="n">
        <x:f>F168+Inputs!$C$17/2</x:f>
        <x:v>957.7545679062877</x:v>
      </x:c>
      <x:c r="V168" s="40" t="n">
        <x:f>ABS(P168)</x:f>
        <x:v>173.02177168524585</x:v>
      </x:c>
      <x:c r="W168" s="40" t="n">
        <x:f>ABS(Q168)</x:f>
        <x:v>25.979244997784665</x:v>
      </x:c>
      <x:c r="X168" s="40" t="n">
        <x:f>IF(Inputs!$C$27="ON",1,0)*(Inputs!$C$28*EXP(-(((A168)-Inputs!$C$29)^2)/(2*Inputs!$C$31^2))*EXP(-(((0)-Inputs!$C$30)^2)/(2*Inputs!$C$32^2))+-Inputs!$C$33*EXP(-(((((A168)-Inputs!$C$34)^2)+(((0)-Inputs!$C$35)^2))/(2*Inputs!$C$36^2)))+Inputs!$C$37*(0.55*SIN(2*PI()*(A168)/Inputs!$C$39)+0.35*COS(2*PI()*(0)/Inputs!$C$40)+0.2*SIN(2*PI()*((A168)+(0))/(0.5*(Inputs!$C$39+Inputs!$C$40))))+Inputs!$C$38*SIN(2*PI()*(A168)/Inputs!$C$39)*SIN(2*PI()*(0)/Inputs!$C$40)+-Inputs!$C$41*EXP(-(((0)-Inputs!$C$43)^2)/(2*Inputs!$C$44^2))*EXP(-(((A168)-Inputs!$C$42)^2)/(2*Inputs!$C$45^2)))</x:f>
        <x:v>48.79403573540186</x:v>
      </x:c>
      <x:c r="Y168" s="40" t="n">
        <x:f>IF(Inputs!$C$27="ON",1,0)*(Inputs!$C$28*EXP(-(((A168)-Inputs!$C$29)^2)/(2*Inputs!$C$31^2))*EXP(-(((Inputs!$C$6)-Inputs!$C$30)^2)/(2*Inputs!$C$32^2))+-Inputs!$C$33*EXP(-(((((A168)-Inputs!$C$34)^2)+(((Inputs!$C$6)-Inputs!$C$35)^2))/(2*Inputs!$C$36^2)))+Inputs!$C$37*(0.55*SIN(2*PI()*(A168)/Inputs!$C$39)+0.35*COS(2*PI()*(Inputs!$C$6)/Inputs!$C$40)+0.2*SIN(2*PI()*((A168)+(Inputs!$C$6))/(0.5*(Inputs!$C$39+Inputs!$C$40))))+Inputs!$C$38*SIN(2*PI()*(A168)/Inputs!$C$39)*SIN(2*PI()*(Inputs!$C$6)/Inputs!$C$40)+-Inputs!$C$41*EXP(-(((Inputs!$C$6)-Inputs!$C$43)^2)/(2*Inputs!$C$44^2))*EXP(-(((A168)-Inputs!$C$42)^2)/(2*Inputs!$C$45^2)))</x:f>
        <x:v>305.6325871901515</x:v>
      </x:c>
      <x:c r="Z168" s="40" t="n">
        <x:f>B168-X168/1000</x:f>
        <x:v>400.5389837420424</x:v>
      </x:c>
      <x:c r="AA168" s="40" t="n">
        <x:f>SQRT(A168^2+Inputs!$C$6^2+(B168-Y168/1000)^2)</x:f>
        <x:v>401.72104221509073</x:v>
      </x:c>
      <x:c r="AB168" s="40" t="n">
        <x:f>(AA168-Z168)*1000</x:f>
        <x:v>1182.0584730483574</x:v>
      </x:c>
      <x:c r="AC168" s="40" t="n">
        <x:f>AB168/Inputs!$C$12</x:f>
        <x:v>664.0777938473918</x:v>
      </x:c>
      <x:c r="AD168" s="40" t="n">
        <x:f>2*AB168/Inputs!$C$21*1000000</x:f>
        <x:v>7.88584530067369</x:v>
      </x:c>
      <x:c r="AE168" s="40" t="n">
        <x:f>DEGREES(ATAN(H168/(B168-Y168/1000)))</x:f>
        <x:v>4.8508730956012736</x:v>
      </x:c>
      <x:c r="AF168" s="40" t="n">
        <x:f>DEGREES((2*PI()/Inputs!$C$13)*Inputs!$C$15*SIN(RADIANS(AE168)))</x:f>
        <x:v>30.44253572981988</x:v>
      </x:c>
      <x:c r="AG168" s="40" t="n">
        <x:f>(Z168/AA168)^4</x:f>
        <x:v>0.9882819041979874</x:v>
      </x:c>
      <x:c r="AH168" s="40" t="n">
        <x:f>10*LOG10(AG168)</x:f>
        <x:v>-0.051191566526032295</x:v>
      </x:c>
      <x:c r="AI168" s="40" t="n">
        <x:f>AC168-F168</x:f>
        <x:v>-143.67677405889583</x:v>
      </x:c>
      <x:c r="AJ168" s="40" t="n">
        <x:f>AD168-G168</x:f>
        <x:v>-1.7061447077820393</x:v>
      </x:c>
      <x:c r="AK168" s="40" t="n">
        <x:f>Y168-X168</x:f>
        <x:v>256.8385514547497</x:v>
      </x:c>
      <x:c r="AL168" s="40" t="n">
        <x:f>1000*(AA169-AA167)/(A169-A167)*Inputs!$C$11</x:f>
        <x:v>474.0540557093027</x:v>
      </x:c>
      <x:c r="AM168" s="40" t="n">
        <x:f>-2*AL168/Inputs!$C$13</x:f>
        <x:v>-189.62162228372108</x:v>
      </x:c>
      <x:c r="AN168" s="40" t="n">
        <x:f>-2*AL168/Inputs!$C$14</x:f>
        <x:v>-28.471715057615782</x:v>
      </x:c>
      <x:c r="AO168" s="40" t="n">
        <x:f>ABS(AM168)</x:f>
        <x:v>189.62162228372108</x:v>
      </x:c>
      <x:c r="AP168" s="40" t="n">
        <x:f>ABS(AN168)</x:f>
        <x:v>28.471715057615782</x:v>
      </x:c>
      <x:c r="AQ168" s="40" t="n">
        <x:f>IF(Inputs!$C$27="ON",Inputs!$C$46/Inputs!$C$12,0)</x:f>
        <x:v>42.13483146067416</x:v>
      </x:c>
      <x:c r="AR168" s="40" t="n">
        <x:f>AC168-AQ168</x:f>
        <x:v>621.9429623867177</x:v>
      </x:c>
      <x:c r="AS168" s="40" t="n">
        <x:f>AC168+AQ168</x:f>
        <x:v>706.212625308066</x:v>
      </x:c>
    </x:row>
    <x:row r="169">
      <x:c r="A169" s="40" t="n">
        <x:f>Inputs!$C$7+167*(Inputs!$C$8-Inputs!$C$7)/240</x:f>
        <x:v>23.5</x:v>
      </x:c>
      <x:c r="B169" s="40" t="n">
        <x:f>Inputs!$C$5+Inputs!$C$9*(A169/Inputs!$C$10)^2</x:f>
        <x:v>400.6136111111111</x:v>
      </x:c>
      <x:c r="C169" s="40" t="n">
        <x:f>B169</x:f>
        <x:v>400.6136111111111</x:v>
      </x:c>
      <x:c r="D169" s="40" t="n">
        <x:f>SQRT(A169^2+Inputs!$C$6^2+B169^2)</x:f>
        <x:v>402.08023503709376</x:v>
      </x:c>
      <x:c r="E169" s="40" t="n">
        <x:f>(D169-C169)*1000</x:f>
        <x:v>1466.6239259826739</x:v>
      </x:c>
      <x:c r="F169" s="40" t="n">
        <x:f>E169/Inputs!$C$12</x:f>
        <x:v>823.9460258329628</x:v>
      </x:c>
      <x:c r="G169" s="40" t="n">
        <x:f>2*E169/Inputs!$C$21*1000000</x:f>
        <x:v>9.784261657327443</x:v>
      </x:c>
      <x:c r="H169" s="40" t="n">
        <x:f>SQRT(A169^2+Inputs!$C$6^2)</x:f>
        <x:v>34.311076928595526</x:v>
      </x:c>
      <x:c r="I169" s="40" t="n">
        <x:f>DEGREES(ATAN(H169/B169))</x:f>
        <x:v>4.8952260304560395</x:v>
      </x:c>
      <x:c r="J169" s="40" t="n">
        <x:f>DEGREES((2*PI()/Inputs!$C$13)*Inputs!$C$15*SIN(RADIANS(I169)))</x:f>
        <x:v>30.72020611297858</x:v>
      </x:c>
      <x:c r="K169" s="40" t="n">
        <x:f>(C169/D169)^4</x:f>
        <x:v>0.9854892747288151</x:v>
      </x:c>
      <x:c r="L169" s="40" t="n">
        <x:f>10*LOG10(K169)</x:f>
        <x:v>-0.0634809787001641</x:v>
      </x:c>
      <x:c r="M169" s="40" t="n">
        <x:f>2*(Inputs!$C$9/(Inputs!$C$10^2))*A169</x:f>
        <x:v>0.052222222222222225</x:v>
      </x:c>
      <x:c r="N169" s="40" t="n">
        <x:f>M169*Inputs!$C$11</x:f>
        <x:v>0.2088888888888889</x:v>
      </x:c>
      <x:c r="O169" s="40" t="n">
        <x:f>1000*((A169*Inputs!$C$11)+(B169*N169))/D169</x:f>
        <x:v>441.9111326931385</x:v>
      </x:c>
      <x:c r="P169" s="40" t="n">
        <x:f>-2*O169/Inputs!$C$13</x:f>
        <x:v>-176.76445307725538</x:v>
      </x:c>
      <x:c r="Q169" s="40" t="n">
        <x:f>-2*O169/Inputs!$C$14</x:f>
        <x:v>-26.54120917075907</x:v>
      </x:c>
      <x:c r="R169" s="40" t="n">
        <x:f>F169-Inputs!$C$16/2</x:f>
        <x:v>808.9460258329628</x:v>
      </x:c>
      <x:c r="S169" s="40" t="n">
        <x:f>F169+Inputs!$C$16/2</x:f>
        <x:v>838.9460258329628</x:v>
      </x:c>
      <x:c r="T169" s="40" t="n">
        <x:f>F169-Inputs!$C$17/2</x:f>
        <x:v>673.9460258329628</x:v>
      </x:c>
      <x:c r="U169" s="40" t="n">
        <x:f>F169+Inputs!$C$17/2</x:f>
        <x:v>973.9460258329628</x:v>
      </x:c>
      <x:c r="V169" s="40" t="n">
        <x:f>ABS(P169)</x:f>
        <x:v>176.76445307725538</x:v>
      </x:c>
      <x:c r="W169" s="40" t="n">
        <x:f>ABS(Q169)</x:f>
        <x:v>26.54120917075907</x:v>
      </x:c>
      <x:c r="X169" s="40" t="n">
        <x:f>IF(Inputs!$C$27="ON",1,0)*(Inputs!$C$28*EXP(-(((A169)-Inputs!$C$29)^2)/(2*Inputs!$C$31^2))*EXP(-(((0)-Inputs!$C$30)^2)/(2*Inputs!$C$32^2))+-Inputs!$C$33*EXP(-(((((A169)-Inputs!$C$34)^2)+(((0)-Inputs!$C$35)^2))/(2*Inputs!$C$36^2)))+Inputs!$C$37*(0.55*SIN(2*PI()*(A169)/Inputs!$C$39)+0.35*COS(2*PI()*(0)/Inputs!$C$40)+0.2*SIN(2*PI()*((A169)+(0))/(0.5*(Inputs!$C$39+Inputs!$C$40))))+Inputs!$C$38*SIN(2*PI()*(A169)/Inputs!$C$39)*SIN(2*PI()*(0)/Inputs!$C$40)+-Inputs!$C$41*EXP(-(((0)-Inputs!$C$43)^2)/(2*Inputs!$C$44^2))*EXP(-(((A169)-Inputs!$C$42)^2)/(2*Inputs!$C$45^2)))</x:f>
        <x:v>44.6216195510579</x:v>
      </x:c>
      <x:c r="Y169" s="40" t="n">
        <x:f>IF(Inputs!$C$27="ON",1,0)*(Inputs!$C$28*EXP(-(((A169)-Inputs!$C$29)^2)/(2*Inputs!$C$31^2))*EXP(-(((Inputs!$C$6)-Inputs!$C$30)^2)/(2*Inputs!$C$32^2))+-Inputs!$C$33*EXP(-(((((A169)-Inputs!$C$34)^2)+(((Inputs!$C$6)-Inputs!$C$35)^2))/(2*Inputs!$C$36^2)))+Inputs!$C$37*(0.55*SIN(2*PI()*(A169)/Inputs!$C$39)+0.35*COS(2*PI()*(Inputs!$C$6)/Inputs!$C$40)+0.2*SIN(2*PI()*((A169)+(Inputs!$C$6))/(0.5*(Inputs!$C$39+Inputs!$C$40))))+Inputs!$C$38*SIN(2*PI()*(A169)/Inputs!$C$39)*SIN(2*PI()*(Inputs!$C$6)/Inputs!$C$40)+-Inputs!$C$41*EXP(-(((Inputs!$C$6)-Inputs!$C$43)^2)/(2*Inputs!$C$44^2))*EXP(-(((A169)-Inputs!$C$42)^2)/(2*Inputs!$C$45^2)))</x:f>
        <x:v>299.3771747958651</x:v>
      </x:c>
      <x:c r="Z169" s="40" t="n">
        <x:f>B169-X169/1000</x:f>
        <x:v>400.56898949156005</x:v>
      </x:c>
      <x:c r="AA169" s="40" t="n">
        <x:f>SQRT(A169^2+Inputs!$C$6^2+(B169-Y169/1000)^2)</x:f>
        <x:v>401.7819506797423</x:v>
      </x:c>
      <x:c r="AB169" s="40" t="n">
        <x:f>(AA169-Z169)*1000</x:f>
        <x:v>1212.9611881822484</x:v>
      </x:c>
      <x:c r="AC169" s="40" t="n">
        <x:f>AB169/Inputs!$C$12</x:f>
        <x:v>681.438869765308</x:v>
      </x:c>
      <x:c r="AD169" s="40" t="n">
        <x:f>2*AB169/Inputs!$C$21*1000000</x:f>
        <x:v>8.092006024929743</x:v>
      </x:c>
      <x:c r="AE169" s="40" t="n">
        <x:f>DEGREES(ATAN(H169/(B169-Y169/1000)))</x:f>
        <x:v>4.898869142430022</x:v>
      </x:c>
      <x:c r="AF169" s="40" t="n">
        <x:f>DEGREES((2*PI()/Inputs!$C$13)*Inputs!$C$15*SIN(RADIANS(AE169)))</x:f>
        <x:v>30.743012903882473</x:v>
      </x:c>
      <x:c r="AG169" s="40" t="n">
        <x:f>(Z169/AA169)^4</x:f>
        <x:v>0.9879787589068714</x:v>
      </x:c>
      <x:c r="AH169" s="40" t="n">
        <x:f>10*LOG10(AG169)</x:f>
        <x:v>-0.0525239244546915</x:v>
      </x:c>
      <x:c r="AI169" s="40" t="n">
        <x:f>AC169-F169</x:f>
        <x:v>-142.50715606765482</x:v>
      </x:c>
      <x:c r="AJ169" s="40" t="n">
        <x:f>AD169-G169</x:f>
        <x:v>-1.6922556323976998</x:v>
      </x:c>
      <x:c r="AK169" s="40" t="n">
        <x:f>Y169-X169</x:f>
        <x:v>254.75555524480717</x:v>
      </x:c>
      <x:c r="AL169" s="40" t="n">
        <x:f>1000*(AA170-AA168)/(A170-A168)*Inputs!$C$11</x:f>
        <x:v>500.26972037676387</x:v>
      </x:c>
      <x:c r="AM169" s="40" t="n">
        <x:f>-2*AL169/Inputs!$C$13</x:f>
        <x:v>-200.10788815070555</x:v>
      </x:c>
      <x:c r="AN169" s="40" t="n">
        <x:f>-2*AL169/Inputs!$C$14</x:f>
        <x:v>-30.046229452057894</x:v>
      </x:c>
      <x:c r="AO169" s="40" t="n">
        <x:f>ABS(AM169)</x:f>
        <x:v>200.10788815070555</x:v>
      </x:c>
      <x:c r="AP169" s="40" t="n">
        <x:f>ABS(AN169)</x:f>
        <x:v>30.046229452057894</x:v>
      </x:c>
      <x:c r="AQ169" s="40" t="n">
        <x:f>IF(Inputs!$C$27="ON",Inputs!$C$46/Inputs!$C$12,0)</x:f>
        <x:v>42.13483146067416</x:v>
      </x:c>
      <x:c r="AR169" s="40" t="n">
        <x:f>AC169-AQ169</x:f>
        <x:v>639.3040383046339</x:v>
      </x:c>
      <x:c r="AS169" s="40" t="n">
        <x:f>AC169+AQ169</x:f>
        <x:v>723.5737012259822</x:v>
      </x:c>
    </x:row>
    <x:row r="170">
      <x:c r="A170" s="40" t="n">
        <x:f>Inputs!$C$7+168*(Inputs!$C$8-Inputs!$C$7)/240</x:f>
        <x:v>24</x:v>
      </x:c>
      <x:c r="B170" s="40" t="n">
        <x:f>Inputs!$C$5+Inputs!$C$9*(A170/Inputs!$C$10)^2</x:f>
        <x:v>400.64</x:v>
      </x:c>
      <x:c r="C170" s="40" t="n">
        <x:f>B170</x:f>
        <x:v>400.64</x:v>
      </x:c>
      <x:c r="D170" s="40" t="n">
        <x:f>SQRT(A170^2+Inputs!$C$6^2+B170^2)</x:f>
        <x:v>402.1360585672466</x:v>
      </x:c>
      <x:c r="E170" s="40" t="n">
        <x:f>(D170-C170)*1000</x:f>
        <x:v>1496.058567246621</x:v>
      </x:c>
      <x:c r="F170" s="40" t="n">
        <x:f>E170/Inputs!$C$12</x:f>
        <x:v>840.482341149787</x:v>
      </x:c>
      <x:c r="G170" s="40" t="n">
        <x:f>2*E170/Inputs!$C$21*1000000</x:f>
        <x:v>9.980628446941257</x:v>
      </x:c>
      <x:c r="H170" s="40" t="n">
        <x:f>SQRT(A170^2+Inputs!$C$6^2)</x:f>
        <x:v>34.655446902326915</x:v>
      </x:c>
      <x:c r="I170" s="40" t="n">
        <x:f>DEGREES(ATAN(H170/B170))</x:f>
        <x:v>4.943791572217107</x:v>
      </x:c>
      <x:c r="J170" s="40" t="n">
        <x:f>DEGREES((2*PI()/Inputs!$C$13)*Inputs!$C$15*SIN(RADIANS(I170)))</x:f>
        <x:v>31.024228290513804</x:v>
      </x:c>
      <x:c r="K170" s="40" t="n">
        <x:f>(C170/D170)^4</x:f>
        <x:v>0.9852017187889134</x:v>
      </x:c>
      <x:c r="L170" s="40" t="n">
        <x:f>10*LOG10(K170)</x:f>
        <x:v>-0.0647483915947774</x:v>
      </x:c>
      <x:c r="M170" s="40" t="n">
        <x:f>2*(Inputs!$C$9/(Inputs!$C$10^2))*A170</x:f>
        <x:v>0.05333333333333333</x:v>
      </x:c>
      <x:c r="N170" s="40" t="n">
        <x:f>M170*Inputs!$C$11</x:f>
        <x:v>0.21333333333333332</x:v>
      </x:c>
      <x:c r="O170" s="40" t="n">
        <x:f>1000*((A170*Inputs!$C$11)+(B170*N170))/D170</x:f>
        <x:v>451.26484631400103</x:v>
      </x:c>
      <x:c r="P170" s="40" t="n">
        <x:f>-2*O170/Inputs!$C$13</x:f>
        <x:v>-180.5059385256004</x:v>
      </x:c>
      <x:c r="Q170" s="40" t="n">
        <x:f>-2*O170/Inputs!$C$14</x:f>
        <x:v>-27.102993772612678</x:v>
      </x:c>
      <x:c r="R170" s="40" t="n">
        <x:f>F170-Inputs!$C$16/2</x:f>
        <x:v>825.482341149787</x:v>
      </x:c>
      <x:c r="S170" s="40" t="n">
        <x:f>F170+Inputs!$C$16/2</x:f>
        <x:v>855.482341149787</x:v>
      </x:c>
      <x:c r="T170" s="40" t="n">
        <x:f>F170-Inputs!$C$17/2</x:f>
        <x:v>690.482341149787</x:v>
      </x:c>
      <x:c r="U170" s="40" t="n">
        <x:f>F170+Inputs!$C$17/2</x:f>
        <x:v>990.482341149787</x:v>
      </x:c>
      <x:c r="V170" s="40" t="n">
        <x:f>ABS(P170)</x:f>
        <x:v>180.5059385256004</x:v>
      </x:c>
      <x:c r="W170" s="40" t="n">
        <x:f>ABS(Q170)</x:f>
        <x:v>27.102993772612678</x:v>
      </x:c>
      <x:c r="X170" s="40" t="n">
        <x:f>IF(Inputs!$C$27="ON",1,0)*(Inputs!$C$28*EXP(-(((A170)-Inputs!$C$29)^2)/(2*Inputs!$C$31^2))*EXP(-(((0)-Inputs!$C$30)^2)/(2*Inputs!$C$32^2))+-Inputs!$C$33*EXP(-(((((A170)-Inputs!$C$34)^2)+(((0)-Inputs!$C$35)^2))/(2*Inputs!$C$36^2)))+Inputs!$C$37*(0.55*SIN(2*PI()*(A170)/Inputs!$C$39)+0.35*COS(2*PI()*(0)/Inputs!$C$40)+0.2*SIN(2*PI()*((A170)+(0))/(0.5*(Inputs!$C$39+Inputs!$C$40))))+Inputs!$C$38*SIN(2*PI()*(A170)/Inputs!$C$39)*SIN(2*PI()*(0)/Inputs!$C$40)+-Inputs!$C$41*EXP(-(((0)-Inputs!$C$43)^2)/(2*Inputs!$C$44^2))*EXP(-(((A170)-Inputs!$C$42)^2)/(2*Inputs!$C$45^2)))</x:f>
        <x:v>39.660554802231026</x:v>
      </x:c>
      <x:c r="Y170" s="40" t="n">
        <x:f>IF(Inputs!$C$27="ON",1,0)*(Inputs!$C$28*EXP(-(((A170)-Inputs!$C$29)^2)/(2*Inputs!$C$31^2))*EXP(-(((Inputs!$C$6)-Inputs!$C$30)^2)/(2*Inputs!$C$32^2))+-Inputs!$C$33*EXP(-(((((A170)-Inputs!$C$34)^2)+(((Inputs!$C$6)-Inputs!$C$35)^2))/(2*Inputs!$C$36^2)))+Inputs!$C$37*(0.55*SIN(2*PI()*(A170)/Inputs!$C$39)+0.35*COS(2*PI()*(Inputs!$C$6)/Inputs!$C$40)+0.2*SIN(2*PI()*((A170)+(Inputs!$C$6))/(0.5*(Inputs!$C$39+Inputs!$C$40))))+Inputs!$C$38*SIN(2*PI()*(A170)/Inputs!$C$39)*SIN(2*PI()*(Inputs!$C$6)/Inputs!$C$40)+-Inputs!$C$41*EXP(-(((Inputs!$C$6)-Inputs!$C$43)^2)/(2*Inputs!$C$44^2))*EXP(-(((A170)-Inputs!$C$42)^2)/(2*Inputs!$C$45^2)))</x:f>
        <x:v>291.03242674650306</x:v>
      </x:c>
      <x:c r="Z170" s="40" t="n">
        <x:f>B170-X170/1000</x:f>
        <x:v>400.60033944519773</x:v>
      </x:c>
      <x:c r="AA170" s="40" t="n">
        <x:f>SQRT(A170^2+Inputs!$C$6^2+(B170-Y170/1000)^2)</x:f>
        <x:v>401.8461096451849</x:v>
      </x:c>
      <x:c r="AB170" s="40" t="n">
        <x:f>(AA170-Z170)*1000</x:f>
        <x:v>1245.7701999871915</x:v>
      </x:c>
      <x:c r="AC170" s="40" t="n">
        <x:f>AB170/Inputs!$C$12</x:f>
        <x:v>699.8708988692088</x:v>
      </x:c>
      <x:c r="AD170" s="40" t="n">
        <x:f>2*AB170/Inputs!$C$21*1000000</x:f>
        <x:v>8.310884191670969</x:v>
      </x:c>
      <x:c r="AE170" s="40" t="n">
        <x:f>DEGREES(ATAN(H170/(B170-Y170/1000)))</x:f>
        <x:v>4.947367615213391</x:v>
      </x:c>
      <x:c r="AF170" s="40" t="n">
        <x:f>DEGREES((2*PI()/Inputs!$C$13)*Inputs!$C$15*SIN(RADIANS(AE170)))</x:f>
        <x:v>31.046613580142644</x:v>
      </x:c>
      <x:c r="AG170" s="40" t="n">
        <x:f>(Z170/AA170)^4</x:f>
        <x:v>0.9876570748601735</x:v>
      </x:c>
      <x:c r="AH170" s="40" t="n">
        <x:f>10*LOG10(AG170)</x:f>
        <x:v>-0.05393820946859951</x:v>
      </x:c>
      <x:c r="AI170" s="40" t="n">
        <x:f>AC170-F170</x:f>
        <x:v>-140.61144228057822</x:v>
      </x:c>
      <x:c r="AJ170" s="40" t="n">
        <x:f>AD170-G170</x:f>
        <x:v>-1.6697442552702881</x:v>
      </x:c>
      <x:c r="AK170" s="40" t="n">
        <x:f>Y170-X170</x:f>
        <x:v>251.37187194427204</x:v>
      </x:c>
      <x:c r="AL170" s="40" t="n">
        <x:f>1000*(AA171-AA169)/(A171-A169)*Inputs!$C$11</x:f>
        <x:v>525.7798327468208</x:v>
      </x:c>
      <x:c r="AM170" s="40" t="n">
        <x:f>-2*AL170/Inputs!$C$13</x:f>
        <x:v>-210.31193309872833</x:v>
      </x:c>
      <x:c r="AN170" s="40" t="n">
        <x:f>-2*AL170/Inputs!$C$14</x:f>
        <x:v>-31.578368333142397</x:v>
      </x:c>
      <x:c r="AO170" s="40" t="n">
        <x:f>ABS(AM170)</x:f>
        <x:v>210.31193309872833</x:v>
      </x:c>
      <x:c r="AP170" s="40" t="n">
        <x:f>ABS(AN170)</x:f>
        <x:v>31.578368333142397</x:v>
      </x:c>
      <x:c r="AQ170" s="40" t="n">
        <x:f>IF(Inputs!$C$27="ON",Inputs!$C$46/Inputs!$C$12,0)</x:f>
        <x:v>42.13483146067416</x:v>
      </x:c>
      <x:c r="AR170" s="40" t="n">
        <x:f>AC170-AQ170</x:f>
        <x:v>657.7360674085346</x:v>
      </x:c>
      <x:c r="AS170" s="40" t="n">
        <x:f>AC170+AQ170</x:f>
        <x:v>742.0057303298829</x:v>
      </x:c>
    </x:row>
    <x:row r="171">
      <x:c r="A171" s="40" t="n">
        <x:f>Inputs!$C$7+169*(Inputs!$C$8-Inputs!$C$7)/240</x:f>
        <x:v>24.5</x:v>
      </x:c>
      <x:c r="B171" s="40" t="n">
        <x:f>Inputs!$C$5+Inputs!$C$9*(A171/Inputs!$C$10)^2</x:f>
        <x:v>400.6669444444444</x:v>
      </x:c>
      <x:c r="C171" s="40" t="n">
        <x:f>B171</x:f>
        <x:v>400.6669444444444</x:v>
      </x:c>
      <x:c r="D171" s="40" t="n">
        <x:f>SQRT(A171^2+Inputs!$C$6^2+B171^2)</x:f>
        <x:v>402.19305112153233</x:v>
      </x:c>
      <x:c r="E171" s="40" t="n">
        <x:f>(D171-C171)*1000</x:f>
        <x:v>1526.1066770879097</x:v>
      </x:c>
      <x:c r="F171" s="40" t="n">
        <x:f>E171/Inputs!$C$12</x:f>
        <x:v>857.3633017347807</x:v>
      </x:c>
      <x:c r="G171" s="40" t="n">
        <x:f>2*E171/Inputs!$C$21*1000000</x:f>
        <x:v>10.18108785837374</x:v>
      </x:c>
      <x:c r="H171" s="40" t="n">
        <x:f>SQRT(A171^2+Inputs!$C$6^2)</x:f>
        <x:v>35.00357124637428</x:v>
      </x:c>
      <x:c r="I171" s="40" t="n">
        <x:f>DEGREES(ATAN(H171/B171))</x:f>
        <x:v>4.99286952278949</x:v>
      </x:c>
      <x:c r="J171" s="40" t="n">
        <x:f>DEGREES((2*PI()/Inputs!$C$13)*Inputs!$C$15*SIN(RADIANS(I171)))</x:f>
        <x:v>31.331435522208846</x:v>
      </x:c>
      <x:c r="K171" s="40" t="n">
        <x:f>(C171/D171)^4</x:f>
        <x:v>0.9849083171209121</x:v>
      </x:c>
      <x:c r="L171" s="40" t="n">
        <x:f>10*LOG10(K171)</x:f>
        <x:v>-0.06604195108144201</x:v>
      </x:c>
      <x:c r="M171" s="40" t="n">
        <x:f>2*(Inputs!$C$9/(Inputs!$C$10^2))*A171</x:f>
        <x:v>0.05444444444444444</x:v>
      </x:c>
      <x:c r="N171" s="40" t="n">
        <x:f>M171*Inputs!$C$11</x:f>
        <x:v>0.21777777777777776</x:v>
      </x:c>
      <x:c r="O171" s="40" t="n">
        <x:f>1000*((A171*Inputs!$C$11)+(B171*N171))/D171</x:f>
        <x:v>460.61550858108626</x:v>
      </x:c>
      <x:c r="P171" s="40" t="n">
        <x:f>-2*O171/Inputs!$C$13</x:f>
        <x:v>-184.2462034324345</x:v>
      </x:c>
      <x:c r="Q171" s="40" t="n">
        <x:f>-2*O171/Inputs!$C$14</x:f>
        <x:v>-27.664595109975153</x:v>
      </x:c>
      <x:c r="R171" s="40" t="n">
        <x:f>F171-Inputs!$C$16/2</x:f>
        <x:v>842.3633017347807</x:v>
      </x:c>
      <x:c r="S171" s="40" t="n">
        <x:f>F171+Inputs!$C$16/2</x:f>
        <x:v>872.3633017347807</x:v>
      </x:c>
      <x:c r="T171" s="40" t="n">
        <x:f>F171-Inputs!$C$17/2</x:f>
        <x:v>707.3633017347807</x:v>
      </x:c>
      <x:c r="U171" s="40" t="n">
        <x:f>F171+Inputs!$C$17/2</x:f>
        <x:v>1007.3633017347807</x:v>
      </x:c>
      <x:c r="V171" s="40" t="n">
        <x:f>ABS(P171)</x:f>
        <x:v>184.2462034324345</x:v>
      </x:c>
      <x:c r="W171" s="40" t="n">
        <x:f>ABS(Q171)</x:f>
        <x:v>27.664595109975153</x:v>
      </x:c>
      <x:c r="X171" s="40" t="n">
        <x:f>IF(Inputs!$C$27="ON",1,0)*(Inputs!$C$28*EXP(-(((A171)-Inputs!$C$29)^2)/(2*Inputs!$C$31^2))*EXP(-(((0)-Inputs!$C$30)^2)/(2*Inputs!$C$32^2))+-Inputs!$C$33*EXP(-(((((A171)-Inputs!$C$34)^2)+(((0)-Inputs!$C$35)^2))/(2*Inputs!$C$36^2)))+Inputs!$C$37*(0.55*SIN(2*PI()*(A171)/Inputs!$C$39)+0.35*COS(2*PI()*(0)/Inputs!$C$40)+0.2*SIN(2*PI()*((A171)+(0))/(0.5*(Inputs!$C$39+Inputs!$C$40))))+Inputs!$C$38*SIN(2*PI()*(A171)/Inputs!$C$39)*SIN(2*PI()*(0)/Inputs!$C$40)+-Inputs!$C$41*EXP(-(((0)-Inputs!$C$43)^2)/(2*Inputs!$C$44^2))*EXP(-(((A171)-Inputs!$C$42)^2)/(2*Inputs!$C$45^2)))</x:f>
        <x:v>34.09371820506924</x:v>
      </x:c>
      <x:c r="Y171" s="40" t="n">
        <x:f>IF(Inputs!$C$27="ON",1,0)*(Inputs!$C$28*EXP(-(((A171)-Inputs!$C$29)^2)/(2*Inputs!$C$31^2))*EXP(-(((Inputs!$C$6)-Inputs!$C$30)^2)/(2*Inputs!$C$32^2))+-Inputs!$C$33*EXP(-(((((A171)-Inputs!$C$34)^2)+(((Inputs!$C$6)-Inputs!$C$35)^2))/(2*Inputs!$C$36^2)))+Inputs!$C$37*(0.55*SIN(2*PI()*(A171)/Inputs!$C$39)+0.35*COS(2*PI()*(Inputs!$C$6)/Inputs!$C$40)+0.2*SIN(2*PI()*((A171)+(Inputs!$C$6))/(0.5*(Inputs!$C$39+Inputs!$C$40))))+Inputs!$C$38*SIN(2*PI()*(A171)/Inputs!$C$39)*SIN(2*PI()*(Inputs!$C$6)/Inputs!$C$40)+-Inputs!$C$41*EXP(-(((Inputs!$C$6)-Inputs!$C$43)^2)/(2*Inputs!$C$44^2))*EXP(-(((A171)-Inputs!$C$42)^2)/(2*Inputs!$C$45^2)))</x:f>
        <x:v>280.7214132186816</x:v>
      </x:c>
      <x:c r="Z171" s="40" t="n">
        <x:f>B171-X171/1000</x:f>
        <x:v>400.6328507262394</x:v>
      </x:c>
      <x:c r="AA171" s="40" t="n">
        <x:f>SQRT(A171^2+Inputs!$C$6^2+(B171-Y171/1000)^2)</x:f>
        <x:v>401.913395637929</x:v>
      </x:c>
      <x:c r="AB171" s="40" t="n">
        <x:f>(AA171-Z171)*1000</x:f>
        <x:v>1280.544911689617</x:v>
      </x:c>
      <x:c r="AC171" s="40" t="n">
        <x:f>AB171/Inputs!$C$12</x:f>
        <x:v>719.4072537582118</x:v>
      </x:c>
      <x:c r="AD171" s="40" t="n">
        <x:f>2*AB171/Inputs!$C$21*1000000</x:f>
        <x:v>8.542876096566893</x:v>
      </x:c>
      <x:c r="AE171" s="40" t="n">
        <x:f>DEGREES(ATAN(H171/(B171-Y171/1000)))</x:f>
        <x:v>4.996352442681423</x:v>
      </x:c>
      <x:c r="AF171" s="40" t="n">
        <x:f>DEGREES((2*PI()/Inputs!$C$13)*Inputs!$C$15*SIN(RADIANS(AE171)))</x:f>
        <x:v>31.35323625800927</x:v>
      </x:c>
      <x:c r="AG171" s="40" t="n">
        <x:f>(Z171/AA171)^4</x:f>
        <x:v>0.9873162929433363</x:v>
      </x:c>
      <x:c r="AH171" s="40" t="n">
        <x:f>10*LOG10(AG171)</x:f>
        <x:v>-0.055436960893771696</x:v>
      </x:c>
      <x:c r="AI171" s="40" t="n">
        <x:f>AC171-F171</x:f>
        <x:v>-137.95604797656893</x:v>
      </x:c>
      <x:c r="AJ171" s="40" t="n">
        <x:f>AD171-G171</x:f>
        <x:v>-1.638211761806847</x:v>
      </x:c>
      <x:c r="AK171" s="40" t="n">
        <x:f>Y171-X171</x:f>
        <x:v>246.62769501361237</x:v>
      </x:c>
      <x:c r="AL171" s="40" t="n">
        <x:f>1000*(AA172-AA170)/(A172-A170)*Inputs!$C$11</x:f>
        <x:v>550.0344823922205</x:v>
      </x:c>
      <x:c r="AM171" s="40" t="n">
        <x:f>-2*AL171/Inputs!$C$13</x:f>
        <x:v>-220.0137929568882</x:v>
      </x:c>
      <x:c r="AN171" s="40" t="n">
        <x:f>-2*AL171/Inputs!$C$14</x:f>
        <x:v>-33.035104047580816</x:v>
      </x:c>
      <x:c r="AO171" s="40" t="n">
        <x:f>ABS(AM171)</x:f>
        <x:v>220.0137929568882</x:v>
      </x:c>
      <x:c r="AP171" s="40" t="n">
        <x:f>ABS(AN171)</x:f>
        <x:v>33.035104047580816</x:v>
      </x:c>
      <x:c r="AQ171" s="40" t="n">
        <x:f>IF(Inputs!$C$27="ON",Inputs!$C$46/Inputs!$C$12,0)</x:f>
        <x:v>42.13483146067416</x:v>
      </x:c>
      <x:c r="AR171" s="40" t="n">
        <x:f>AC171-AQ171</x:f>
        <x:v>677.2724222975377</x:v>
      </x:c>
      <x:c r="AS171" s="40" t="n">
        <x:f>AC171+AQ171</x:f>
        <x:v>761.542085218886</x:v>
      </x:c>
    </x:row>
    <x:row r="172">
      <x:c r="A172" s="40" t="n">
        <x:f>Inputs!$C$7+170*(Inputs!$C$8-Inputs!$C$7)/240</x:f>
        <x:v>25</x:v>
      </x:c>
      <x:c r="B172" s="40" t="n">
        <x:f>Inputs!$C$5+Inputs!$C$9*(A172/Inputs!$C$10)^2</x:f>
        <x:v>400.69444444444446</x:v>
      </x:c>
      <x:c r="C172" s="40" t="n">
        <x:f>B172</x:f>
        <x:v>400.69444444444446</x:v>
      </x:c>
      <x:c r="D172" s="40" t="n">
        <x:f>SQRT(A172^2+Inputs!$C$6^2+B172^2)</x:f>
        <x:v>402.2512123146952</x:v>
      </x:c>
      <x:c r="E172" s="40" t="n">
        <x:f>(D172-C172)*1000</x:f>
        <x:v>1556.7678702507237</x:v>
      </x:c>
      <x:c r="F172" s="40" t="n">
        <x:f>E172/Inputs!$C$12</x:f>
        <x:v>874.588691152092</x:v>
      </x:c>
      <x:c r="G172" s="40" t="n">
        <x:f>2*E172/Inputs!$C$21*1000000</x:f>
        <x:v>10.385637321474738</x:v>
      </x:c>
      <x:c r="H172" s="40" t="n">
        <x:f>SQRT(A172^2+Inputs!$C$6^2)</x:f>
        <x:v>35.35533905932738</x:v>
      </x:c>
      <x:c r="I172" s="40" t="n">
        <x:f>DEGREES(ATAN(H172/B172))</x:f>
        <x:v>5.042443535344872</x:v>
      </x:c>
      <x:c r="J172" s="40" t="n">
        <x:f>DEGREES((2*PI()/Inputs!$C$13)*Inputs!$C$15*SIN(RADIANS(I172)))</x:f>
        <x:v>31.64172455346228</x:v>
      </x:c>
      <x:c r="K172" s="40" t="n">
        <x:f>(C172/D172)^4</x:f>
        <x:v>0.9846090825154142</x:v>
      </x:c>
      <x:c r="L172" s="40" t="n">
        <x:f>10*LOG10(K172)</x:f>
        <x:v>-0.06736162400219059</x:v>
      </x:c>
      <x:c r="M172" s="40" t="n">
        <x:f>2*(Inputs!$C$9/(Inputs!$C$10^2))*A172</x:f>
        <x:v>0.05555555555555555</x:v>
      </x:c>
      <x:c r="N172" s="40" t="n">
        <x:f>M172*Inputs!$C$11</x:f>
        <x:v>0.2222222222222222</x:v>
      </x:c>
      <x:c r="O172" s="40" t="n">
        <x:f>1000*((A172*Inputs!$C$11)+(B172*N172))/D172</x:f>
        <x:v>469.963058131564</x:v>
      </x:c>
      <x:c r="P172" s="40" t="n">
        <x:f>-2*O172/Inputs!$C$13</x:f>
        <x:v>-187.98522325262562</x:v>
      </x:c>
      <x:c r="Q172" s="40" t="n">
        <x:f>-2*O172/Inputs!$C$14</x:f>
        <x:v>-28.226009497391235</x:v>
      </x:c>
      <x:c r="R172" s="40" t="n">
        <x:f>F172-Inputs!$C$16/2</x:f>
        <x:v>859.588691152092</x:v>
      </x:c>
      <x:c r="S172" s="40" t="n">
        <x:f>F172+Inputs!$C$16/2</x:f>
        <x:v>889.588691152092</x:v>
      </x:c>
      <x:c r="T172" s="40" t="n">
        <x:f>F172-Inputs!$C$17/2</x:f>
        <x:v>724.588691152092</x:v>
      </x:c>
      <x:c r="U172" s="40" t="n">
        <x:f>F172+Inputs!$C$17/2</x:f>
        <x:v>1024.588691152092</x:v>
      </x:c>
      <x:c r="V172" s="40" t="n">
        <x:f>ABS(P172)</x:f>
        <x:v>187.98522325262562</x:v>
      </x:c>
      <x:c r="W172" s="40" t="n">
        <x:f>ABS(Q172)</x:f>
        <x:v>28.226009497391235</x:v>
      </x:c>
      <x:c r="X172" s="40" t="n">
        <x:f>IF(Inputs!$C$27="ON",1,0)*(Inputs!$C$28*EXP(-(((A172)-Inputs!$C$29)^2)/(2*Inputs!$C$31^2))*EXP(-(((0)-Inputs!$C$30)^2)/(2*Inputs!$C$32^2))+-Inputs!$C$33*EXP(-(((((A172)-Inputs!$C$34)^2)+(((0)-Inputs!$C$35)^2))/(2*Inputs!$C$36^2)))+Inputs!$C$37*(0.55*SIN(2*PI()*(A172)/Inputs!$C$39)+0.35*COS(2*PI()*(0)/Inputs!$C$40)+0.2*SIN(2*PI()*((A172)+(0))/(0.5*(Inputs!$C$39+Inputs!$C$40))))+Inputs!$C$38*SIN(2*PI()*(A172)/Inputs!$C$39)*SIN(2*PI()*(0)/Inputs!$C$40)+-Inputs!$C$41*EXP(-(((0)-Inputs!$C$43)^2)/(2*Inputs!$C$44^2))*EXP(-(((A172)-Inputs!$C$42)^2)/(2*Inputs!$C$45^2)))</x:f>
        <x:v>28.11797261662734</x:v>
      </x:c>
      <x:c r="Y172" s="40" t="n">
        <x:f>IF(Inputs!$C$27="ON",1,0)*(Inputs!$C$28*EXP(-(((A172)-Inputs!$C$29)^2)/(2*Inputs!$C$31^2))*EXP(-(((Inputs!$C$6)-Inputs!$C$30)^2)/(2*Inputs!$C$32^2))+-Inputs!$C$33*EXP(-(((((A172)-Inputs!$C$34)^2)+(((Inputs!$C$6)-Inputs!$C$35)^2))/(2*Inputs!$C$36^2)))+Inputs!$C$37*(0.55*SIN(2*PI()*(A172)/Inputs!$C$39)+0.35*COS(2*PI()*(Inputs!$C$6)/Inputs!$C$40)+0.2*SIN(2*PI()*((A172)+(Inputs!$C$6))/(0.5*(Inputs!$C$39+Inputs!$C$40))))+Inputs!$C$38*SIN(2*PI()*(A172)/Inputs!$C$39)*SIN(2*PI()*(Inputs!$C$6)/Inputs!$C$40)+-Inputs!$C$41*EXP(-(((Inputs!$C$6)-Inputs!$C$43)^2)/(2*Inputs!$C$44^2))*EXP(-(((A172)-Inputs!$C$42)^2)/(2*Inputs!$C$45^2)))</x:f>
        <x:v>268.63439462918575</x:v>
      </x:c>
      <x:c r="Z172" s="40" t="n">
        <x:f>B172-X172/1000</x:f>
        <x:v>400.6663264718278</x:v>
      </x:c>
      <x:c r="AA172" s="40" t="n">
        <x:f>SQRT(A172^2+Inputs!$C$6^2+(B172-Y172/1000)^2)</x:f>
        <x:v>401.983618265783</x:v>
      </x:c>
      <x:c r="AB172" s="40" t="n">
        <x:f>(AA172-Z172)*1000</x:f>
        <x:v>1317.291793955178</x:v>
      </x:c>
      <x:c r="AC172" s="40" t="n">
        <x:f>AB172/Inputs!$C$12</x:f>
        <x:v>740.0515696377405</x:v>
      </x:c>
      <x:c r="AD172" s="40" t="n">
        <x:f>2*AB172/Inputs!$C$21*1000000</x:f>
        <x:v>8.78802490725219</x:v>
      </x:c>
      <x:c r="AE172" s="40" t="n">
        <x:f>DEGREES(ATAN(H172/(B172-Y172/1000)))</x:f>
        <x:v>5.04580891092721</x:v>
      </x:c>
      <x:c r="AF172" s="40" t="n">
        <x:f>DEGREES((2*PI()/Inputs!$C$13)*Inputs!$C$15*SIN(RADIANS(AE172)))</x:f>
        <x:v>31.662787942125604</x:v>
      </x:c>
      <x:c r="AG172" s="40" t="n">
        <x:f>(Z172/AA172)^4</x:f>
        <x:v>0.9869563757054604</x:v>
      </x:c>
      <x:c r="AH172" s="40" t="n">
        <x:f>10*LOG10(AG172)</x:f>
        <x:v>-0.057020430842631496</x:v>
      </x:c>
      <x:c r="AI172" s="40" t="n">
        <x:f>AC172-F172</x:f>
        <x:v>-134.5371215143515</x:v>
      </x:c>
      <x:c r="AJ172" s="40" t="n">
        <x:f>AD172-G172</x:f>
        <x:v>-1.5976124142225476</x:v>
      </x:c>
      <x:c r="AK172" s="40" t="n">
        <x:f>Y172-X172</x:f>
        <x:v>240.5164220125584</x:v>
      </x:c>
      <x:c r="AL172" s="40" t="n">
        <x:f>1000*(AA173-AA171)/(A173-A171)*Inputs!$C$11</x:f>
        <x:v>572.5223330844074</x:v>
      </x:c>
      <x:c r="AM172" s="40" t="n">
        <x:f>-2*AL172/Inputs!$C$13</x:f>
        <x:v>-229.00893323376295</x:v>
      </x:c>
      <x:c r="AN172" s="40" t="n">
        <x:f>-2*AL172/Inputs!$C$14</x:f>
        <x:v>-34.38572571077522</x:v>
      </x:c>
      <x:c r="AO172" s="40" t="n">
        <x:f>ABS(AM172)</x:f>
        <x:v>229.00893323376295</x:v>
      </x:c>
      <x:c r="AP172" s="40" t="n">
        <x:f>ABS(AN172)</x:f>
        <x:v>34.38572571077522</x:v>
      </x:c>
      <x:c r="AQ172" s="40" t="n">
        <x:f>IF(Inputs!$C$27="ON",Inputs!$C$46/Inputs!$C$12,0)</x:f>
        <x:v>42.13483146067416</x:v>
      </x:c>
      <x:c r="AR172" s="40" t="n">
        <x:f>AC172-AQ172</x:f>
        <x:v>697.9167381770663</x:v>
      </x:c>
      <x:c r="AS172" s="40" t="n">
        <x:f>AC172+AQ172</x:f>
        <x:v>782.1864010984146</x:v>
      </x:c>
    </x:row>
    <x:row r="173">
      <x:c r="A173" s="40" t="n">
        <x:f>Inputs!$C$7+171*(Inputs!$C$8-Inputs!$C$7)/240</x:f>
        <x:v>25.5</x:v>
      </x:c>
      <x:c r="B173" s="40" t="n">
        <x:f>Inputs!$C$5+Inputs!$C$9*(A173/Inputs!$C$10)^2</x:f>
        <x:v>400.7225</x:v>
      </x:c>
      <x:c r="C173" s="40" t="n">
        <x:f>B173</x:f>
        <x:v>400.7225</x:v>
      </x:c>
      <x:c r="D173" s="40" t="n">
        <x:f>SQRT(A173^2+Inputs!$C$6^2+B173^2)</x:f>
        <x:v>402.31054175381735</x:v>
      </x:c>
      <x:c r="E173" s="40" t="n">
        <x:f>(D173-C173)*1000</x:f>
        <x:v>1588.041753817322</x:v>
      </x:c>
      <x:c r="F173" s="40" t="n">
        <x:f>E173/Inputs!$C$12</x:f>
        <x:v>892.1582886614168</x:v>
      </x:c>
      <x:c r="G173" s="40" t="n">
        <x:f>2*E173/Inputs!$C$21*1000000</x:f>
        <x:v>10.594274214979231</x:v>
      </x:c>
      <x:c r="H173" s="40" t="n">
        <x:f>SQRT(A173^2+Inputs!$C$6^2)</x:f>
        <x:v>35.71064267133819</x:v>
      </x:c>
      <x:c r="I173" s="40" t="n">
        <x:f>DEGREES(ATAN(H173/B173))</x:f>
        <x:v>5.092497724666333</x:v>
      </x:c>
      <x:c r="J173" s="40" t="n">
        <x:f>DEGREES((2*PI()/Inputs!$C$13)*Inputs!$C$15*SIN(RADIANS(I173)))</x:f>
        <x:v>31.95499502856307</x:v>
      </x:c>
      <x:c r="K173" s="40" t="n">
        <x:f>(C173/D173)^4</x:f>
        <x:v>0.9843040280049287</x:v>
      </x:c>
      <x:c r="L173" s="40" t="n">
        <x:f>10*LOG10(K173)</x:f>
        <x:v>-0.0687073765489717</x:v>
      </x:c>
      <x:c r="M173" s="40" t="n">
        <x:f>2*(Inputs!$C$9/(Inputs!$C$10^2))*A173</x:f>
        <x:v>0.056666666666666664</x:v>
      </x:c>
      <x:c r="N173" s="40" t="n">
        <x:f>M173*Inputs!$C$11</x:f>
        <x:v>0.22666666666666666</x:v>
      </x:c>
      <x:c r="O173" s="40" t="n">
        <x:f>1000*((A173*Inputs!$C$11)+(B173*N173))/D173</x:f>
        <x:v>479.3074337369228</x:v>
      </x:c>
      <x:c r="P173" s="40" t="n">
        <x:f>-2*O173/Inputs!$C$13</x:f>
        <x:v>-191.72297349476912</x:v>
      </x:c>
      <x:c r="Q173" s="40" t="n">
        <x:f>-2*O173/Inputs!$C$14</x:f>
        <x:v>-28.787233257472842</x:v>
      </x:c>
      <x:c r="R173" s="40" t="n">
        <x:f>F173-Inputs!$C$16/2</x:f>
        <x:v>877.1582886614168</x:v>
      </x:c>
      <x:c r="S173" s="40" t="n">
        <x:f>F173+Inputs!$C$16/2</x:f>
        <x:v>907.1582886614168</x:v>
      </x:c>
      <x:c r="T173" s="40" t="n">
        <x:f>F173-Inputs!$C$17/2</x:f>
        <x:v>742.1582886614168</x:v>
      </x:c>
      <x:c r="U173" s="40" t="n">
        <x:f>F173+Inputs!$C$17/2</x:f>
        <x:v>1042.158288661417</x:v>
      </x:c>
      <x:c r="V173" s="40" t="n">
        <x:f>ABS(P173)</x:f>
        <x:v>191.72297349476912</x:v>
      </x:c>
      <x:c r="W173" s="40" t="n">
        <x:f>ABS(Q173)</x:f>
        <x:v>28.787233257472842</x:v>
      </x:c>
      <x:c r="X173" s="40" t="n">
        <x:f>IF(Inputs!$C$27="ON",1,0)*(Inputs!$C$28*EXP(-(((A173)-Inputs!$C$29)^2)/(2*Inputs!$C$31^2))*EXP(-(((0)-Inputs!$C$30)^2)/(2*Inputs!$C$32^2))+-Inputs!$C$33*EXP(-(((((A173)-Inputs!$C$34)^2)+(((0)-Inputs!$C$35)^2))/(2*Inputs!$C$36^2)))+Inputs!$C$37*(0.55*SIN(2*PI()*(A173)/Inputs!$C$39)+0.35*COS(2*PI()*(0)/Inputs!$C$40)+0.2*SIN(2*PI()*((A173)+(0))/(0.5*(Inputs!$C$39+Inputs!$C$40))))+Inputs!$C$38*SIN(2*PI()*(A173)/Inputs!$C$39)*SIN(2*PI()*(0)/Inputs!$C$40)+-Inputs!$C$41*EXP(-(((0)-Inputs!$C$43)^2)/(2*Inputs!$C$44^2))*EXP(-(((A173)-Inputs!$C$42)^2)/(2*Inputs!$C$45^2)))</x:f>
        <x:v>21.937009624311344</x:v>
      </x:c>
      <x:c r="Y173" s="40" t="n">
        <x:f>IF(Inputs!$C$27="ON",1,0)*(Inputs!$C$28*EXP(-(((A173)-Inputs!$C$29)^2)/(2*Inputs!$C$31^2))*EXP(-(((Inputs!$C$6)-Inputs!$C$30)^2)/(2*Inputs!$C$32^2))+-Inputs!$C$33*EXP(-(((((A173)-Inputs!$C$34)^2)+(((Inputs!$C$6)-Inputs!$C$35)^2))/(2*Inputs!$C$36^2)))+Inputs!$C$37*(0.55*SIN(2*PI()*(A173)/Inputs!$C$39)+0.35*COS(2*PI()*(Inputs!$C$6)/Inputs!$C$40)+0.2*SIN(2*PI()*((A173)+(Inputs!$C$6))/(0.5*(Inputs!$C$39+Inputs!$C$40))))+Inputs!$C$38*SIN(2*PI()*(A173)/Inputs!$C$39)*SIN(2*PI()*(Inputs!$C$6)/Inputs!$C$40)+-Inputs!$C$41*EXP(-(((Inputs!$C$6)-Inputs!$C$43)^2)/(2*Inputs!$C$44^2))*EXP(-(((A173)-Inputs!$C$42)^2)/(2*Inputs!$C$45^2)))</x:f>
        <x:v>255.02282231641001</x:v>
      </x:c>
      <x:c r="Z173" s="40" t="n">
        <x:f>B173-X173/1000</x:f>
        <x:v>400.7005629903757</x:v>
      </x:c>
      <x:c r="AA173" s="40" t="n">
        <x:f>SQRT(A173^2+Inputs!$C$6^2+(B173-Y173/1000)^2)</x:f>
        <x:v>402.0565262212001</x:v>
      </x:c>
      <x:c r="AB173" s="40" t="n">
        <x:f>(AA173-Z173)*1000</x:f>
        <x:v>1355.9632308243863</x:v>
      </x:c>
      <x:c r="AC173" s="40" t="n">
        <x:f>AB173/Inputs!$C$12</x:f>
        <x:v>761.7770959687564</x:v>
      </x:c>
      <x:c r="AD173" s="40" t="n">
        <x:f>2*AB173/Inputs!$C$21*1000000</x:f>
        <x:v>9.046012964237988</x:v>
      </x:c>
      <x:c r="AE173" s="40" t="n">
        <x:f>DEGREES(ATAN(H173/(B173-Y173/1000)))</x:f>
        <x:v>5.095723624052675</x:v>
      </x:c>
      <x:c r="AF173" s="40" t="n">
        <x:f>DEGREES((2*PI()/Inputs!$C$13)*Inputs!$C$15*SIN(RADIANS(AE173)))</x:f>
        <x:v>31.975183893940414</x:v>
      </x:c>
      <x:c r="AG173" s="40" t="n">
        <x:f>(Z173/AA173)^4</x:f>
        <x:v>0.9865778174534332</x:v>
      </x:c>
      <x:c r="AH173" s="40" t="n">
        <x:f>10*LOG10(AG173)</x:f>
        <x:v>-0.0586865358690416</x:v>
      </x:c>
      <x:c r="AI173" s="40" t="n">
        <x:f>AC173-F173</x:f>
        <x:v>-130.38119269266042</x:v>
      </x:c>
      <x:c r="AJ173" s="40" t="n">
        <x:f>AD173-G173</x:f>
        <x:v>-1.548261250741243</x:v>
      </x:c>
      <x:c r="AK173" s="40" t="n">
        <x:f>Y173-X173</x:f>
        <x:v>233.08581269209867</x:v>
      </x:c>
      <x:c r="AL173" s="40" t="n">
        <x:f>1000*(AA174-AA172)/(A174-A172)*Inputs!$C$11</x:f>
        <x:v>592.7887393540914</x:v>
      </x:c>
      <x:c r="AM173" s="40" t="n">
        <x:f>-2*AL173/Inputs!$C$13</x:f>
        <x:v>-237.11549574163655</x:v>
      </x:c>
      <x:c r="AN173" s="40" t="n">
        <x:f>-2*AL173/Inputs!$C$14</x:f>
        <x:v>-35.60292728853402</x:v>
      </x:c>
      <x:c r="AO173" s="40" t="n">
        <x:f>ABS(AM173)</x:f>
        <x:v>237.11549574163655</x:v>
      </x:c>
      <x:c r="AP173" s="40" t="n">
        <x:f>ABS(AN173)</x:f>
        <x:v>35.60292728853402</x:v>
      </x:c>
      <x:c r="AQ173" s="40" t="n">
        <x:f>IF(Inputs!$C$27="ON",Inputs!$C$46/Inputs!$C$12,0)</x:f>
        <x:v>42.13483146067416</x:v>
      </x:c>
      <x:c r="AR173" s="40" t="n">
        <x:f>AC173-AQ173</x:f>
        <x:v>719.6422645080822</x:v>
      </x:c>
      <x:c r="AS173" s="40" t="n">
        <x:f>AC173+AQ173</x:f>
        <x:v>803.9119274294305</x:v>
      </x:c>
    </x:row>
    <x:row r="174">
      <x:c r="A174" s="40" t="n">
        <x:f>Inputs!$C$7+172*(Inputs!$C$8-Inputs!$C$7)/240</x:f>
        <x:v>26</x:v>
      </x:c>
      <x:c r="B174" s="40" t="n">
        <x:f>Inputs!$C$5+Inputs!$C$9*(A174/Inputs!$C$10)^2</x:f>
        <x:v>400.75111111111113</x:v>
      </x:c>
      <x:c r="C174" s="40" t="n">
        <x:f>B174</x:f>
        <x:v>400.75111111111113</x:v>
      </x:c>
      <x:c r="D174" s="40" t="n">
        <x:f>SQRT(A174^2+Inputs!$C$6^2+B174^2)</x:f>
        <x:v>402.37103903833605</x:v>
      </x:c>
      <x:c r="E174" s="40" t="n">
        <x:f>(D174-C174)*1000</x:f>
        <x:v>1619.9279272249214</x:v>
      </x:c>
      <x:c r="F174" s="40" t="n">
        <x:f>E174/Inputs!$C$12</x:f>
        <x:v>910.071869227484</x:v>
      </x:c>
      <x:c r="G174" s="40" t="n">
        <x:f>2*E174/Inputs!$C$21*1000000</x:f>
        <x:v>10.806995866619976</x:v>
      </x:c>
      <x:c r="H174" s="40" t="n">
        <x:f>SQRT(A174^2+Inputs!$C$6^2)</x:f>
        <x:v>36.069377593742864</x:v>
      </x:c>
      <x:c r="I174" s="40" t="n">
        <x:f>DEGREES(ATAN(H174/B174))</x:f>
        <x:v>5.143016660077165</x:v>
      </x:c>
      <x:c r="J174" s="40" t="n">
        <x:f>DEGREES((2*PI()/Inputs!$C$13)*Inputs!$C$15*SIN(RADIANS(I174)))</x:f>
        <x:v>32.27114944649454</x:v>
      </x:c>
      <x:c r="K174" s="40" t="n">
        <x:f>(C174/D174)^4</x:f>
        <x:v>0.9839931668625745</x:v>
      </x:c>
      <x:c r="L174" s="40" t="n">
        <x:f>10*LOG10(K174)</x:f>
        <x:v>-0.0700791742656688</x:v>
      </x:c>
      <x:c r="M174" s="40" t="n">
        <x:f>2*(Inputs!$C$9/(Inputs!$C$10^2))*A174</x:f>
        <x:v>0.057777777777777775</x:v>
      </x:c>
      <x:c r="N174" s="40" t="n">
        <x:f>M174*Inputs!$C$11</x:f>
        <x:v>0.2311111111111111</x:v>
      </x:c>
      <x:c r="O174" s="40" t="n">
        <x:f>1000*((A174*Inputs!$C$11)+(B174*N174))/D174</x:f>
        <x:v>488.6485743054892</x:v>
      </x:c>
      <x:c r="P174" s="40" t="n">
        <x:f>-2*O174/Inputs!$C$13</x:f>
        <x:v>-195.4594297221957</x:v>
      </x:c>
      <x:c r="Q174" s="40" t="n">
        <x:f>-2*O174/Inputs!$C$14</x:f>
        <x:v>-29.348262721050407</x:v>
      </x:c>
      <x:c r="R174" s="40" t="n">
        <x:f>F174-Inputs!$C$16/2</x:f>
        <x:v>895.071869227484</x:v>
      </x:c>
      <x:c r="S174" s="40" t="n">
        <x:f>F174+Inputs!$C$16/2</x:f>
        <x:v>925.071869227484</x:v>
      </x:c>
      <x:c r="T174" s="40" t="n">
        <x:f>F174-Inputs!$C$17/2</x:f>
        <x:v>760.071869227484</x:v>
      </x:c>
      <x:c r="U174" s="40" t="n">
        <x:f>F174+Inputs!$C$17/2</x:f>
        <x:v>1060.071869227484</x:v>
      </x:c>
      <x:c r="V174" s="40" t="n">
        <x:f>ABS(P174)</x:f>
        <x:v>195.4594297221957</x:v>
      </x:c>
      <x:c r="W174" s="40" t="n">
        <x:f>ABS(Q174)</x:f>
        <x:v>29.348262721050407</x:v>
      </x:c>
      <x:c r="X174" s="40" t="n">
        <x:f>IF(Inputs!$C$27="ON",1,0)*(Inputs!$C$28*EXP(-(((A174)-Inputs!$C$29)^2)/(2*Inputs!$C$31^2))*EXP(-(((0)-Inputs!$C$30)^2)/(2*Inputs!$C$32^2))+-Inputs!$C$33*EXP(-(((((A174)-Inputs!$C$34)^2)+(((0)-Inputs!$C$35)^2))/(2*Inputs!$C$36^2)))+Inputs!$C$37*(0.55*SIN(2*PI()*(A174)/Inputs!$C$39)+0.35*COS(2*PI()*(0)/Inputs!$C$40)+0.2*SIN(2*PI()*((A174)+(0))/(0.5*(Inputs!$C$39+Inputs!$C$40))))+Inputs!$C$38*SIN(2*PI()*(A174)/Inputs!$C$39)*SIN(2*PI()*(0)/Inputs!$C$40)+-Inputs!$C$41*EXP(-(((0)-Inputs!$C$43)^2)/(2*Inputs!$C$44^2))*EXP(-(((A174)-Inputs!$C$42)^2)/(2*Inputs!$C$45^2)))</x:f>
        <x:v>15.75423035672615</x:v>
      </x:c>
      <x:c r="Y174" s="40" t="n">
        <x:f>IF(Inputs!$C$27="ON",1,0)*(Inputs!$C$28*EXP(-(((A174)-Inputs!$C$29)^2)/(2*Inputs!$C$31^2))*EXP(-(((Inputs!$C$6)-Inputs!$C$30)^2)/(2*Inputs!$C$32^2))+-Inputs!$C$33*EXP(-(((((A174)-Inputs!$C$34)^2)+(((Inputs!$C$6)-Inputs!$C$35)^2))/(2*Inputs!$C$36^2)))+Inputs!$C$37*(0.55*SIN(2*PI()*(A174)/Inputs!$C$39)+0.35*COS(2*PI()*(Inputs!$C$6)/Inputs!$C$40)+0.2*SIN(2*PI()*((A174)+(Inputs!$C$6))/(0.5*(Inputs!$C$39+Inputs!$C$40))))+Inputs!$C$38*SIN(2*PI()*(A174)/Inputs!$C$39)*SIN(2*PI()*(Inputs!$C$6)/Inputs!$C$40)+-Inputs!$C$41*EXP(-(((Inputs!$C$6)-Inputs!$C$43)^2)/(2*Inputs!$C$44^2))*EXP(-(((A174)-Inputs!$C$42)^2)/(2*Inputs!$C$45^2)))</x:f>
        <x:v>240.19116308686702</x:v>
      </x:c>
      <x:c r="Z174" s="40" t="n">
        <x:f>B174-X174/1000</x:f>
        <x:v>400.7353568807544</x:v>
      </x:c>
      <x:c r="AA174" s="40" t="n">
        <x:f>SQRT(A174^2+Inputs!$C$6^2+(B174-Y174/1000)^2)</x:f>
        <x:v>402.1318154506215</x:v>
      </x:c>
      <x:c r="AB174" s="40" t="n">
        <x:f>(AA174-Z174)*1000</x:f>
        <x:v>1396.458569867093</x:v>
      </x:c>
      <x:c r="AC174" s="40" t="n">
        <x:f>AB174/Inputs!$C$12</x:f>
        <x:v>784.5272864421871</x:v>
      </x:c>
      <x:c r="AD174" s="40" t="n">
        <x:f>2*AB174/Inputs!$C$21*1000000</x:f>
        <x:v>9.316168786788445</x:v>
      </x:c>
      <x:c r="AE174" s="40" t="n">
        <x:f>DEGREES(ATAN(H174/(B174-Y174/1000)))</x:f>
        <x:v>5.146084432626555</x:v>
      </x:c>
      <x:c r="AF174" s="40" t="n">
        <x:f>DEGREES((2*PI()/Inputs!$C$13)*Inputs!$C$15*SIN(RADIANS(AE174)))</x:f>
        <x:v>32.29034718179835</x:v>
      </x:c>
      <x:c r="AG174" s="40" t="n">
        <x:f>(Z174/AA174)^4</x:f>
        <x:v>0.9861816325132625</x:v>
      </x:c>
      <x:c r="AH174" s="40" t="n">
        <x:f>10*LOG10(AG174)</x:f>
        <x:v>-0.0604309039991284</x:v>
      </x:c>
      <x:c r="AI174" s="40" t="n">
        <x:f>AC174-F174</x:f>
        <x:v>-125.54458278529683</x:v>
      </x:c>
      <x:c r="AJ174" s="40" t="n">
        <x:f>AD174-G174</x:f>
        <x:v>-1.490827079831531</x:v>
      </x:c>
      <x:c r="AK174" s="40" t="n">
        <x:f>Y174-X174</x:f>
        <x:v>224.43693273014088</x:v>
      </x:c>
      <x:c r="AL174" s="40" t="n">
        <x:f>1000*(AA175-AA173)/(A175-A173)*Inputs!$C$11</x:f>
        <x:v>610.4519678015095</x:v>
      </x:c>
      <x:c r="AM174" s="40" t="n">
        <x:f>-2*AL174/Inputs!$C$13</x:f>
        <x:v>-244.18078712060378</x:v>
      </x:c>
      <x:c r="AN174" s="40" t="n">
        <x:f>-2*AL174/Inputs!$C$14</x:f>
        <x:v>-36.66378184994051</x:v>
      </x:c>
      <x:c r="AO174" s="40" t="n">
        <x:f>ABS(AM174)</x:f>
        <x:v>244.18078712060378</x:v>
      </x:c>
      <x:c r="AP174" s="40" t="n">
        <x:f>ABS(AN174)</x:f>
        <x:v>36.66378184994051</x:v>
      </x:c>
      <x:c r="AQ174" s="40" t="n">
        <x:f>IF(Inputs!$C$27="ON",Inputs!$C$46/Inputs!$C$12,0)</x:f>
        <x:v>42.13483146067416</x:v>
      </x:c>
      <x:c r="AR174" s="40" t="n">
        <x:f>AC174-AQ174</x:f>
        <x:v>742.392454981513</x:v>
      </x:c>
      <x:c r="AS174" s="40" t="n">
        <x:f>AC174+AQ174</x:f>
        <x:v>826.6621179028613</x:v>
      </x:c>
    </x:row>
    <x:row r="175">
      <x:c r="A175" s="40" t="n">
        <x:f>Inputs!$C$7+173*(Inputs!$C$8-Inputs!$C$7)/240</x:f>
        <x:v>26.5</x:v>
      </x:c>
      <x:c r="B175" s="40" t="n">
        <x:f>Inputs!$C$5+Inputs!$C$9*(A175/Inputs!$C$10)^2</x:f>
        <x:v>400.78027777777777</x:v>
      </x:c>
      <x:c r="C175" s="40" t="n">
        <x:f>B175</x:f>
        <x:v>400.78027777777777</x:v>
      </x:c>
      <x:c r="D175" s="40" t="n">
        <x:f>SQRT(A175^2+Inputs!$C$6^2+B175^2)</x:f>
        <x:v>402.43270376006063</x:v>
      </x:c>
      <x:c r="E175" s="40" t="n">
        <x:f>(D175-C175)*1000</x:f>
        <x:v>1652.425982282864</x:v>
      </x:c>
      <x:c r="F175" s="40" t="n">
        <x:f>E175/Inputs!$C$12</x:f>
        <x:v>928.3292035296988</x:v>
      </x:c>
      <x:c r="G175" s="40" t="n">
        <x:f>2*E175/Inputs!$C$21*1000000</x:f>
        <x:v>11.023799553242023</x:v>
      </x:c>
      <x:c r="H175" s="40" t="n">
        <x:f>SQRT(A175^2+Inputs!$C$6^2)</x:f>
        <x:v>36.43144246389374</x:v>
      </x:c>
      <x:c r="I175" s="40" t="n">
        <x:f>DEGREES(ATAN(H175/B175))</x:f>
        <x:v>5.1939853576754125</x:v>
      </x:c>
      <x:c r="J175" s="40" t="n">
        <x:f>DEGREES((2*PI()/Inputs!$C$13)*Inputs!$C$15*SIN(RADIANS(I175)))</x:f>
        <x:v>32.59009311236641</x:v>
      </x:c>
      <x:c r="K175" s="40" t="n">
        <x:f>(C175/D175)^4</x:f>
        <x:v>0.9836765126007667</x:v>
      </x:c>
      <x:c r="L175" s="40" t="n">
        <x:f>10*LOG10(K175)</x:f>
        <x:v>-0.0714769820501437</x:v>
      </x:c>
      <x:c r="M175" s="40" t="n">
        <x:f>2*(Inputs!$C$9/(Inputs!$C$10^2))*A175</x:f>
        <x:v>0.058888888888888886</x:v>
      </x:c>
      <x:c r="N175" s="40" t="n">
        <x:f>M175*Inputs!$C$11</x:f>
        <x:v>0.23555555555555555</x:v>
      </x:c>
      <x:c r="O175" s="40" t="n">
        <x:f>1000*((A175*Inputs!$C$11)+(B175*N175))/D175</x:f>
        <x:v>497.9864188849345</x:v>
      </x:c>
      <x:c r="P175" s="40" t="n">
        <x:f>-2*O175/Inputs!$C$13</x:f>
        <x:v>-199.1945675539738</x:v>
      </x:c>
      <x:c r="Q175" s="40" t="n">
        <x:f>-2*O175/Inputs!$C$14</x:f>
        <x:v>-29.909094227323397</x:v>
      </x:c>
      <x:c r="R175" s="40" t="n">
        <x:f>F175-Inputs!$C$16/2</x:f>
        <x:v>913.3292035296988</x:v>
      </x:c>
      <x:c r="S175" s="40" t="n">
        <x:f>F175+Inputs!$C$16/2</x:f>
        <x:v>943.3292035296988</x:v>
      </x:c>
      <x:c r="T175" s="40" t="n">
        <x:f>F175-Inputs!$C$17/2</x:f>
        <x:v>778.3292035296988</x:v>
      </x:c>
      <x:c r="U175" s="40" t="n">
        <x:f>F175+Inputs!$C$17/2</x:f>
        <x:v>1078.3292035296988</x:v>
      </x:c>
      <x:c r="V175" s="40" t="n">
        <x:f>ABS(P175)</x:f>
        <x:v>199.1945675539738</x:v>
      </x:c>
      <x:c r="W175" s="40" t="n">
        <x:f>ABS(Q175)</x:f>
        <x:v>29.909094227323397</x:v>
      </x:c>
      <x:c r="X175" s="40" t="n">
        <x:f>IF(Inputs!$C$27="ON",1,0)*(Inputs!$C$28*EXP(-(((A175)-Inputs!$C$29)^2)/(2*Inputs!$C$31^2))*EXP(-(((0)-Inputs!$C$30)^2)/(2*Inputs!$C$32^2))+-Inputs!$C$33*EXP(-(((((A175)-Inputs!$C$34)^2)+(((0)-Inputs!$C$35)^2))/(2*Inputs!$C$36^2)))+Inputs!$C$37*(0.55*SIN(2*PI()*(A175)/Inputs!$C$39)+0.35*COS(2*PI()*(0)/Inputs!$C$40)+0.2*SIN(2*PI()*((A175)+(0))/(0.5*(Inputs!$C$39+Inputs!$C$40))))+Inputs!$C$38*SIN(2*PI()*(A175)/Inputs!$C$39)*SIN(2*PI()*(0)/Inputs!$C$40)+-Inputs!$C$41*EXP(-(((0)-Inputs!$C$43)^2)/(2*Inputs!$C$44^2))*EXP(-(((A175)-Inputs!$C$42)^2)/(2*Inputs!$C$45^2)))</x:f>
        <x:v>9.765921491898617</x:v>
      </x:c>
      <x:c r="Y175" s="40" t="n">
        <x:f>IF(Inputs!$C$27="ON",1,0)*(Inputs!$C$28*EXP(-(((A175)-Inputs!$C$29)^2)/(2*Inputs!$C$31^2))*EXP(-(((Inputs!$C$6)-Inputs!$C$30)^2)/(2*Inputs!$C$32^2))+-Inputs!$C$33*EXP(-(((((A175)-Inputs!$C$34)^2)+(((Inputs!$C$6)-Inputs!$C$35)^2))/(2*Inputs!$C$36^2)))+Inputs!$C$37*(0.55*SIN(2*PI()*(A175)/Inputs!$C$39)+0.35*COS(2*PI()*(Inputs!$C$6)/Inputs!$C$40)+0.2*SIN(2*PI()*((A175)+(Inputs!$C$6))/(0.5*(Inputs!$C$39+Inputs!$C$40))))+Inputs!$C$38*SIN(2*PI()*(A175)/Inputs!$C$39)*SIN(2*PI()*(Inputs!$C$6)/Inputs!$C$40)+-Inputs!$C$41*EXP(-(((Inputs!$C$6)-Inputs!$C$43)^2)/(2*Inputs!$C$44^2))*EXP(-(((A175)-Inputs!$C$42)^2)/(2*Inputs!$C$45^2)))</x:f>
        <x:v>224.48682402880684</x:v>
      </x:c>
      <x:c r="Z175" s="40" t="n">
        <x:f>B175-X175/1000</x:f>
        <x:v>400.77051185628585</x:v>
      </x:c>
      <x:c r="AA175" s="40" t="n">
        <x:f>SQRT(A175^2+Inputs!$C$6^2+(B175-Y175/1000)^2)</x:f>
        <x:v>402.2091392131505</x:v>
      </x:c>
      <x:c r="AB175" s="40" t="n">
        <x:f>(AA175-Z175)*1000</x:f>
        <x:v>1438.6273568646288</x:v>
      </x:c>
      <x:c r="AC175" s="40" t="n">
        <x:f>AB175/Inputs!$C$12</x:f>
        <x:v>808.2176162160836</x:v>
      </x:c>
      <x:c r="AD175" s="40" t="n">
        <x:f>2*AB175/Inputs!$C$21*1000000</x:f>
        <x:v>9.597488652397178</x:v>
      </x:c>
      <x:c r="AE175" s="40" t="n">
        <x:f>DEGREES(ATAN(H175/(B175-Y175/1000)))</x:f>
        <x:v>5.1968803315856436</x:v>
      </x:c>
      <x:c r="AF175" s="40" t="n">
        <x:f>DEGREES((2*PI()/Inputs!$C$13)*Inputs!$C$15*SIN(RADIANS(AE175)))</x:f>
        <x:v>32.60820803987573</x:v>
      </x:c>
      <x:c r="AG175" s="40" t="n">
        <x:f>(Z175/AA175)^4</x:f>
        <x:v>0.9857693219571262</x:v>
      </x:c>
      <x:c r="AH175" s="40" t="n">
        <x:f>10*LOG10(AG175)</x:f>
        <x:v>-0.062247016124675494</x:v>
      </x:c>
      <x:c r="AI175" s="40" t="n">
        <x:f>AC175-F175</x:f>
        <x:v>-120.11158731361525</x:v>
      </x:c>
      <x:c r="AJ175" s="40" t="n">
        <x:f>AD175-G175</x:f>
        <x:v>-1.426310900844845</x:v>
      </x:c>
      <x:c r="AK175" s="40" t="n">
        <x:f>Y175-X175</x:f>
        <x:v>214.72090253690823</x:v>
      </x:c>
      <x:c r="AL175" s="40" t="n">
        <x:f>1000*(AA176-AA174)/(A176-A174)*Inputs!$C$11</x:f>
        <x:v>625.216925642917</x:v>
      </x:c>
      <x:c r="AM175" s="40" t="n">
        <x:f>-2*AL175/Inputs!$C$13</x:f>
        <x:v>-250.0867702571668</x:v>
      </x:c>
      <x:c r="AN175" s="40" t="n">
        <x:f>-2*AL175/Inputs!$C$14</x:f>
        <x:v>-37.5505661046797</x:v>
      </x:c>
      <x:c r="AO175" s="40" t="n">
        <x:f>ABS(AM175)</x:f>
        <x:v>250.0867702571668</x:v>
      </x:c>
      <x:c r="AP175" s="40" t="n">
        <x:f>ABS(AN175)</x:f>
        <x:v>37.5505661046797</x:v>
      </x:c>
      <x:c r="AQ175" s="40" t="n">
        <x:f>IF(Inputs!$C$27="ON",Inputs!$C$46/Inputs!$C$12,0)</x:f>
        <x:v>42.13483146067416</x:v>
      </x:c>
      <x:c r="AR175" s="40" t="n">
        <x:f>AC175-AQ175</x:f>
        <x:v>766.0827847554094</x:v>
      </x:c>
      <x:c r="AS175" s="40" t="n">
        <x:f>AC175+AQ175</x:f>
        <x:v>850.3524476767577</x:v>
      </x:c>
    </x:row>
    <x:row r="176">
      <x:c r="A176" s="40" t="n">
        <x:f>Inputs!$C$7+174*(Inputs!$C$8-Inputs!$C$7)/240</x:f>
        <x:v>27</x:v>
      </x:c>
      <x:c r="B176" s="40" t="n">
        <x:f>Inputs!$C$5+Inputs!$C$9*(A176/Inputs!$C$10)^2</x:f>
        <x:v>400.81</x:v>
      </x:c>
      <x:c r="C176" s="40" t="n">
        <x:f>B176</x:f>
        <x:v>400.81</x:v>
      </x:c>
      <x:c r="D176" s="40" t="n">
        <x:f>SQRT(A176^2+Inputs!$C$6^2+B176^2)</x:f>
        <x:v>402.4955355031904</x:v>
      </x:c>
      <x:c r="E176" s="40" t="n">
        <x:f>(D176-C176)*1000</x:f>
        <x:v>1685.5355031904082</x:v>
      </x:c>
      <x:c r="F176" s="40" t="n">
        <x:f>E176/Inputs!$C$12</x:f>
        <x:v>946.9300579721395</x:v>
      </x:c>
      <x:c r="G176" s="40" t="n">
        <x:f>2*E176/Inputs!$C$21*1000000</x:f>
        <x:v>11.244682500921408</x:v>
      </x:c>
      <x:c r="H176" s="40" t="n">
        <x:f>SQRT(A176^2+Inputs!$C$6^2)</x:f>
        <x:v>36.796738985948195</x:v>
      </x:c>
      <x:c r="I176" s="40" t="n">
        <x:f>DEGREES(ATAN(H176/B176))</x:f>
        <x:v>5.2453892719816</x:v>
      </x:c>
      <x:c r="J176" s="40" t="n">
        <x:f>DEGREES((2*PI()/Inputs!$C$13)*Inputs!$C$15*SIN(RADIANS(I176)))</x:f>
        <x:v>32.911734085150734</x:v>
      </x:c>
      <x:c r="K176" s="40" t="n">
        <x:f>(C176/D176)^4</x:f>
        <x:v>0.9833540789698759</x:v>
      </x:c>
      <x:c r="L176" s="40" t="n">
        <x:f>10*LOG10(K176)</x:f>
        <x:v>-0.0729007641563313</x:v>
      </x:c>
      <x:c r="M176" s="40" t="n">
        <x:f>2*(Inputs!$C$9/(Inputs!$C$10^2))*A176</x:f>
        <x:v>0.06</x:v>
      </x:c>
      <x:c r="N176" s="40" t="n">
        <x:f>M176*Inputs!$C$11</x:f>
        <x:v>0.24</x:v>
      </x:c>
      <x:c r="O176" s="40" t="n">
        <x:f>1000*((A176*Inputs!$C$11)+(B176*N176))/D176</x:f>
        <x:v>507.3209066647683</x:v>
      </x:c>
      <x:c r="P176" s="40" t="n">
        <x:f>-2*O176/Inputs!$C$13</x:f>
        <x:v>-202.92836266590731</x:v>
      </x:c>
      <x:c r="Q176" s="40" t="n">
        <x:f>-2*O176/Inputs!$C$14</x:f>
        <x:v>-30.46972412401011</x:v>
      </x:c>
      <x:c r="R176" s="40" t="n">
        <x:f>F176-Inputs!$C$16/2</x:f>
        <x:v>931.9300579721395</x:v>
      </x:c>
      <x:c r="S176" s="40" t="n">
        <x:f>F176+Inputs!$C$16/2</x:f>
        <x:v>961.9300579721395</x:v>
      </x:c>
      <x:c r="T176" s="40" t="n">
        <x:f>F176-Inputs!$C$17/2</x:f>
        <x:v>796.9300579721395</x:v>
      </x:c>
      <x:c r="U176" s="40" t="n">
        <x:f>F176+Inputs!$C$17/2</x:f>
        <x:v>1096.9300579721394</x:v>
      </x:c>
      <x:c r="V176" s="40" t="n">
        <x:f>ABS(P176)</x:f>
        <x:v>202.92836266590731</x:v>
      </x:c>
      <x:c r="W176" s="40" t="n">
        <x:f>ABS(Q176)</x:f>
        <x:v>30.46972412401011</x:v>
      </x:c>
      <x:c r="X176" s="40" t="n">
        <x:f>IF(Inputs!$C$27="ON",1,0)*(Inputs!$C$28*EXP(-(((A176)-Inputs!$C$29)^2)/(2*Inputs!$C$31^2))*EXP(-(((0)-Inputs!$C$30)^2)/(2*Inputs!$C$32^2))+-Inputs!$C$33*EXP(-(((((A176)-Inputs!$C$34)^2)+(((0)-Inputs!$C$35)^2))/(2*Inputs!$C$36^2)))+Inputs!$C$37*(0.55*SIN(2*PI()*(A176)/Inputs!$C$39)+0.35*COS(2*PI()*(0)/Inputs!$C$40)+0.2*SIN(2*PI()*((A176)+(0))/(0.5*(Inputs!$C$39+Inputs!$C$40))))+Inputs!$C$38*SIN(2*PI()*(A176)/Inputs!$C$39)*SIN(2*PI()*(0)/Inputs!$C$40)+-Inputs!$C$41*EXP(-(((0)-Inputs!$C$43)^2)/(2*Inputs!$C$44^2))*EXP(-(((A176)-Inputs!$C$42)^2)/(2*Inputs!$C$45^2)))</x:f>
        <x:v>4.154961946360737</x:v>
      </x:c>
      <x:c r="Y176" s="40" t="n">
        <x:f>IF(Inputs!$C$27="ON",1,0)*(Inputs!$C$28*EXP(-(((A176)-Inputs!$C$29)^2)/(2*Inputs!$C$31^2))*EXP(-(((Inputs!$C$6)-Inputs!$C$30)^2)/(2*Inputs!$C$32^2))+-Inputs!$C$33*EXP(-(((((A176)-Inputs!$C$34)^2)+(((Inputs!$C$6)-Inputs!$C$35)^2))/(2*Inputs!$C$36^2)))+Inputs!$C$37*(0.55*SIN(2*PI()*(A176)/Inputs!$C$39)+0.35*COS(2*PI()*(Inputs!$C$6)/Inputs!$C$40)+0.2*SIN(2*PI()*((A176)+(Inputs!$C$6))/(0.5*(Inputs!$C$39+Inputs!$C$40))))+Inputs!$C$38*SIN(2*PI()*(A176)/Inputs!$C$39)*SIN(2*PI()*(Inputs!$C$6)/Inputs!$C$40)+-Inputs!$C$41*EXP(-(((Inputs!$C$6)-Inputs!$C$43)^2)/(2*Inputs!$C$44^2))*EXP(-(((A176)-Inputs!$C$42)^2)/(2*Inputs!$C$45^2)))</x:f>
        <x:v>208.2885242437205</x:v>
      </x:c>
      <x:c r="Z176" s="40" t="n">
        <x:f>B176-X176/1000</x:f>
        <x:v>400.80584503805363</x:v>
      </x:c>
      <x:c r="AA176" s="40" t="n">
        <x:f>SQRT(A176^2+Inputs!$C$6^2+(B176-Y176/1000)^2)</x:f>
        <x:v>402.28811968203223</x:v>
      </x:c>
      <x:c r="AB176" s="40" t="n">
        <x:f>(AA176-Z176)*1000</x:f>
        <x:v>1482.2746439785988</x:v>
      </x:c>
      <x:c r="AC176" s="40" t="n">
        <x:f>AB176/Inputs!$C$12</x:f>
        <x:v>832.7385640329206</x:v>
      </x:c>
      <x:c r="AD176" s="40" t="n">
        <x:f>2*AB176/Inputs!$C$21*1000000</x:f>
        <x:v>9.888672009077686</x:v>
      </x:c>
      <x:c r="AE176" s="40" t="n">
        <x:f>DEGREES(ATAN(H176/(B176-Y176/1000)))</x:f>
        <x:v>5.248101330355232</x:v>
      </x:c>
      <x:c r="AF176" s="40" t="n">
        <x:f>DEGREES((2*PI()/Inputs!$C$13)*Inputs!$C$15*SIN(RADIANS(AE176)))</x:f>
        <x:v>32.928703053452374</x:v>
      </x:c>
      <x:c r="AG176" s="40" t="n">
        <x:f>(Z176/AA176)^4</x:f>
        <x:v>0.9853428200112996</x:v>
      </x:c>
      <x:c r="AH176" s="40" t="n">
        <x:f>10*LOG10(AG176)</x:f>
        <x:v>-0.0641264367881718</x:v>
      </x:c>
      <x:c r="AI176" s="40" t="n">
        <x:f>AC176-F176</x:f>
        <x:v>-114.19149393921884</x:v>
      </x:c>
      <x:c r="AJ176" s="40" t="n">
        <x:f>AD176-G176</x:f>
        <x:v>-1.3560104918437226</x:v>
      </x:c>
      <x:c r="AK176" s="40" t="n">
        <x:f>Y176-X176</x:f>
        <x:v>204.13356229735976</x:v>
      </x:c>
      <x:c r="AL176" s="40" t="n">
        <x:f>1000*(AA177-AA175)/(A177-A175)*Inputs!$C$11</x:f>
        <x:v>636.8858869022915</x:v>
      </x:c>
      <x:c r="AM176" s="40" t="n">
        <x:f>-2*AL176/Inputs!$C$13</x:f>
        <x:v>-254.7543547609166</x:v>
      </x:c>
      <x:c r="AN176" s="40" t="n">
        <x:f>-2*AL176/Inputs!$C$14</x:f>
        <x:v>-38.251404618756254</x:v>
      </x:c>
      <x:c r="AO176" s="40" t="n">
        <x:f>ABS(AM176)</x:f>
        <x:v>254.7543547609166</x:v>
      </x:c>
      <x:c r="AP176" s="40" t="n">
        <x:f>ABS(AN176)</x:f>
        <x:v>38.251404618756254</x:v>
      </x:c>
      <x:c r="AQ176" s="40" t="n">
        <x:f>IF(Inputs!$C$27="ON",Inputs!$C$46/Inputs!$C$12,0)</x:f>
        <x:v>42.13483146067416</x:v>
      </x:c>
      <x:c r="AR176" s="40" t="n">
        <x:f>AC176-AQ176</x:f>
        <x:v>790.6037325722465</x:v>
      </x:c>
      <x:c r="AS176" s="40" t="n">
        <x:f>AC176+AQ176</x:f>
        <x:v>874.8733954935948</x:v>
      </x:c>
    </x:row>
    <x:row r="177">
      <x:c r="A177" s="40" t="n">
        <x:f>Inputs!$C$7+175*(Inputs!$C$8-Inputs!$C$7)/240</x:f>
        <x:v>27.5</x:v>
      </x:c>
      <x:c r="B177" s="40" t="n">
        <x:f>Inputs!$C$5+Inputs!$C$9*(A177/Inputs!$C$10)^2</x:f>
        <x:v>400.84027777777777</x:v>
      </x:c>
      <x:c r="C177" s="40" t="n">
        <x:f>B177</x:f>
        <x:v>400.84027777777777</x:v>
      </x:c>
      <x:c r="D177" s="40" t="n">
        <x:f>SQRT(A177^2+Inputs!$C$6^2+B177^2)</x:f>
        <x:v>402.5595338443322</x:v>
      </x:c>
      <x:c r="E177" s="40" t="n">
        <x:f>(D177-C177)*1000</x:f>
        <x:v>1719.2560665544079</x:v>
      </x:c>
      <x:c r="F177" s="40" t="n">
        <x:f>E177/Inputs!$C$12</x:f>
        <x:v>965.8741946934875</x:v>
      </x:c>
      <x:c r="G177" s="40" t="n">
        <x:f>2*E177/Inputs!$C$21*1000000</x:f>
        <x:v>11.4696418850831</x:v>
      </x:c>
      <x:c r="H177" s="40" t="n">
        <x:f>SQRT(A177^2+Inputs!$C$6^2)</x:f>
        <x:v>37.16517186829626</x:v>
      </x:c>
      <x:c r="I177" s="40" t="n">
        <x:f>DEGREES(ATAN(H177/B177))</x:f>
        <x:v>5.297214287097746</x:v>
      </x:c>
      <x:c r="J177" s="40" t="n">
        <x:f>DEGREES((2*PI()/Inputs!$C$13)*Inputs!$C$15*SIN(RADIANS(I177)))</x:f>
        <x:v>33.23598312233844</x:v>
      </x:c>
      <x:c r="K177" s="40" t="n">
        <x:f>(C177/D177)^4</x:f>
        <x:v>0.9830258799568693</x:v>
      </x:c>
      <x:c r="L177" s="40" t="n">
        <x:f>10*LOG10(K177)</x:f>
        <x:v>-0.0743504841963607</x:v>
      </x:c>
      <x:c r="M177" s="40" t="n">
        <x:f>2*(Inputs!$C$9/(Inputs!$C$10^2))*A177</x:f>
        <x:v>0.06111111111111111</x:v>
      </x:c>
      <x:c r="N177" s="40" t="n">
        <x:f>M177*Inputs!$C$11</x:f>
        <x:v>0.24444444444444444</x:v>
      </x:c>
      <x:c r="O177" s="40" t="n">
        <x:f>1000*((A177*Inputs!$C$11)+(B177*N177))/D177</x:f>
        <x:v>516.6519769788181</x:v>
      </x:c>
      <x:c r="P177" s="40" t="n">
        <x:f>-2*O177/Inputs!$C$13</x:f>
        <x:v>-206.66079079152723</x:v>
      </x:c>
      <x:c r="Q177" s="40" t="n">
        <x:f>-2*O177/Inputs!$C$14</x:f>
        <x:v>-31.030148767496584</x:v>
      </x:c>
      <x:c r="R177" s="40" t="n">
        <x:f>F177-Inputs!$C$16/2</x:f>
        <x:v>950.8741946934875</x:v>
      </x:c>
      <x:c r="S177" s="40" t="n">
        <x:f>F177+Inputs!$C$16/2</x:f>
        <x:v>980.8741946934875</x:v>
      </x:c>
      <x:c r="T177" s="40" t="n">
        <x:f>F177-Inputs!$C$17/2</x:f>
        <x:v>815.8741946934875</x:v>
      </x:c>
      <x:c r="U177" s="40" t="n">
        <x:f>F177+Inputs!$C$17/2</x:f>
        <x:v>1115.8741946934874</x:v>
      </x:c>
      <x:c r="V177" s="40" t="n">
        <x:f>ABS(P177)</x:f>
        <x:v>206.66079079152723</x:v>
      </x:c>
      <x:c r="W177" s="40" t="n">
        <x:f>ABS(Q177)</x:f>
        <x:v>31.030148767496584</x:v>
      </x:c>
      <x:c r="X177" s="40" t="n">
        <x:f>IF(Inputs!$C$27="ON",1,0)*(Inputs!$C$28*EXP(-(((A177)-Inputs!$C$29)^2)/(2*Inputs!$C$31^2))*EXP(-(((0)-Inputs!$C$30)^2)/(2*Inputs!$C$32^2))+-Inputs!$C$33*EXP(-(((((A177)-Inputs!$C$34)^2)+(((0)-Inputs!$C$35)^2))/(2*Inputs!$C$36^2)))+Inputs!$C$37*(0.55*SIN(2*PI()*(A177)/Inputs!$C$39)+0.35*COS(2*PI()*(0)/Inputs!$C$40)+0.2*SIN(2*PI()*((A177)+(0))/(0.5*(Inputs!$C$39+Inputs!$C$40))))+Inputs!$C$38*SIN(2*PI()*(A177)/Inputs!$C$39)*SIN(2*PI()*(0)/Inputs!$C$40)+-Inputs!$C$41*EXP(-(((0)-Inputs!$C$43)^2)/(2*Inputs!$C$44^2))*EXP(-(((A177)-Inputs!$C$42)^2)/(2*Inputs!$C$45^2)))</x:f>
        <x:v>-0.9147341473904813</x:v>
      </x:c>
      <x:c r="Y177" s="40" t="n">
        <x:f>IF(Inputs!$C$27="ON",1,0)*(Inputs!$C$28*EXP(-(((A177)-Inputs!$C$29)^2)/(2*Inputs!$C$31^2))*EXP(-(((Inputs!$C$6)-Inputs!$C$30)^2)/(2*Inputs!$C$32^2))+-Inputs!$C$33*EXP(-(((((A177)-Inputs!$C$34)^2)+(((Inputs!$C$6)-Inputs!$C$35)^2))/(2*Inputs!$C$36^2)))+Inputs!$C$37*(0.55*SIN(2*PI()*(A177)/Inputs!$C$39)+0.35*COS(2*PI()*(Inputs!$C$6)/Inputs!$C$40)+0.2*SIN(2*PI()*((A177)+(Inputs!$C$6))/(0.5*(Inputs!$C$39+Inputs!$C$40))))+Inputs!$C$38*SIN(2*PI()*(A177)/Inputs!$C$39)*SIN(2*PI()*(Inputs!$C$6)/Inputs!$C$40)+-Inputs!$C$41*EXP(-(((Inputs!$C$6)-Inputs!$C$43)^2)/(2*Inputs!$C$44^2))*EXP(-(((A177)-Inputs!$C$42)^2)/(2*Inputs!$C$45^2)))</x:f>
        <x:v>191.99351808636266</x:v>
      </x:c>
      <x:c r="Z177" s="40" t="n">
        <x:f>B177-X177/1000</x:f>
        <x:v>400.84119251192516</x:v>
      </x:c>
      <x:c r="AA177" s="40" t="n">
        <x:f>SQRT(A177^2+Inputs!$C$6^2+(B177-Y177/1000)^2)</x:f>
        <x:v>402.36836068487605</x:v>
      </x:c>
      <x:c r="AB177" s="40" t="n">
        <x:f>(AA177-Z177)*1000</x:f>
        <x:v>1527.1681729508941</x:v>
      </x:c>
      <x:c r="AC177" s="40" t="n">
        <x:f>AB177/Inputs!$C$12</x:f>
        <x:v>857.9596477252214</x:v>
      </x:c>
      <x:c r="AD177" s="40" t="n">
        <x:f>2*AB177/Inputs!$C$21*1000000</x:f>
        <x:v>10.1881693965156</x:v>
      </x:c>
      <x:c r="AE177" s="40" t="n">
        <x:f>DEGREES(ATAN(H177/(B177-Y177/1000)))</x:f>
        <x:v>5.299738299035159</x:v>
      </x:c>
      <x:c r="AF177" s="40" t="n">
        <x:f>DEGREES((2*PI()/Inputs!$C$13)*Inputs!$C$15*SIN(RADIANS(AE177)))</x:f>
        <x:v>33.251774194703856</x:v>
      </x:c>
      <x:c r="AG177" s="40" t="n">
        <x:f>(Z177/AA177)^4</x:f>
        <x:v>0.9849044222263084</x:v>
      </x:c>
      <x:c r="AH177" s="40" t="n">
        <x:f>10*LOG10(AG177)</x:f>
        <x:v>-0.0660591256199167</x:v>
      </x:c>
      <x:c r="AI177" s="40" t="n">
        <x:f>AC177-F177</x:f>
        <x:v>-107.91454696826611</x:v>
      </x:c>
      <x:c r="AJ177" s="40" t="n">
        <x:f>AD177-G177</x:f>
        <x:v>-1.2814724885675002</x:v>
      </x:c>
      <x:c r="AK177" s="40" t="n">
        <x:f>Y177-X177</x:f>
        <x:v>192.90825223375313</x:v>
      </x:c>
      <x:c r="AL177" s="40" t="n">
        <x:f>1000*(AA178-AA176)/(A178-A176)*Inputs!$C$11</x:f>
        <x:v>645.3658140831067</x:v>
      </x:c>
      <x:c r="AM177" s="40" t="n">
        <x:f>-2*AL177/Inputs!$C$13</x:f>
        <x:v>-258.14632563324267</x:v>
      </x:c>
      <x:c r="AN177" s="40" t="n">
        <x:f>-2*AL177/Inputs!$C$14</x:f>
        <x:v>-38.760709554540945</x:v>
      </x:c>
      <x:c r="AO177" s="40" t="n">
        <x:f>ABS(AM177)</x:f>
        <x:v>258.14632563324267</x:v>
      </x:c>
      <x:c r="AP177" s="40" t="n">
        <x:f>ABS(AN177)</x:f>
        <x:v>38.760709554540945</x:v>
      </x:c>
      <x:c r="AQ177" s="40" t="n">
        <x:f>IF(Inputs!$C$27="ON",Inputs!$C$46/Inputs!$C$12,0)</x:f>
        <x:v>42.13483146067416</x:v>
      </x:c>
      <x:c r="AR177" s="40" t="n">
        <x:f>AC177-AQ177</x:f>
        <x:v>815.8248162645473</x:v>
      </x:c>
      <x:c r="AS177" s="40" t="n">
        <x:f>AC177+AQ177</x:f>
        <x:v>900.0944791858956</x:v>
      </x:c>
    </x:row>
    <x:row r="178">
      <x:c r="A178" s="40" t="n">
        <x:f>Inputs!$C$7+176*(Inputs!$C$8-Inputs!$C$7)/240</x:f>
        <x:v>28</x:v>
      </x:c>
      <x:c r="B178" s="40" t="n">
        <x:f>Inputs!$C$5+Inputs!$C$9*(A178/Inputs!$C$10)^2</x:f>
        <x:v>400.87111111111113</x:v>
      </x:c>
      <x:c r="C178" s="40" t="n">
        <x:f>B178</x:f>
        <x:v>400.87111111111113</x:v>
      </x:c>
      <x:c r="D178" s="40" t="n">
        <x:f>SQRT(A178^2+Inputs!$C$6^2+B178^2)</x:f>
        <x:v>402.62469835251886</x:v>
      </x:c>
      <x:c r="E178" s="40" t="n">
        <x:f>(D178-C178)*1000</x:f>
        <x:v>1753.587241407729</x:v>
      </x:c>
      <x:c r="F178" s="40" t="n">
        <x:f>E178/Inputs!$C$12</x:f>
        <x:v>985.1613715773758</x:v>
      </x:c>
      <x:c r="G178" s="40" t="n">
        <x:f>2*E178/Inputs!$C$21*1000000</x:f>
        <x:v>11.69867483062385</x:v>
      </x:c>
      <x:c r="H178" s="40" t="n">
        <x:f>SQRT(A178^2+Inputs!$C$6^2)</x:f>
        <x:v>37.53664875824692</x:v>
      </x:c>
      <x:c r="I178" s="40" t="n">
        <x:f>DEGREES(ATAN(H178/B178))</x:f>
        <x:v>5.349446707466922</x:v>
      </x:c>
      <x:c r="J178" s="40" t="n">
        <x:f>DEGREES((2*PI()/Inputs!$C$13)*Inputs!$C$15*SIN(RADIANS(I178)))</x:f>
        <x:v>33.56275362207757</x:v>
      </x:c>
      <x:c r="K178" s="40" t="n">
        <x:f>(C178/D178)^4</x:f>
        <x:v>0.9826919297839273</x:v>
      </x:c>
      <x:c r="L178" s="40" t="n">
        <x:f>10*LOG10(K178)</x:f>
        <x:v>-0.0758261051427241</x:v>
      </x:c>
      <x:c r="M178" s="40" t="n">
        <x:f>2*(Inputs!$C$9/(Inputs!$C$10^2))*A178</x:f>
        <x:v>0.06222222222222222</x:v>
      </x:c>
      <x:c r="N178" s="40" t="n">
        <x:f>M178*Inputs!$C$11</x:f>
        <x:v>0.24888888888888888</x:v>
      </x:c>
      <x:c r="O178" s="40" t="n">
        <x:f>1000*((A178*Inputs!$C$11)+(B178*N178))/D178</x:f>
        <x:v>525.9795693076957</x:v>
      </x:c>
      <x:c r="P178" s="40" t="n">
        <x:f>-2*O178/Inputs!$C$13</x:f>
        <x:v>-210.39182772307828</x:v>
      </x:c>
      <x:c r="Q178" s="40" t="n">
        <x:f>-2*O178/Inputs!$C$14</x:f>
        <x:v>-31.59036452298473</x:v>
      </x:c>
      <x:c r="R178" s="40" t="n">
        <x:f>F178-Inputs!$C$16/2</x:f>
        <x:v>970.1613715773758</x:v>
      </x:c>
      <x:c r="S178" s="40" t="n">
        <x:f>F178+Inputs!$C$16/2</x:f>
        <x:v>1000.1613715773758</x:v>
      </x:c>
      <x:c r="T178" s="40" t="n">
        <x:f>F178-Inputs!$C$17/2</x:f>
        <x:v>835.1613715773758</x:v>
      </x:c>
      <x:c r="U178" s="40" t="n">
        <x:f>F178+Inputs!$C$17/2</x:f>
        <x:v>1135.1613715773758</x:v>
      </x:c>
      <x:c r="V178" s="40" t="n">
        <x:f>ABS(P178)</x:f>
        <x:v>210.39182772307828</x:v>
      </x:c>
      <x:c r="W178" s="40" t="n">
        <x:f>ABS(Q178)</x:f>
        <x:v>31.59036452298473</x:v>
      </x:c>
      <x:c r="X178" s="40" t="n">
        <x:f>IF(Inputs!$C$27="ON",1,0)*(Inputs!$C$28*EXP(-(((A178)-Inputs!$C$29)^2)/(2*Inputs!$C$31^2))*EXP(-(((0)-Inputs!$C$30)^2)/(2*Inputs!$C$32^2))+-Inputs!$C$33*EXP(-(((((A178)-Inputs!$C$34)^2)+(((0)-Inputs!$C$35)^2))/(2*Inputs!$C$36^2)))+Inputs!$C$37*(0.55*SIN(2*PI()*(A178)/Inputs!$C$39)+0.35*COS(2*PI()*(0)/Inputs!$C$40)+0.2*SIN(2*PI()*((A178)+(0))/(0.5*(Inputs!$C$39+Inputs!$C$40))))+Inputs!$C$38*SIN(2*PI()*(A178)/Inputs!$C$39)*SIN(2*PI()*(0)/Inputs!$C$40)+-Inputs!$C$41*EXP(-(((0)-Inputs!$C$43)^2)/(2*Inputs!$C$44^2))*EXP(-(((A178)-Inputs!$C$42)^2)/(2*Inputs!$C$45^2)))</x:f>
        <x:v>-5.302869318491676</x:v>
      </x:c>
      <x:c r="Y178" s="40" t="n">
        <x:f>IF(Inputs!$C$27="ON",1,0)*(Inputs!$C$28*EXP(-(((A178)-Inputs!$C$29)^2)/(2*Inputs!$C$31^2))*EXP(-(((Inputs!$C$6)-Inputs!$C$30)^2)/(2*Inputs!$C$32^2))+-Inputs!$C$33*EXP(-(((((A178)-Inputs!$C$34)^2)+(((Inputs!$C$6)-Inputs!$C$35)^2))/(2*Inputs!$C$36^2)))+Inputs!$C$37*(0.55*SIN(2*PI()*(A178)/Inputs!$C$39)+0.35*COS(2*PI()*(Inputs!$C$6)/Inputs!$C$40)+0.2*SIN(2*PI()*((A178)+(Inputs!$C$6))/(0.5*(Inputs!$C$39+Inputs!$C$40))))+Inputs!$C$38*SIN(2*PI()*(A178)/Inputs!$C$39)*SIN(2*PI()*(Inputs!$C$6)/Inputs!$C$40)+-Inputs!$C$41*EXP(-(((Inputs!$C$6)-Inputs!$C$43)^2)/(2*Inputs!$C$44^2))*EXP(-(((A178)-Inputs!$C$42)^2)/(2*Inputs!$C$45^2)))</x:f>
        <x:v>176.00411790487306</x:v>
      </x:c>
      <x:c r="Z178" s="40" t="n">
        <x:f>B178-X178/1000</x:f>
        <x:v>400.8764139804296</x:v>
      </x:c>
      <x:c r="AA178" s="40" t="n">
        <x:f>SQRT(A178^2+Inputs!$C$6^2+(B178-Y178/1000)^2)</x:f>
        <x:v>402.449461135553</x:v>
      </x:c>
      <x:c r="AB178" s="40" t="n">
        <x:f>(AA178-Z178)*1000</x:f>
        <x:v>1573.0471551233904</x:v>
      </x:c>
      <x:c r="AC178" s="40" t="n">
        <x:f>AB178/Inputs!$C$12</x:f>
        <x:v>883.7343568108935</x:v>
      </x:c>
      <x:c r="AD178" s="40" t="n">
        <x:f>2*AB178/Inputs!$C$21*1000000</x:f>
        <x:v>10.494241020055217</x:v>
      </x:c>
      <x:c r="AE178" s="40" t="n">
        <x:f>DEGREES(ATAN(H178/(B178-Y178/1000)))</x:f>
        <x:v>5.351782795449872</x:v>
      </x:c>
      <x:c r="AF178" s="40" t="n">
        <x:f>DEGREES((2*PI()/Inputs!$C$13)*Inputs!$C$15*SIN(RADIANS(AE178)))</x:f>
        <x:v>33.57736773914422</x:v>
      </x:c>
      <x:c r="AG178" s="40" t="n">
        <x:f>(Z178/AA178)^4</x:f>
        <x:v>0.9844566982680785</x:v>
      </x:c>
      <x:c r="AH178" s="40" t="n">
        <x:f>10*LOG10(AG178)</x:f>
        <x:v>-0.0680338172678995</x:v>
      </x:c>
      <x:c r="AI178" s="40" t="n">
        <x:f>AC178-F178</x:f>
        <x:v>-101.42701476648233</x:v>
      </x:c>
      <x:c r="AJ178" s="40" t="n">
        <x:f>AD178-G178</x:f>
        <x:v>-1.2044338105686325</x:v>
      </x:c>
      <x:c r="AK178" s="40" t="n">
        <x:f>Y178-X178</x:f>
        <x:v>181.30698722336473</x:v>
      </x:c>
      <x:c r="AL178" s="40" t="n">
        <x:f>1000*(AA179-AA177)/(A179-A177)*Inputs!$C$11</x:f>
        <x:v>650.6719961362251</x:v>
      </x:c>
      <x:c r="AM178" s="40" t="n">
        <x:f>-2*AL178/Inputs!$C$13</x:f>
        <x:v>-260.26879845449</x:v>
      </x:c>
      <x:c r="AN178" s="40" t="n">
        <x:f>-2*AL178/Inputs!$C$14</x:f>
        <x:v>-39.079399167340846</x:v>
      </x:c>
      <x:c r="AO178" s="40" t="n">
        <x:f>ABS(AM178)</x:f>
        <x:v>260.26879845449</x:v>
      </x:c>
      <x:c r="AP178" s="40" t="n">
        <x:f>ABS(AN178)</x:f>
        <x:v>39.079399167340846</x:v>
      </x:c>
      <x:c r="AQ178" s="40" t="n">
        <x:f>IF(Inputs!$C$27="ON",Inputs!$C$46/Inputs!$C$12,0)</x:f>
        <x:v>42.13483146067416</x:v>
      </x:c>
      <x:c r="AR178" s="40" t="n">
        <x:f>AC178-AQ178</x:f>
        <x:v>841.5995253502193</x:v>
      </x:c>
      <x:c r="AS178" s="40" t="n">
        <x:f>AC178+AQ178</x:f>
        <x:v>925.8691882715676</x:v>
      </x:c>
    </x:row>
    <x:row r="179">
      <x:c r="A179" s="40" t="n">
        <x:f>Inputs!$C$7+177*(Inputs!$C$8-Inputs!$C$7)/240</x:f>
        <x:v>28.5</x:v>
      </x:c>
      <x:c r="B179" s="40" t="n">
        <x:f>Inputs!$C$5+Inputs!$C$9*(A179/Inputs!$C$10)^2</x:f>
        <x:v>400.9025</x:v>
      </x:c>
      <x:c r="C179" s="40" t="n">
        <x:f>B179</x:f>
        <x:v>400.9025</x:v>
      </x:c>
      <x:c r="D179" s="40" t="n">
        <x:f>SQRT(A179^2+Inputs!$C$6^2+B179^2)</x:f>
        <x:v>402.6910285892274</x:v>
      </x:c>
      <x:c r="E179" s="40" t="n">
        <x:f>(D179-C179)*1000</x:f>
        <x:v>1788.5285892274396</x:v>
      </x:c>
      <x:c r="F179" s="40" t="n">
        <x:f>E179/Inputs!$C$12</x:f>
        <x:v>1004.7913422626065</x:v>
      </x:c>
      <x:c r="G179" s="40" t="n">
        <x:f>2*E179/Inputs!$C$21*1000000</x:f>
        <x:v>11.931778412033564</x:v>
      </x:c>
      <x:c r="H179" s="40" t="n">
        <x:f>SQRT(A179^2+Inputs!$C$6^2)</x:f>
        <x:v>37.911080174534725</x:v>
      </x:c>
      <x:c r="I179" s="40" t="n">
        <x:f>DEGREES(ATAN(H179/B179))</x:f>
        <x:v>5.402073248314196</x:v>
      </x:c>
      <x:c r="J179" s="40" t="n">
        <x:f>DEGREES((2*PI()/Inputs!$C$13)*Inputs!$C$15*SIN(RADIANS(I179)))</x:f>
        <x:v>33.891961563301656</x:v>
      </x:c>
      <x:c r="K179" s="40" t="n">
        <x:f>(C179/D179)^4</x:f>
        <x:v>0.9823522429070451</x:v>
      </x:c>
      <x:c r="L179" s="40" t="n">
        <x:f>10*LOG10(K179)</x:f>
        <x:v>-0.0773275893304539</x:v>
      </x:c>
      <x:c r="M179" s="40" t="n">
        <x:f>2*(Inputs!$C$9/(Inputs!$C$10^2))*A179</x:f>
        <x:v>0.06333333333333334</x:v>
      </x:c>
      <x:c r="N179" s="40" t="n">
        <x:f>M179*Inputs!$C$11</x:f>
        <x:v>0.25333333333333335</x:v>
      </x:c>
      <x:c r="O179" s="40" t="n">
        <x:f>1000*((A179*Inputs!$C$11)+(B179*N179))/D179</x:f>
        <x:v>535.3036232812494</x:v>
      </x:c>
      <x:c r="P179" s="40" t="n">
        <x:f>-2*O179/Inputs!$C$13</x:f>
        <x:v>-214.12144931249978</x:v>
      </x:c>
      <x:c r="Q179" s="40" t="n">
        <x:f>-2*O179/Inputs!$C$14</x:f>
        <x:v>-32.15036776463961</x:v>
      </x:c>
      <x:c r="R179" s="40" t="n">
        <x:f>F179-Inputs!$C$16/2</x:f>
        <x:v>989.7913422626065</x:v>
      </x:c>
      <x:c r="S179" s="40" t="n">
        <x:f>F179+Inputs!$C$16/2</x:f>
        <x:v>1019.7913422626065</x:v>
      </x:c>
      <x:c r="T179" s="40" t="n">
        <x:f>F179-Inputs!$C$17/2</x:f>
        <x:v>854.7913422626065</x:v>
      </x:c>
      <x:c r="U179" s="40" t="n">
        <x:f>F179+Inputs!$C$17/2</x:f>
        <x:v>1154.7913422626066</x:v>
      </x:c>
      <x:c r="V179" s="40" t="n">
        <x:f>ABS(P179)</x:f>
        <x:v>214.12144931249978</x:v>
      </x:c>
      <x:c r="W179" s="40" t="n">
        <x:f>ABS(Q179)</x:f>
        <x:v>32.15036776463961</x:v>
      </x:c>
      <x:c r="X179" s="40" t="n">
        <x:f>IF(Inputs!$C$27="ON",1,0)*(Inputs!$C$28*EXP(-(((A179)-Inputs!$C$29)^2)/(2*Inputs!$C$31^2))*EXP(-(((0)-Inputs!$C$30)^2)/(2*Inputs!$C$32^2))+-Inputs!$C$33*EXP(-(((((A179)-Inputs!$C$34)^2)+(((0)-Inputs!$C$35)^2))/(2*Inputs!$C$36^2)))+Inputs!$C$37*(0.55*SIN(2*PI()*(A179)/Inputs!$C$39)+0.35*COS(2*PI()*(0)/Inputs!$C$40)+0.2*SIN(2*PI()*((A179)+(0))/(0.5*(Inputs!$C$39+Inputs!$C$40))))+Inputs!$C$38*SIN(2*PI()*(A179)/Inputs!$C$39)*SIN(2*PI()*(0)/Inputs!$C$40)+-Inputs!$C$41*EXP(-(((0)-Inputs!$C$43)^2)/(2*Inputs!$C$44^2))*EXP(-(((A179)-Inputs!$C$42)^2)/(2*Inputs!$C$45^2)))</x:f>
        <x:v>-8.89638251486266</x:v>
      </x:c>
      <x:c r="Y179" s="40" t="n">
        <x:f>IF(Inputs!$C$27="ON",1,0)*(Inputs!$C$28*EXP(-(((A179)-Inputs!$C$29)^2)/(2*Inputs!$C$31^2))*EXP(-(((Inputs!$C$6)-Inputs!$C$30)^2)/(2*Inputs!$C$32^2))+-Inputs!$C$33*EXP(-(((((A179)-Inputs!$C$34)^2)+(((Inputs!$C$6)-Inputs!$C$35)^2))/(2*Inputs!$C$36^2)))+Inputs!$C$37*(0.55*SIN(2*PI()*(A179)/Inputs!$C$39)+0.35*COS(2*PI()*(Inputs!$C$6)/Inputs!$C$40)+0.2*SIN(2*PI()*((A179)+(Inputs!$C$6))/(0.5*(Inputs!$C$39+Inputs!$C$40))))+Inputs!$C$38*SIN(2*PI()*(A179)/Inputs!$C$39)*SIN(2*PI()*(Inputs!$C$6)/Inputs!$C$40)+-Inputs!$C$41*EXP(-(((Inputs!$C$6)-Inputs!$C$43)^2)/(2*Inputs!$C$44^2))*EXP(-(((A179)-Inputs!$C$42)^2)/(2*Inputs!$C$45^2)))</x:f>
        <x:v>160.71399144449614</x:v>
      </x:c>
      <x:c r="Z179" s="40" t="n">
        <x:f>B179-X179/1000</x:f>
        <x:v>400.91139638251485</x:v>
      </x:c>
      <x:c r="AA179" s="40" t="n">
        <x:f>SQRT(A179^2+Inputs!$C$6^2+(B179-Y179/1000)^2)</x:f>
        <x:v>402.5310286839101</x:v>
      </x:c>
      <x:c r="AB179" s="40" t="n">
        <x:f>(AA179-Z179)*1000</x:f>
        <x:v>1619.6323013952565</x:v>
      </x:c>
      <x:c r="AC179" s="40" t="n">
        <x:f>AB179/Inputs!$C$12</x:f>
        <x:v>909.9057873007059</x:v>
      </x:c>
      <x:c r="AD179" s="40" t="n">
        <x:f>2*AB179/Inputs!$C$21*1000000</x:f>
        <x:v>10.805023663372188</x:v>
      </x:c>
      <x:c r="AE179" s="40" t="n">
        <x:f>DEGREES(ATAN(H179/(B179-Y179/1000)))</x:f>
        <x:v>5.4042268786551535</x:v>
      </x:c>
      <x:c r="AF179" s="40" t="n">
        <x:f>DEGREES((2*PI()/Inputs!$C$13)*Inputs!$C$15*SIN(RADIANS(AE179)))</x:f>
        <x:v>33.90543309780391</x:v>
      </x:c>
      <x:c r="AG179" s="40" t="n">
        <x:f>(Z179/AA179)^4</x:f>
        <x:v>0.9840023928436581</x:v>
      </x:c>
      <x:c r="AH179" s="40" t="n">
        <x:f>10*LOG10(AG179)</x:f>
        <x:v>-0.07003845473604381</x:v>
      </x:c>
      <x:c r="AI179" s="40" t="n">
        <x:f>AC179-F179</x:f>
        <x:v>-94.88555496190054</x:v>
      </x:c>
      <x:c r="AJ179" s="40" t="n">
        <x:f>AD179-G179</x:f>
        <x:v>-1.1267547486613765</x:v>
      </x:c>
      <x:c r="AK179" s="40" t="n">
        <x:f>Y179-X179</x:f>
        <x:v>169.6103739593588</x:v>
      </x:c>
      <x:c r="AL179" s="40" t="n">
        <x:f>1000*(AA180-AA178)/(A180-A178)*Inputs!$C$11</x:f>
        <x:v>652.9278574889759</x:v>
      </x:c>
      <x:c r="AM179" s="40" t="n">
        <x:f>-2*AL179/Inputs!$C$13</x:f>
        <x:v>-261.17114299559034</x:v>
      </x:c>
      <x:c r="AN179" s="40" t="n">
        <x:f>-2*AL179/Inputs!$C$14</x:f>
        <x:v>-39.21488633567423</x:v>
      </x:c>
      <x:c r="AO179" s="40" t="n">
        <x:f>ABS(AM179)</x:f>
        <x:v>261.17114299559034</x:v>
      </x:c>
      <x:c r="AP179" s="40" t="n">
        <x:f>ABS(AN179)</x:f>
        <x:v>39.21488633567423</x:v>
      </x:c>
      <x:c r="AQ179" s="40" t="n">
        <x:f>IF(Inputs!$C$27="ON",Inputs!$C$46/Inputs!$C$12,0)</x:f>
        <x:v>42.13483146067416</x:v>
      </x:c>
      <x:c r="AR179" s="40" t="n">
        <x:f>AC179-AQ179</x:f>
        <x:v>867.7709558400318</x:v>
      </x:c>
      <x:c r="AS179" s="40" t="n">
        <x:f>AC179+AQ179</x:f>
        <x:v>952.0406187613801</x:v>
      </x:c>
    </x:row>
    <x:row r="180">
      <x:c r="A180" s="40" t="n">
        <x:f>Inputs!$C$7+178*(Inputs!$C$8-Inputs!$C$7)/240</x:f>
        <x:v>29</x:v>
      </x:c>
      <x:c r="B180" s="40" t="n">
        <x:f>Inputs!$C$5+Inputs!$C$9*(A180/Inputs!$C$10)^2</x:f>
        <x:v>400.93444444444447</x:v>
      </x:c>
      <x:c r="C180" s="40" t="n">
        <x:f>B180</x:f>
        <x:v>400.93444444444447</x:v>
      </x:c>
      <x:c r="D180" s="40" t="n">
        <x:f>SQRT(A180^2+Inputs!$C$6^2+B180^2)</x:f>
        <x:v>402.7585241083984</x:v>
      </x:c>
      <x:c r="E180" s="40" t="n">
        <x:f>(D180-C180)*1000</x:f>
        <x:v>1824.0796639539099</x:v>
      </x:c>
      <x:c r="F180" s="40" t="n">
        <x:f>E180/Inputs!$C$12</x:f>
        <x:v>1024.763856153882</x:v>
      </x:c>
      <x:c r="G180" s="40" t="n">
        <x:f>2*E180/Inputs!$C$21*1000000</x:f>
        <x:v>12.168949653522704</x:v>
      </x:c>
      <x:c r="H180" s="40" t="n">
        <x:f>SQRT(A180^2+Inputs!$C$6^2)</x:f>
        <x:v>38.28837943815329</x:v>
      </x:c>
      <x:c r="I180" s="40" t="n">
        <x:f>DEGREES(ATAN(H180/B180))</x:f>
        <x:v>5.455081025841907</x:v>
      </x:c>
      <x:c r="J180" s="40" t="n">
        <x:f>DEGREES((2*PI()/Inputs!$C$13)*Inputs!$C$15*SIN(RADIANS(I180)))</x:f>
        <x:v>34.2235254443067</x:v>
      </x:c>
      <x:c r="K180" s="40" t="n">
        <x:f>(C180/D180)^4</x:f>
        <x:v>0.9820068340146043</x:v>
      </x:c>
      <x:c r="L180" s="40" t="n">
        <x:f>10*LOG10(K180)</x:f>
        <x:v>-0.0788548984593785</x:v>
      </x:c>
      <x:c r="M180" s="40" t="n">
        <x:f>2*(Inputs!$C$9/(Inputs!$C$10^2))*A180</x:f>
        <x:v>0.06444444444444444</x:v>
      </x:c>
      <x:c r="N180" s="40" t="n">
        <x:f>M180*Inputs!$C$11</x:f>
        <x:v>0.2577777777777778</x:v>
      </x:c>
      <x:c r="O180" s="40" t="n">
        <x:f>1000*((A180*Inputs!$C$11)+(B180*N180))/D180</x:f>
        <x:v>544.6240786810025</x:v>
      </x:c>
      <x:c r="P180" s="40" t="n">
        <x:f>-2*O180/Inputs!$C$13</x:f>
        <x:v>-217.849631472401</x:v>
      </x:c>
      <x:c r="Q180" s="40" t="n">
        <x:f>-2*O180/Inputs!$C$14</x:f>
        <x:v>-32.71015487573589</x:v>
      </x:c>
      <x:c r="R180" s="40" t="n">
        <x:f>F180-Inputs!$C$16/2</x:f>
        <x:v>1009.763856153882</x:v>
      </x:c>
      <x:c r="S180" s="40" t="n">
        <x:f>F180+Inputs!$C$16/2</x:f>
        <x:v>1039.763856153882</x:v>
      </x:c>
      <x:c r="T180" s="40" t="n">
        <x:f>F180-Inputs!$C$17/2</x:f>
        <x:v>874.763856153882</x:v>
      </x:c>
      <x:c r="U180" s="40" t="n">
        <x:f>F180+Inputs!$C$17/2</x:f>
        <x:v>1174.763856153882</x:v>
      </x:c>
      <x:c r="V180" s="40" t="n">
        <x:f>ABS(P180)</x:f>
        <x:v>217.849631472401</x:v>
      </x:c>
      <x:c r="W180" s="40" t="n">
        <x:f>ABS(Q180)</x:f>
        <x:v>32.71015487573589</x:v>
      </x:c>
      <x:c r="X180" s="40" t="n">
        <x:f>IF(Inputs!$C$27="ON",1,0)*(Inputs!$C$28*EXP(-(((A180)-Inputs!$C$29)^2)/(2*Inputs!$C$31^2))*EXP(-(((0)-Inputs!$C$30)^2)/(2*Inputs!$C$32^2))+-Inputs!$C$33*EXP(-(((((A180)-Inputs!$C$34)^2)+(((0)-Inputs!$C$35)^2))/(2*Inputs!$C$36^2)))+Inputs!$C$37*(0.55*SIN(2*PI()*(A180)/Inputs!$C$39)+0.35*COS(2*PI()*(0)/Inputs!$C$40)+0.2*SIN(2*PI()*((A180)+(0))/(0.5*(Inputs!$C$39+Inputs!$C$40))))+Inputs!$C$38*SIN(2*PI()*(A180)/Inputs!$C$39)*SIN(2*PI()*(0)/Inputs!$C$40)+-Inputs!$C$41*EXP(-(((0)-Inputs!$C$43)^2)/(2*Inputs!$C$44^2))*EXP(-(((A180)-Inputs!$C$42)^2)/(2*Inputs!$C$45^2)))</x:f>
        <x:v>-11.611954874793183</x:v>
      </x:c>
      <x:c r="Y180" s="40" t="n">
        <x:f>IF(Inputs!$C$27="ON",1,0)*(Inputs!$C$28*EXP(-(((A180)-Inputs!$C$29)^2)/(2*Inputs!$C$31^2))*EXP(-(((Inputs!$C$6)-Inputs!$C$30)^2)/(2*Inputs!$C$32^2))+-Inputs!$C$33*EXP(-(((((A180)-Inputs!$C$34)^2)+(((Inputs!$C$6)-Inputs!$C$35)^2))/(2*Inputs!$C$36^2)))+Inputs!$C$37*(0.55*SIN(2*PI()*(A180)/Inputs!$C$39)+0.35*COS(2*PI()*(Inputs!$C$6)/Inputs!$C$40)+0.2*SIN(2*PI()*((A180)+(Inputs!$C$6))/(0.5*(Inputs!$C$39+Inputs!$C$40))))+Inputs!$C$38*SIN(2*PI()*(A180)/Inputs!$C$39)*SIN(2*PI()*(Inputs!$C$6)/Inputs!$C$40)+-Inputs!$C$41*EXP(-(((Inputs!$C$6)-Inputs!$C$43)^2)/(2*Inputs!$C$44^2))*EXP(-(((A180)-Inputs!$C$42)^2)/(2*Inputs!$C$45^2)))</x:f>
        <x:v>146.4947189386606</x:v>
      </x:c>
      <x:c r="Z180" s="40" t="n">
        <x:f>B180-X180/1000</x:f>
        <x:v>400.9460563993193</x:v>
      </x:c>
      <x:c r="AA180" s="40" t="n">
        <x:f>SQRT(A180^2+Inputs!$C$6^2+(B180-Y180/1000)^2)</x:f>
        <x:v>402.61269309992525</x:v>
      </x:c>
      <x:c r="AB180" s="40" t="n">
        <x:f>(AA180-Z180)*1000</x:f>
        <x:v>1666.6367006059772</x:v>
      </x:c>
      <x:c r="AC180" s="40" t="n">
        <x:f>AB180/Inputs!$C$12</x:f>
        <x:v>936.3127531494254</x:v>
      </x:c>
      <x:c r="AD180" s="40" t="n">
        <x:f>2*AB180/Inputs!$C$21*1000000</x:f>
        <x:v>11.118603261233325</x:v>
      </x:c>
      <x:c r="AE180" s="40" t="n">
        <x:f>DEGREES(ATAN(H180/(B180-Y180/1000)))</x:f>
        <x:v>5.457062915096864</x:v>
      </x:c>
      <x:c r="AF180" s="40" t="n">
        <x:f>DEGREES((2*PI()/Inputs!$C$13)*Inputs!$C$15*SIN(RADIANS(AE180)))</x:f>
        <x:v>34.23592160397723</x:v>
      </x:c>
      <x:c r="AG180" s="40" t="n">
        <x:f>(Z180/AA180)^4</x:f>
        <x:v>0.9835443187799203</x:v>
      </x:c>
      <x:c r="AH180" s="40" t="n">
        <x:f>10*LOG10(AG180)</x:f>
        <x:v>-0.0720606587386568</x:v>
      </x:c>
      <x:c r="AI180" s="40" t="n">
        <x:f>AC180-F180</x:f>
        <x:v>-88.45110300445663</x:v>
      </x:c>
      <x:c r="AJ180" s="40" t="n">
        <x:f>AD180-G180</x:f>
        <x:v>-1.050346392289379</x:v>
      </x:c>
      <x:c r="AK180" s="40" t="n">
        <x:f>Y180-X180</x:f>
        <x:v>158.1066738134538</x:v>
      </x:c>
      <x:c r="AL180" s="40" t="n">
        <x:f>1000*(AA181-AA179)/(A181-A179)*Inputs!$C$11</x:f>
        <x:v>652.3609327734903</x:v>
      </x:c>
      <x:c r="AM180" s="40" t="n">
        <x:f>-2*AL180/Inputs!$C$13</x:f>
        <x:v>-260.9443731093961</x:v>
      </x:c>
      <x:c r="AN180" s="40" t="n">
        <x:f>-2*AL180/Inputs!$C$14</x:f>
        <x:v>-39.180836803212635</x:v>
      </x:c>
      <x:c r="AO180" s="40" t="n">
        <x:f>ABS(AM180)</x:f>
        <x:v>260.9443731093961</x:v>
      </x:c>
      <x:c r="AP180" s="40" t="n">
        <x:f>ABS(AN180)</x:f>
        <x:v>39.180836803212635</x:v>
      </x:c>
      <x:c r="AQ180" s="40" t="n">
        <x:f>IF(Inputs!$C$27="ON",Inputs!$C$46/Inputs!$C$12,0)</x:f>
        <x:v>42.13483146067416</x:v>
      </x:c>
      <x:c r="AR180" s="40" t="n">
        <x:f>AC180-AQ180</x:f>
        <x:v>894.1779216887512</x:v>
      </x:c>
      <x:c r="AS180" s="40" t="n">
        <x:f>AC180+AQ180</x:f>
        <x:v>978.4475846100995</x:v>
      </x:c>
    </x:row>
    <x:row r="181">
      <x:c r="A181" s="40" t="n">
        <x:f>Inputs!$C$7+179*(Inputs!$C$8-Inputs!$C$7)/240</x:f>
        <x:v>29.5</x:v>
      </x:c>
      <x:c r="B181" s="40" t="n">
        <x:f>Inputs!$C$5+Inputs!$C$9*(A181/Inputs!$C$10)^2</x:f>
        <x:v>400.96694444444444</x:v>
      </x:c>
      <x:c r="C181" s="40" t="n">
        <x:f>B181</x:f>
        <x:v>400.96694444444444</x:v>
      </x:c>
      <x:c r="D181" s="40" t="n">
        <x:f>SQRT(A181^2+Inputs!$C$6^2+B181^2)</x:f>
        <x:v>402.8271844564542</x:v>
      </x:c>
      <x:c r="E181" s="40" t="n">
        <x:f>(D181-C181)*1000</x:f>
        <x:v>1860.24001200974</x:v>
      </x:c>
      <x:c r="F181" s="40" t="n">
        <x:f>E181/Inputs!$C$12</x:f>
        <x:v>1045.0786584324383</x:v>
      </x:c>
      <x:c r="G181" s="40" t="n">
        <x:f>2*E181/Inputs!$C$21*1000000</x:f>
        <x:v>12.410185529148567</x:v>
      </x:c>
      <x:c r="H181" s="40" t="n">
        <x:f>SQRT(A181^2+Inputs!$C$6^2)</x:f>
        <x:v>38.66846260197062</x:v>
      </x:c>
      <x:c r="I181" s="40" t="n">
        <x:f>DEGREES(ATAN(H181/B181))</x:f>
        <x:v>5.508457547244826</x:v>
      </x:c>
      <x:c r="J181" s="40" t="n">
        <x:f>DEGREES((2*PI()/Inputs!$C$13)*Inputs!$C$15*SIN(RADIANS(I181)))</x:f>
        <x:v>34.55736622018927</x:v>
      </x:c>
      <x:c r="K181" s="40" t="n">
        <x:f>(C181/D181)^4</x:f>
        <x:v>0.9816557180259332</x:v>
      </x:c>
      <x:c r="L181" s="40" t="n">
        <x:f>10*LOG10(K181)</x:f>
        <x:v>-0.0804079935963663</x:v>
      </x:c>
      <x:c r="M181" s="40" t="n">
        <x:f>2*(Inputs!$C$9/(Inputs!$C$10^2))*A181</x:f>
        <x:v>0.06555555555555556</x:v>
      </x:c>
      <x:c r="N181" s="40" t="n">
        <x:f>M181*Inputs!$C$11</x:f>
        <x:v>0.26222222222222225</x:v>
      </x:c>
      <x:c r="O181" s="40" t="n">
        <x:f>1000*((A181*Inputs!$C$11)+(B181*N181))/D181</x:f>
        <x:v>553.9408754425766</x:v>
      </x:c>
      <x:c r="P181" s="40" t="n">
        <x:f>-2*O181/Inputs!$C$13</x:f>
        <x:v>-221.57635017703063</x:v>
      </x:c>
      <x:c r="Q181" s="40" t="n">
        <x:f>-2*O181/Inputs!$C$14</x:f>
        <x:v>-33.269722248803404</x:v>
      </x:c>
      <x:c r="R181" s="40" t="n">
        <x:f>F181-Inputs!$C$16/2</x:f>
        <x:v>1030.0786584324383</x:v>
      </x:c>
      <x:c r="S181" s="40" t="n">
        <x:f>F181+Inputs!$C$16/2</x:f>
        <x:v>1060.0786584324383</x:v>
      </x:c>
      <x:c r="T181" s="40" t="n">
        <x:f>F181-Inputs!$C$17/2</x:f>
        <x:v>895.0786584324383</x:v>
      </x:c>
      <x:c r="U181" s="40" t="n">
        <x:f>F181+Inputs!$C$17/2</x:f>
        <x:v>1195.0786584324383</x:v>
      </x:c>
      <x:c r="V181" s="40" t="n">
        <x:f>ABS(P181)</x:f>
        <x:v>221.57635017703063</x:v>
      </x:c>
      <x:c r="W181" s="40" t="n">
        <x:f>ABS(Q181)</x:f>
        <x:v>33.269722248803404</x:v>
      </x:c>
      <x:c r="X181" s="40" t="n">
        <x:f>IF(Inputs!$C$27="ON",1,0)*(Inputs!$C$28*EXP(-(((A181)-Inputs!$C$29)^2)/(2*Inputs!$C$31^2))*EXP(-(((0)-Inputs!$C$30)^2)/(2*Inputs!$C$32^2))+-Inputs!$C$33*EXP(-(((((A181)-Inputs!$C$34)^2)+(((0)-Inputs!$C$35)^2))/(2*Inputs!$C$36^2)))+Inputs!$C$37*(0.55*SIN(2*PI()*(A181)/Inputs!$C$39)+0.35*COS(2*PI()*(0)/Inputs!$C$40)+0.2*SIN(2*PI()*((A181)+(0))/(0.5*(Inputs!$C$39+Inputs!$C$40))))+Inputs!$C$38*SIN(2*PI()*(A181)/Inputs!$C$39)*SIN(2*PI()*(0)/Inputs!$C$40)+-Inputs!$C$41*EXP(-(((0)-Inputs!$C$43)^2)/(2*Inputs!$C$44^2))*EXP(-(((A181)-Inputs!$C$42)^2)/(2*Inputs!$C$45^2)))</x:f>
        <x:v>-13.39736601613842</x:v>
      </x:c>
      <x:c r="Y181" s="40" t="n">
        <x:f>IF(Inputs!$C$27="ON",1,0)*(Inputs!$C$28*EXP(-(((A181)-Inputs!$C$29)^2)/(2*Inputs!$C$31^2))*EXP(-(((Inputs!$C$6)-Inputs!$C$30)^2)/(2*Inputs!$C$32^2))+-Inputs!$C$33*EXP(-(((((A181)-Inputs!$C$34)^2)+(((Inputs!$C$6)-Inputs!$C$35)^2))/(2*Inputs!$C$36^2)))+Inputs!$C$37*(0.55*SIN(2*PI()*(A181)/Inputs!$C$39)+0.35*COS(2*PI()*(Inputs!$C$6)/Inputs!$C$40)+0.2*SIN(2*PI()*((A181)+(Inputs!$C$6))/(0.5*(Inputs!$C$39+Inputs!$C$40))))+Inputs!$C$38*SIN(2*PI()*(A181)/Inputs!$C$39)*SIN(2*PI()*(Inputs!$C$6)/Inputs!$C$40)+-Inputs!$C$41*EXP(-(((Inputs!$C$6)-Inputs!$C$43)^2)/(2*Inputs!$C$44^2))*EXP(-(((A181)-Inputs!$C$42)^2)/(2*Inputs!$C$45^2)))</x:f>
        <x:v>133.68308702880248</x:v>
      </x:c>
      <x:c r="Z181" s="40" t="n">
        <x:f>B181-X181/1000</x:f>
        <x:v>400.9803418104606</x:v>
      </x:c>
      <x:c r="AA181" s="40" t="n">
        <x:f>SQRT(A181^2+Inputs!$C$6^2+(B181-Y181/1000)^2)</x:f>
        <x:v>402.6941189171035</x:v>
      </x:c>
      <x:c r="AB181" s="40" t="n">
        <x:f>(AA181-Z181)*1000</x:f>
        <x:v>1713.7771066429082</x:v>
      </x:c>
      <x:c r="AC181" s="40" t="n">
        <x:f>AB181/Inputs!$C$12</x:f>
        <x:v>962.7961273274765</x:v>
      </x:c>
      <x:c r="AD181" s="40" t="n">
        <x:f>2*AB181/Inputs!$C$21*1000000</x:f>
        <x:v>11.433090198972973</x:v>
      </x:c>
      <x:c r="AE181" s="40" t="n">
        <x:f>DEGREES(ATAN(H181/(B181-Y181/1000)))</x:f>
        <x:v>5.5102833840018555</x:v>
      </x:c>
      <x:c r="AF181" s="40" t="n">
        <x:f>DEGREES((2*PI()/Inputs!$C$13)*Inputs!$C$15*SIN(RADIANS(AE181)))</x:f>
        <x:v>34.56878529575709</x:v>
      </x:c>
      <x:c r="AG181" s="40" t="n">
        <x:f>(Z181/AA181)^4</x:f>
        <x:v>0.9830852466081411</x:v>
      </x:c>
      <x:c r="AH181" s="40" t="n">
        <x:f>10*LOG10(AG181)</x:f>
        <x:v>-0.07408821408643759</x:v>
      </x:c>
      <x:c r="AI181" s="40" t="n">
        <x:f>AC181-F181</x:f>
        <x:v>-82.28253110496178</x:v>
      </x:c>
      <x:c r="AJ181" s="40" t="n">
        <x:f>AD181-G181</x:f>
        <x:v>-0.9770953301755938</x:v>
      </x:c>
      <x:c r="AK181" s="40" t="n">
        <x:f>Y181-X181</x:f>
        <x:v>147.0804530449409</x:v>
      </x:c>
      <x:c r="AL181" s="40" t="n">
        <x:f>1000*(AA182-AA180)/(A182-A180)*Inputs!$C$11</x:f>
        <x:v>649.2951424354487</x:v>
      </x:c>
      <x:c r="AM181" s="40" t="n">
        <x:f>-2*AL181/Inputs!$C$13</x:f>
        <x:v>-259.7180569741795</x:v>
      </x:c>
      <x:c r="AN181" s="40" t="n">
        <x:f>-2*AL181/Inputs!$C$14</x:f>
        <x:v>-38.9967052513783</x:v>
      </x:c>
      <x:c r="AO181" s="40" t="n">
        <x:f>ABS(AM181)</x:f>
        <x:v>259.7180569741795</x:v>
      </x:c>
      <x:c r="AP181" s="40" t="n">
        <x:f>ABS(AN181)</x:f>
        <x:v>38.9967052513783</x:v>
      </x:c>
      <x:c r="AQ181" s="40" t="n">
        <x:f>IF(Inputs!$C$27="ON",Inputs!$C$46/Inputs!$C$12,0)</x:f>
        <x:v>42.13483146067416</x:v>
      </x:c>
      <x:c r="AR181" s="40" t="n">
        <x:f>AC181-AQ181</x:f>
        <x:v>920.6612958668023</x:v>
      </x:c>
      <x:c r="AS181" s="40" t="n">
        <x:f>AC181+AQ181</x:f>
        <x:v>1004.9309587881506</x:v>
      </x:c>
    </x:row>
    <x:row r="182">
      <x:c r="A182" s="40" t="n">
        <x:f>Inputs!$C$7+180*(Inputs!$C$8-Inputs!$C$7)/240</x:f>
        <x:v>30</x:v>
      </x:c>
      <x:c r="B182" s="40" t="n">
        <x:f>Inputs!$C$5+Inputs!$C$9*(A182/Inputs!$C$10)^2</x:f>
        <x:v>401</x:v>
      </x:c>
      <x:c r="C182" s="40" t="n">
        <x:f>B182</x:f>
        <x:v>401</x:v>
      </x:c>
      <x:c r="D182" s="40" t="n">
        <x:f>SQRT(A182^2+Inputs!$C$6^2+B182^2)</x:f>
        <x:v>402.8970091723194</x:v>
      </x:c>
      <x:c r="E182" s="40" t="n">
        <x:f>(D182-C182)*1000</x:f>
        <x:v>1897.0091723193718</x:v>
      </x:c>
      <x:c r="F182" s="40" t="n">
        <x:f>E182/Inputs!$C$12</x:f>
        <x:v>1065.7354900670628</x:v>
      </x:c>
      <x:c r="G182" s="40" t="n">
        <x:f>2*E182/Inputs!$C$21*1000000</x:f>
        <x:v>12.655482962946131</x:v>
      </x:c>
      <x:c r="H182" s="40" t="n">
        <x:f>SQRT(A182^2+Inputs!$C$6^2)</x:f>
        <x:v>39.05124837953327</x:v>
      </x:c>
      <x:c r="I182" s="40" t="n">
        <x:f>DEGREES(ATAN(H182/B182))</x:f>
        <x:v>5.562190700603825</x:v>
      </x:c>
      <x:c r="J182" s="40" t="n">
        <x:f>DEGREES((2*PI()/Inputs!$C$13)*Inputs!$C$15*SIN(RADIANS(I182)))</x:f>
        <x:v>34.893407239514076</x:v>
      </x:c>
      <x:c r="K182" s="40" t="n">
        <x:f>(C182/D182)^4</x:f>
        <x:v>0.9812989100898379</x:v>
      </x:c>
      <x:c r="L182" s="40" t="n">
        <x:f>10*LOG10(K182)</x:f>
        <x:v>-0.08198683517764999</x:v>
      </x:c>
      <x:c r="M182" s="40" t="n">
        <x:f>2*(Inputs!$C$9/(Inputs!$C$10^2))*A182</x:f>
        <x:v>0.06666666666666667</x:v>
      </x:c>
      <x:c r="N182" s="40" t="n">
        <x:f>M182*Inputs!$C$11</x:f>
        <x:v>0.26666666666666666</x:v>
      </x:c>
      <x:c r="O182" s="40" t="n">
        <x:f>1000*((A182*Inputs!$C$11)+(B182*N182))/D182</x:f>
        <x:v>563.2539536581016</x:v>
      </x:c>
      <x:c r="P182" s="40" t="n">
        <x:f>-2*O182/Inputs!$C$13</x:f>
        <x:v>-225.30158146324067</x:v>
      </x:c>
      <x:c r="Q182" s="40" t="n">
        <x:f>-2*O182/Inputs!$C$14</x:f>
        <x:v>-33.82906628577187</x:v>
      </x:c>
      <x:c r="R182" s="40" t="n">
        <x:f>F182-Inputs!$C$16/2</x:f>
        <x:v>1050.7354900670628</x:v>
      </x:c>
      <x:c r="S182" s="40" t="n">
        <x:f>F182+Inputs!$C$16/2</x:f>
        <x:v>1080.7354900670628</x:v>
      </x:c>
      <x:c r="T182" s="40" t="n">
        <x:f>F182-Inputs!$C$17/2</x:f>
        <x:v>915.7354900670628</x:v>
      </x:c>
      <x:c r="U182" s="40" t="n">
        <x:f>F182+Inputs!$C$17/2</x:f>
        <x:v>1215.7354900670628</x:v>
      </x:c>
      <x:c r="V182" s="40" t="n">
        <x:f>ABS(P182)</x:f>
        <x:v>225.30158146324067</x:v>
      </x:c>
      <x:c r="W182" s="40" t="n">
        <x:f>ABS(Q182)</x:f>
        <x:v>33.82906628577187</x:v>
      </x:c>
      <x:c r="X182" s="40" t="n">
        <x:f>IF(Inputs!$C$27="ON",1,0)*(Inputs!$C$28*EXP(-(((A182)-Inputs!$C$29)^2)/(2*Inputs!$C$31^2))*EXP(-(((0)-Inputs!$C$30)^2)/(2*Inputs!$C$32^2))+-Inputs!$C$33*EXP(-(((((A182)-Inputs!$C$34)^2)+(((0)-Inputs!$C$35)^2))/(2*Inputs!$C$36^2)))+Inputs!$C$37*(0.55*SIN(2*PI()*(A182)/Inputs!$C$39)+0.35*COS(2*PI()*(0)/Inputs!$C$40)+0.2*SIN(2*PI()*((A182)+(0))/(0.5*(Inputs!$C$39+Inputs!$C$40))))+Inputs!$C$38*SIN(2*PI()*(A182)/Inputs!$C$39)*SIN(2*PI()*(0)/Inputs!$C$40)+-Inputs!$C$41*EXP(-(((0)-Inputs!$C$43)^2)/(2*Inputs!$C$44^2))*EXP(-(((A182)-Inputs!$C$42)^2)/(2*Inputs!$C$45^2)))</x:f>
        <x:v>-14.231711016514744</x:v>
      </x:c>
      <x:c r="Y182" s="40" t="n">
        <x:f>IF(Inputs!$C$27="ON",1,0)*(Inputs!$C$28*EXP(-(((A182)-Inputs!$C$29)^2)/(2*Inputs!$C$31^2))*EXP(-(((Inputs!$C$6)-Inputs!$C$30)^2)/(2*Inputs!$C$32^2))+-Inputs!$C$33*EXP(-(((((A182)-Inputs!$C$34)^2)+(((Inputs!$C$6)-Inputs!$C$35)^2))/(2*Inputs!$C$36^2)))+Inputs!$C$37*(0.55*SIN(2*PI()*(A182)/Inputs!$C$39)+0.35*COS(2*PI()*(Inputs!$C$6)/Inputs!$C$40)+0.2*SIN(2*PI()*((A182)+(Inputs!$C$6))/(0.5*(Inputs!$C$39+Inputs!$C$40))))+Inputs!$C$38*SIN(2*PI()*(A182)/Inputs!$C$39)*SIN(2*PI()*(Inputs!$C$6)/Inputs!$C$40)+-Inputs!$C$41*EXP(-(((Inputs!$C$6)-Inputs!$C$43)^2)/(2*Inputs!$C$44^2))*EXP(-(((A182)-Inputs!$C$42)^2)/(2*Inputs!$C$45^2)))</x:f>
        <x:v>122.56957126874944</x:v>
      </x:c>
      <x:c r="Z182" s="40" t="n">
        <x:f>B182-X182/1000</x:f>
        <x:v>401.0142317110165</x:v>
      </x:c>
      <x:c r="AA182" s="40" t="n">
        <x:f>SQRT(A182^2+Inputs!$C$6^2+(B182-Y182/1000)^2)</x:f>
        <x:v>402.7750168855341</x:v>
      </x:c>
      <x:c r="AB182" s="40" t="n">
        <x:f>(AA182-Z182)*1000</x:f>
        <x:v>1760.7851745175935</x:v>
      </x:c>
      <x:c r="AC182" s="40" t="n">
        <x:f>AB182/Inputs!$C$12</x:f>
        <x:v>989.2051542233671</x:v>
      </x:c>
      <x:c r="AD182" s="40" t="n">
        <x:f>2*AB182/Inputs!$C$21*1000000</x:f>
        <x:v>11.746694271525627</x:v>
      </x:c>
      <x:c r="AE182" s="40" t="n">
        <x:f>DEGREES(ATAN(H182/(B182-Y182/1000)))</x:f>
        <x:v>5.563880688730012</x:v>
      </x:c>
      <x:c r="AF182" s="40" t="n">
        <x:f>DEGREES((2*PI()/Inputs!$C$13)*Inputs!$C$15*SIN(RADIANS(AE182)))</x:f>
        <x:v>34.90397573647744</x:v>
      </x:c>
      <x:c r="AG182" s="40" t="n">
        <x:f>(Z182/AA182)^4</x:f>
        <x:v>0.9826277951592725</x:v>
      </x:c>
      <x:c r="AH182" s="40" t="n">
        <x:f>10*LOG10(AG182)</x:f>
        <x:v>-0.0761095533088714</x:v>
      </x:c>
      <x:c r="AI182" s="40" t="n">
        <x:f>AC182-F182</x:f>
        <x:v>-76.53033584369564</x:v>
      </x:c>
      <x:c r="AJ182" s="40" t="n">
        <x:f>AD182-G182</x:f>
        <x:v>-0.9087886914205043</x:v>
      </x:c>
      <x:c r="AK182" s="40" t="n">
        <x:f>Y182-X182</x:f>
        <x:v>136.8012822852642</x:v>
      </x:c>
      <x:c r="AL182" s="40" t="n">
        <x:f>1000*(AA183-AA181)/(A183-A181)*Inputs!$C$11</x:f>
        <x:v>644.139640246749</x:v>
      </x:c>
      <x:c r="AM182" s="40" t="n">
        <x:f>-2*AL182/Inputs!$C$13</x:f>
        <x:v>-257.6558560986996</x:v>
      </x:c>
      <x:c r="AN182" s="40" t="n">
        <x:f>-2*AL182/Inputs!$C$14</x:f>
        <x:v>-38.68706548028523</x:v>
      </x:c>
      <x:c r="AO182" s="40" t="n">
        <x:f>ABS(AM182)</x:f>
        <x:v>257.6558560986996</x:v>
      </x:c>
      <x:c r="AP182" s="40" t="n">
        <x:f>ABS(AN182)</x:f>
        <x:v>38.68706548028523</x:v>
      </x:c>
      <x:c r="AQ182" s="40" t="n">
        <x:f>IF(Inputs!$C$27="ON",Inputs!$C$46/Inputs!$C$12,0)</x:f>
        <x:v>42.13483146067416</x:v>
      </x:c>
      <x:c r="AR182" s="40" t="n">
        <x:f>AC182-AQ182</x:f>
        <x:v>947.070322762693</x:v>
      </x:c>
      <x:c r="AS182" s="40" t="n">
        <x:f>AC182+AQ182</x:f>
        <x:v>1031.3399856840413</x:v>
      </x:c>
    </x:row>
    <x:row r="183">
      <x:c r="A183" s="40" t="n">
        <x:f>Inputs!$C$7+181*(Inputs!$C$8-Inputs!$C$7)/240</x:f>
        <x:v>30.5</x:v>
      </x:c>
      <x:c r="B183" s="40" t="n">
        <x:f>Inputs!$C$5+Inputs!$C$9*(A183/Inputs!$C$10)^2</x:f>
        <x:v>401.0336111111111</x:v>
      </x:c>
      <x:c r="C183" s="40" t="n">
        <x:f>B183</x:f>
        <x:v>401.0336111111111</x:v>
      </x:c>
      <x:c r="D183" s="40" t="n">
        <x:f>SQRT(A183^2+Inputs!$C$6^2+B183^2)</x:f>
        <x:v>402.9679977874396</x:v>
      </x:c>
      <x:c r="E183" s="40" t="n">
        <x:f>(D183-C183)*1000</x:f>
        <x:v>1934.3866763284723</x:v>
      </x:c>
      <x:c r="F183" s="40" t="n">
        <x:f>E183/Inputs!$C$12</x:f>
        <x:v>1086.7340878249845</x:v>
      </x:c>
      <x:c r="G183" s="40" t="n">
        <x:f>2*E183/Inputs!$C$21*1000000</x:f>
        <x:v>12.904838829057349</x:v>
      </x:c>
      <x:c r="H183" s="40" t="n">
        <x:f>SQRT(A183^2+Inputs!$C$6^2)</x:f>
        <x:v>39.436658073421995</x:v>
      </x:c>
      <x:c r="I183" s="40" t="n">
        <x:f>DEGREES(ATAN(H183/B183))</x:f>
        <x:v>5.616268744710343</x:v>
      </x:c>
      <x:c r="J183" s="40" t="n">
        <x:f>DEGREES((2*PI()/Inputs!$C$13)*Inputs!$C$15*SIN(RADIANS(I183)))</x:f>
        <x:v>35.23157418054016</x:v>
      </x:c>
      <x:c r="K183" s="40" t="n">
        <x:f>(C183/D183)^4</x:f>
        <x:v>0.9809364255831229</x:v>
      </x:c>
      <x:c r="L183" s="40" t="n">
        <x:f>10*LOG10(K183)</x:f>
        <x:v>-0.0835913830111392</x:v>
      </x:c>
      <x:c r="M183" s="40" t="n">
        <x:f>2*(Inputs!$C$9/(Inputs!$C$10^2))*A183</x:f>
        <x:v>0.06777777777777778</x:v>
      </x:c>
      <x:c r="N183" s="40" t="n">
        <x:f>M183*Inputs!$C$11</x:f>
        <x:v>0.27111111111111114</x:v>
      </x:c>
      <x:c r="O183" s="40" t="n">
        <x:f>1000*((A183*Inputs!$C$11)+(B183*N183))/D183</x:f>
        <x:v>572.5632535786101</x:v>
      </x:c>
      <x:c r="P183" s="40" t="n">
        <x:f>-2*O183/Inputs!$C$13</x:f>
        <x:v>-229.02530143144403</x:v>
      </x:c>
      <x:c r="Q183" s="40" t="n">
        <x:f>-2*O183/Inputs!$C$14</x:f>
        <x:v>-34.38818339811473</x:v>
      </x:c>
      <x:c r="R183" s="40" t="n">
        <x:f>F183-Inputs!$C$16/2</x:f>
        <x:v>1071.7340878249845</x:v>
      </x:c>
      <x:c r="S183" s="40" t="n">
        <x:f>F183+Inputs!$C$16/2</x:f>
        <x:v>1101.7340878249845</x:v>
      </x:c>
      <x:c r="T183" s="40" t="n">
        <x:f>F183-Inputs!$C$17/2</x:f>
        <x:v>936.7340878249845</x:v>
      </x:c>
      <x:c r="U183" s="40" t="n">
        <x:f>F183+Inputs!$C$17/2</x:f>
        <x:v>1236.7340878249845</x:v>
      </x:c>
      <x:c r="V183" s="40" t="n">
        <x:f>ABS(P183)</x:f>
        <x:v>229.02530143144403</x:v>
      </x:c>
      <x:c r="W183" s="40" t="n">
        <x:f>ABS(Q183)</x:f>
        <x:v>34.38818339811473</x:v>
      </x:c>
      <x:c r="X183" s="40" t="n">
        <x:f>IF(Inputs!$C$27="ON",1,0)*(Inputs!$C$28*EXP(-(((A183)-Inputs!$C$29)^2)/(2*Inputs!$C$31^2))*EXP(-(((0)-Inputs!$C$30)^2)/(2*Inputs!$C$32^2))+-Inputs!$C$33*EXP(-(((((A183)-Inputs!$C$34)^2)+(((0)-Inputs!$C$35)^2))/(2*Inputs!$C$36^2)))+Inputs!$C$37*(0.55*SIN(2*PI()*(A183)/Inputs!$C$39)+0.35*COS(2*PI()*(0)/Inputs!$C$40)+0.2*SIN(2*PI()*((A183)+(0))/(0.5*(Inputs!$C$39+Inputs!$C$40))))+Inputs!$C$38*SIN(2*PI()*(A183)/Inputs!$C$39)*SIN(2*PI()*(0)/Inputs!$C$40)+-Inputs!$C$41*EXP(-(((0)-Inputs!$C$43)^2)/(2*Inputs!$C$44^2))*EXP(-(((A183)-Inputs!$C$42)^2)/(2*Inputs!$C$45^2)))</x:f>
        <x:v>-14.124531372914369</x:v>
      </x:c>
      <x:c r="Y183" s="40" t="n">
        <x:f>IF(Inputs!$C$27="ON",1,0)*(Inputs!$C$28*EXP(-(((A183)-Inputs!$C$29)^2)/(2*Inputs!$C$31^2))*EXP(-(((Inputs!$C$6)-Inputs!$C$30)^2)/(2*Inputs!$C$32^2))+-Inputs!$C$33*EXP(-(((((A183)-Inputs!$C$34)^2)+(((Inputs!$C$6)-Inputs!$C$35)^2))/(2*Inputs!$C$36^2)))+Inputs!$C$37*(0.55*SIN(2*PI()*(A183)/Inputs!$C$39)+0.35*COS(2*PI()*(Inputs!$C$6)/Inputs!$C$40)+0.2*SIN(2*PI()*((A183)+(Inputs!$C$6))/(0.5*(Inputs!$C$39+Inputs!$C$40))))+Inputs!$C$38*SIN(2*PI()*(A183)/Inputs!$C$39)*SIN(2*PI()*(Inputs!$C$6)/Inputs!$C$40)+-Inputs!$C$41*EXP(-(((Inputs!$C$6)-Inputs!$C$43)^2)/(2*Inputs!$C$44^2))*EXP(-(((A183)-Inputs!$C$42)^2)/(2*Inputs!$C$45^2)))</x:f>
        <x:v>113.3884169833957</x:v>
      </x:c>
      <x:c r="Z183" s="40" t="n">
        <x:f>B183-X183/1000</x:f>
        <x:v>401.04773564248404</x:v>
      </x:c>
      <x:c r="AA183" s="40" t="n">
        <x:f>SQRT(A183^2+Inputs!$C$6^2+(B183-Y183/1000)^2)</x:f>
        <x:v>402.85515382716517</x:v>
      </x:c>
      <x:c r="AB183" s="40" t="n">
        <x:f>(AA183-Z183)*1000</x:f>
        <x:v>1807.4181846811257</x:v>
      </x:c>
      <x:c r="AC183" s="40" t="n">
        <x:f>AB183/Inputs!$C$12</x:f>
        <x:v>1015.4034745399582</x:v>
      </x:c>
      <x:c r="AD183" s="40" t="n">
        <x:f>2*AB183/Inputs!$C$21*1000000</x:f>
        <x:v>12.057796228356924</x:v>
      </x:c>
      <x:c r="AE183" s="40" t="n">
        <x:f>DEGREES(ATAN(H183/(B183-Y183/1000)))</x:f>
        <x:v>5.61784698071966</x:v>
      </x:c>
      <x:c r="AF183" s="40" t="n">
        <x:f>DEGREES((2*PI()/Inputs!$C$13)*Inputs!$C$15*SIN(RADIANS(AE183)))</x:f>
        <x:v>35.241442914549054</x:v>
      </x:c>
      <x:c r="AG183" s="40" t="n">
        <x:f>(Z183/AA183)^4</x:f>
        <x:v>0.982174327639812</x:v>
      </x:c>
      <x:c r="AH183" s="40" t="n">
        <x:f>10*LOG10(AG183)</x:f>
        <x:v>-0.0781142177240359</x:v>
      </x:c>
      <x:c r="AI183" s="40" t="n">
        <x:f>AC183-F183</x:f>
        <x:v>-71.33061328502629</x:v>
      </x:c>
      <x:c r="AJ183" s="40" t="n">
        <x:f>AD183-G183</x:f>
        <x:v>-0.8470426007004246</x:v>
      </x:c>
      <x:c r="AK183" s="40" t="n">
        <x:f>Y183-X183</x:f>
        <x:v>127.51294835631006</x:v>
      </x:c>
      <x:c r="AL183" s="40" t="n">
        <x:f>1000*(AA184-AA182)/(A184-A182)*Inputs!$C$11</x:f>
        <x:v>637.3746298036167</x:v>
      </x:c>
      <x:c r="AM183" s="40" t="n">
        <x:f>-2*AL183/Inputs!$C$13</x:f>
        <x:v>-254.94985192144668</x:v>
      </x:c>
      <x:c r="AN183" s="40" t="n">
        <x:f>-2*AL183/Inputs!$C$14</x:f>
        <x:v>-38.28075854676377</x:v>
      </x:c>
      <x:c r="AO183" s="40" t="n">
        <x:f>ABS(AM183)</x:f>
        <x:v>254.94985192144668</x:v>
      </x:c>
      <x:c r="AP183" s="40" t="n">
        <x:f>ABS(AN183)</x:f>
        <x:v>38.28075854676377</x:v>
      </x:c>
      <x:c r="AQ183" s="40" t="n">
        <x:f>IF(Inputs!$C$27="ON",Inputs!$C$46/Inputs!$C$12,0)</x:f>
        <x:v>42.13483146067416</x:v>
      </x:c>
      <x:c r="AR183" s="40" t="n">
        <x:f>AC183-AQ183</x:f>
        <x:v>973.2686430792841</x:v>
      </x:c>
      <x:c r="AS183" s="40" t="n">
        <x:f>AC183+AQ183</x:f>
        <x:v>1057.5383060006325</x:v>
      </x:c>
    </x:row>
    <x:row r="184">
      <x:c r="A184" s="40" t="n">
        <x:f>Inputs!$C$7+182*(Inputs!$C$8-Inputs!$C$7)/240</x:f>
        <x:v>31</x:v>
      </x:c>
      <x:c r="B184" s="40" t="n">
        <x:f>Inputs!$C$5+Inputs!$C$9*(A184/Inputs!$C$10)^2</x:f>
        <x:v>401.0677777777778</x:v>
      </x:c>
      <x:c r="C184" s="40" t="n">
        <x:f>B184</x:f>
        <x:v>401.0677777777778</x:v>
      </x:c>
      <x:c r="D184" s="40" t="n">
        <x:f>SQRT(A184^2+Inputs!$C$6^2+B184^2)</x:f>
        <x:v>403.040149825802</x:v>
      </x:c>
      <x:c r="E184" s="40" t="n">
        <x:f>(D184-C184)*1000</x:f>
        <x:v>1972.3720480242264</x:v>
      </x:c>
      <x:c r="F184" s="40" t="n">
        <x:f>E184/Inputs!$C$12</x:f>
        <x:v>1108.0741842832733</x:v>
      </x:c>
      <x:c r="G184" s="40" t="n">
        <x:f>2*E184/Inputs!$C$21*1000000</x:f>
        <x:v>13.158249951866544</x:v>
      </x:c>
      <x:c r="H184" s="40" t="n">
        <x:f>SQRT(A184^2+Inputs!$C$6^2)</x:f>
        <x:v>39.824615503479755</x:v>
      </x:c>
      <x:c r="I184" s="40" t="n">
        <x:f>DEGREES(ATAN(H184/B184))</x:f>
        <x:v>5.670680298867937</x:v>
      </x:c>
      <x:c r="J184" s="40" t="n">
        <x:f>DEGREES((2*PI()/Inputs!$C$13)*Inputs!$C$15*SIN(RADIANS(I184)))</x:f>
        <x:v>35.57179498729654</x:v>
      </x:c>
      <x:c r="K184" s="40" t="n">
        <x:f>(C184/D184)^4</x:f>
        <x:v>0.9805682801090831</x:v>
      </x:c>
      <x:c r="L184" s="40" t="n">
        <x:f>10*LOG10(K184)</x:f>
        <x:v>-0.0852215962788054</x:v>
      </x:c>
      <x:c r="M184" s="40" t="n">
        <x:f>2*(Inputs!$C$9/(Inputs!$C$10^2))*A184</x:f>
        <x:v>0.06888888888888889</x:v>
      </x:c>
      <x:c r="N184" s="40" t="n">
        <x:f>M184*Inputs!$C$11</x:f>
        <x:v>0.27555555555555555</x:v>
      </x:c>
      <x:c r="O184" s="40" t="n">
        <x:f>1000*((A184*Inputs!$C$11)+(B184*N184))/D184</x:f>
        <x:v>581.8687156164169</x:v>
      </x:c>
      <x:c r="P184" s="40" t="n">
        <x:f>-2*O184/Inputs!$C$13</x:f>
        <x:v>-232.74748624656678</x:v>
      </x:c>
      <x:c r="Q184" s="40" t="n">
        <x:f>-2*O184/Inputs!$C$14</x:f>
        <x:v>-34.94707000699201</x:v>
      </x:c>
      <x:c r="R184" s="40" t="n">
        <x:f>F184-Inputs!$C$16/2</x:f>
        <x:v>1093.0741842832733</x:v>
      </x:c>
      <x:c r="S184" s="40" t="n">
        <x:f>F184+Inputs!$C$16/2</x:f>
        <x:v>1123.0741842832733</x:v>
      </x:c>
      <x:c r="T184" s="40" t="n">
        <x:f>F184-Inputs!$C$17/2</x:f>
        <x:v>958.0741842832733</x:v>
      </x:c>
      <x:c r="U184" s="40" t="n">
        <x:f>F184+Inputs!$C$17/2</x:f>
        <x:v>1258.0741842832733</x:v>
      </x:c>
      <x:c r="V184" s="40" t="n">
        <x:f>ABS(P184)</x:f>
        <x:v>232.74748624656678</x:v>
      </x:c>
      <x:c r="W184" s="40" t="n">
        <x:f>ABS(Q184)</x:f>
        <x:v>34.94707000699201</x:v>
      </x:c>
      <x:c r="X184" s="40" t="n">
        <x:f>IF(Inputs!$C$27="ON",1,0)*(Inputs!$C$28*EXP(-(((A184)-Inputs!$C$29)^2)/(2*Inputs!$C$31^2))*EXP(-(((0)-Inputs!$C$30)^2)/(2*Inputs!$C$32^2))+-Inputs!$C$33*EXP(-(((((A184)-Inputs!$C$34)^2)+(((0)-Inputs!$C$35)^2))/(2*Inputs!$C$36^2)))+Inputs!$C$37*(0.55*SIN(2*PI()*(A184)/Inputs!$C$39)+0.35*COS(2*PI()*(0)/Inputs!$C$40)+0.2*SIN(2*PI()*((A184)+(0))/(0.5*(Inputs!$C$39+Inputs!$C$40))))+Inputs!$C$38*SIN(2*PI()*(A184)/Inputs!$C$39)*SIN(2*PI()*(0)/Inputs!$C$40)+-Inputs!$C$41*EXP(-(((0)-Inputs!$C$43)^2)/(2*Inputs!$C$44^2))*EXP(-(((A184)-Inputs!$C$42)^2)/(2*Inputs!$C$45^2)))</x:f>
        <x:v>-13.113952107658134</x:v>
      </x:c>
      <x:c r="Y184" s="40" t="n">
        <x:f>IF(Inputs!$C$27="ON",1,0)*(Inputs!$C$28*EXP(-(((A184)-Inputs!$C$29)^2)/(2*Inputs!$C$31^2))*EXP(-(((Inputs!$C$6)-Inputs!$C$30)^2)/(2*Inputs!$C$32^2))+-Inputs!$C$33*EXP(-(((((A184)-Inputs!$C$34)^2)+(((Inputs!$C$6)-Inputs!$C$35)^2))/(2*Inputs!$C$36^2)))+Inputs!$C$37*(0.55*SIN(2*PI()*(A184)/Inputs!$C$39)+0.35*COS(2*PI()*(Inputs!$C$6)/Inputs!$C$40)+0.2*SIN(2*PI()*((A184)+(Inputs!$C$6))/(0.5*(Inputs!$C$39+Inputs!$C$40))))+Inputs!$C$38*SIN(2*PI()*(A184)/Inputs!$C$39)*SIN(2*PI()*(Inputs!$C$6)/Inputs!$C$40)+-Inputs!$C$41*EXP(-(((Inputs!$C$6)-Inputs!$C$43)^2)/(2*Inputs!$C$44^2))*EXP(-(((A184)-Inputs!$C$42)^2)/(2*Inputs!$C$45^2)))</x:f>
        <x:v>106.30967119743309</x:v>
      </x:c>
      <x:c r="Z184" s="40" t="n">
        <x:f>B184-X184/1000</x:f>
        <x:v>401.0808917298854</x:v>
      </x:c>
      <x:c r="AA184" s="40" t="n">
        <x:f>SQRT(A184^2+Inputs!$C$6^2+(B184-Y184/1000)^2)</x:f>
        <x:v>402.934360542985</x:v>
      </x:c>
      <x:c r="AB184" s="40" t="n">
        <x:f>(AA184-Z184)*1000</x:f>
        <x:v>1853.468813099596</x:v>
      </x:c>
      <x:c r="AC184" s="40" t="n">
        <x:f>AB184/Inputs!$C$12</x:f>
        <x:v>1041.2746141008965</x:v>
      </x:c>
      <x:c r="AD184" s="40" t="n">
        <x:f>2*AB184/Inputs!$C$21*1000000</x:f>
        <x:v>12.36501295239119</x:v>
      </x:c>
      <x:c r="AE184" s="40" t="n">
        <x:f>DEGREES(ATAN(H184/(B184-Y184/1000)))</x:f>
        <x:v>5.6721740023159795</x:v>
      </x:c>
      <x:c r="AF184" s="40" t="n">
        <x:f>DEGREES((2*PI()/Inputs!$C$13)*Inputs!$C$15*SIN(RADIANS(AE184)))</x:f>
        <x:v>35.58113426199912</x:v>
      </x:c>
      <x:c r="AG184" s="40" t="n">
        <x:f>(Z184/AA184)^4</x:f>
        <x:v>0.9817268574398962</x:v>
      </x:c>
      <x:c r="AH184" s="40" t="n">
        <x:f>10*LOG10(AG184)</x:f>
        <x:v>-0.0800932769911613</x:v>
      </x:c>
      <x:c r="AI184" s="40" t="n">
        <x:f>AC184-F184</x:f>
        <x:v>-66.79957018237678</x:v>
      </x:c>
      <x:c r="AJ184" s="40" t="n">
        <x:f>AD184-G184</x:f>
        <x:v>-0.7932369994753543</x:v>
      </x:c>
      <x:c r="AK184" s="40" t="n">
        <x:f>Y184-X184</x:f>
        <x:v>119.42362330509123</x:v>
      </x:c>
      <x:c r="AL184" s="40" t="n">
        <x:f>1000*(AA185-AA183)/(A185-A183)*Inputs!$C$11</x:f>
        <x:v>629.534658514558</x:v>
      </x:c>
      <x:c r="AM184" s="40" t="n">
        <x:f>-2*AL184/Inputs!$C$13</x:f>
        <x:v>-251.8138634058232</x:v>
      </x:c>
      <x:c r="AN184" s="40" t="n">
        <x:f>-2*AL184/Inputs!$C$14</x:f>
        <x:v>-37.80988940027376</x:v>
      </x:c>
      <x:c r="AO184" s="40" t="n">
        <x:f>ABS(AM184)</x:f>
        <x:v>251.8138634058232</x:v>
      </x:c>
      <x:c r="AP184" s="40" t="n">
        <x:f>ABS(AN184)</x:f>
        <x:v>37.80988940027376</x:v>
      </x:c>
      <x:c r="AQ184" s="40" t="n">
        <x:f>IF(Inputs!$C$27="ON",Inputs!$C$46/Inputs!$C$12,0)</x:f>
        <x:v>42.13483146067416</x:v>
      </x:c>
      <x:c r="AR184" s="40" t="n">
        <x:f>AC184-AQ184</x:f>
        <x:v>999.1397826402224</x:v>
      </x:c>
      <x:c r="AS184" s="40" t="n">
        <x:f>AC184+AQ184</x:f>
        <x:v>1083.4094455615707</x:v>
      </x:c>
    </x:row>
    <x:row r="185">
      <x:c r="A185" s="40" t="n">
        <x:f>Inputs!$C$7+183*(Inputs!$C$8-Inputs!$C$7)/240</x:f>
        <x:v>31.5</x:v>
      </x:c>
      <x:c r="B185" s="40" t="n">
        <x:f>Inputs!$C$5+Inputs!$C$9*(A185/Inputs!$C$10)^2</x:f>
        <x:v>401.1025</x:v>
      </x:c>
      <x:c r="C185" s="40" t="n">
        <x:f>B185</x:f>
        <x:v>401.1025</x:v>
      </x:c>
      <x:c r="D185" s="40" t="n">
        <x:f>SQRT(A185^2+Inputs!$C$6^2+B185^2)</x:f>
        <x:v>403.11346480395565</x:v>
      </x:c>
      <x:c r="E185" s="40" t="n">
        <x:f>(D185-C185)*1000</x:f>
        <x:v>2010.9648039556305</x:v>
      </x:c>
      <x:c r="F185" s="40" t="n">
        <x:f>E185/Inputs!$C$12</x:f>
        <x:v>1129.7555078402418</x:v>
      </x:c>
      <x:c r="G185" s="40" t="n">
        <x:f>2*E185/Inputs!$C$21*1000000</x:f>
        <x:v>13.415713106135783</x:v>
      </x:c>
      <x:c r="H185" s="40" t="n">
        <x:f>SQRT(A185^2+Inputs!$C$6^2)</x:f>
        <x:v>40.21504693519579</x:v>
      </x:c>
      <x:c r="I185" s="40" t="n">
        <x:f>DEGREES(ATAN(H185/B185))</x:f>
        <x:v>5.725414332711808</x:v>
      </x:c>
      <x:c r="J185" s="40" t="n">
        <x:f>DEGREES((2*PI()/Inputs!$C$13)*Inputs!$C$15*SIN(RADIANS(I185)))</x:f>
        <x:v>35.91399980576492</x:v>
      </x:c>
      <x:c r="K185" s="40" t="n">
        <x:f>(C185/D185)^4</x:f>
        <x:v>0.9801944894959806</x:v>
      </x:c>
      <x:c r="L185" s="40" t="n">
        <x:f>10*LOG10(K185)</x:f>
        <x:v>-0.0868774335390861</x:v>
      </x:c>
      <x:c r="M185" s="40" t="n">
        <x:f>2*(Inputs!$C$9/(Inputs!$C$10^2))*A185</x:f>
        <x:v>0.07</x:v>
      </x:c>
      <x:c r="N185" s="40" t="n">
        <x:f>M185*Inputs!$C$11</x:f>
        <x:v>0.28</x:v>
      </x:c>
      <x:c r="O185" s="40" t="n">
        <x:f>1000*((A185*Inputs!$C$11)+(B185*N185))/D185</x:f>
        <x:v>591.1702803474839</x:v>
      </x:c>
      <x:c r="P185" s="40" t="n">
        <x:f>-2*O185/Inputs!$C$13</x:f>
        <x:v>-236.46811213899355</x:v>
      </x:c>
      <x:c r="Q185" s="40" t="n">
        <x:f>-2*O185/Inputs!$C$14</x:f>
        <x:v>-35.50572254339243</x:v>
      </x:c>
      <x:c r="R185" s="40" t="n">
        <x:f>F185-Inputs!$C$16/2</x:f>
        <x:v>1114.7555078402418</x:v>
      </x:c>
      <x:c r="S185" s="40" t="n">
        <x:f>F185+Inputs!$C$16/2</x:f>
        <x:v>1144.7555078402418</x:v>
      </x:c>
      <x:c r="T185" s="40" t="n">
        <x:f>F185-Inputs!$C$17/2</x:f>
        <x:v>979.7555078402418</x:v>
      </x:c>
      <x:c r="U185" s="40" t="n">
        <x:f>F185+Inputs!$C$17/2</x:f>
        <x:v>1279.7555078402418</x:v>
      </x:c>
      <x:c r="V185" s="40" t="n">
        <x:f>ABS(P185)</x:f>
        <x:v>236.46811213899355</x:v>
      </x:c>
      <x:c r="W185" s="40" t="n">
        <x:f>ABS(Q185)</x:f>
        <x:v>35.50572254339243</x:v>
      </x:c>
      <x:c r="X185" s="40" t="n">
        <x:f>IF(Inputs!$C$27="ON",1,0)*(Inputs!$C$28*EXP(-(((A185)-Inputs!$C$29)^2)/(2*Inputs!$C$31^2))*EXP(-(((0)-Inputs!$C$30)^2)/(2*Inputs!$C$32^2))+-Inputs!$C$33*EXP(-(((((A185)-Inputs!$C$34)^2)+(((0)-Inputs!$C$35)^2))/(2*Inputs!$C$36^2)))+Inputs!$C$37*(0.55*SIN(2*PI()*(A185)/Inputs!$C$39)+0.35*COS(2*PI()*(0)/Inputs!$C$40)+0.2*SIN(2*PI()*((A185)+(0))/(0.5*(Inputs!$C$39+Inputs!$C$40))))+Inputs!$C$38*SIN(2*PI()*(A185)/Inputs!$C$39)*SIN(2*PI()*(0)/Inputs!$C$40)+-Inputs!$C$41*EXP(-(((0)-Inputs!$C$43)^2)/(2*Inputs!$C$44^2))*EXP(-(((A185)-Inputs!$C$42)^2)/(2*Inputs!$C$45^2)))</x:f>
        <x:v>-11.263950391329796</x:v>
      </x:c>
      <x:c r="Y185" s="40" t="n">
        <x:f>IF(Inputs!$C$27="ON",1,0)*(Inputs!$C$28*EXP(-(((A185)-Inputs!$C$29)^2)/(2*Inputs!$C$31^2))*EXP(-(((Inputs!$C$6)-Inputs!$C$30)^2)/(2*Inputs!$C$32^2))+-Inputs!$C$33*EXP(-(((((A185)-Inputs!$C$34)^2)+(((Inputs!$C$6)-Inputs!$C$35)^2))/(2*Inputs!$C$36^2)))+Inputs!$C$37*(0.55*SIN(2*PI()*(A185)/Inputs!$C$39)+0.35*COS(2*PI()*(Inputs!$C$6)/Inputs!$C$40)+0.2*SIN(2*PI()*((A185)+(Inputs!$C$6))/(0.5*(Inputs!$C$39+Inputs!$C$40))))+Inputs!$C$38*SIN(2*PI()*(A185)/Inputs!$C$39)*SIN(2*PI()*(Inputs!$C$6)/Inputs!$C$40)+-Inputs!$C$41*EXP(-(((Inputs!$C$6)-Inputs!$C$43)^2)/(2*Inputs!$C$44^2))*EXP(-(((A185)-Inputs!$C$42)^2)/(2*Inputs!$C$45^2)))</x:f>
        <x:v>101.43344833297084</x:v>
      </x:c>
      <x:c r="Z185" s="40" t="n">
        <x:f>B185-X185/1000</x:f>
        <x:v>401.11376395039133</x:v>
      </x:c>
      <x:c r="AA185" s="40" t="n">
        <x:f>SQRT(A185^2+Inputs!$C$6^2+(B185-Y185/1000)^2)</x:f>
        <x:v>403.0125374917938</x:v>
      </x:c>
      <x:c r="AB185" s="40" t="n">
        <x:f>(AA185-Z185)*1000</x:f>
        <x:v>1898.773541402477</x:v>
      </x:c>
      <x:c r="AC185" s="40" t="n">
        <x:f>AB185/Inputs!$C$12</x:f>
        <x:v>1066.726708653077</x:v>
      </x:c>
      <x:c r="AD185" s="40" t="n">
        <x:f>2*AB185/Inputs!$C$21*1000000</x:f>
        <x:v>12.667253566482161</x:v>
      </x:c>
      <x:c r="AE185" s="40" t="n">
        <x:f>DEGREES(ATAN(H185/(B185-Y185/1000)))</x:f>
        <x:v>5.726852954192526</x:v>
      </x:c>
      <x:c r="AF185" s="40" t="n">
        <x:f>DEGREES((2*PI()/Inputs!$C$13)*Inputs!$C$15*SIN(RADIANS(AE185)))</x:f>
        <x:v>35.92299382737013</x:v>
      </x:c>
      <x:c r="AG185" s="40" t="n">
        <x:f>(Z185/AA185)^4</x:f>
        <x:v>0.9812869675344977</x:v>
      </x:c>
      <x:c r="AH185" s="40" t="n">
        <x:f>10*LOG10(AG185)</x:f>
        <x:v>-0.08203968979097699</x:v>
      </x:c>
      <x:c r="AI185" s="40" t="n">
        <x:f>AC185-F185</x:f>
        <x:v>-63.02879918716485</x:v>
      </x:c>
      <x:c r="AJ185" s="40" t="n">
        <x:f>AD185-G185</x:f>
        <x:v>-0.7484595396536218</x:v>
      </x:c>
      <x:c r="AK185" s="40" t="n">
        <x:f>Y185-X185</x:f>
        <x:v>112.69739872430064</x:v>
      </x:c>
      <x:c r="AL185" s="40" t="n">
        <x:f>1000*(AA186-AA184)/(A186-A184)*Inputs!$C$11</x:f>
        <x:v>621.1899901718425</x:v>
      </x:c>
      <x:c r="AM185" s="40" t="n">
        <x:f>-2*AL185/Inputs!$C$13</x:f>
        <x:v>-248.475996068737</x:v>
      </x:c>
      <x:c r="AN185" s="40" t="n">
        <x:f>-2*AL185/Inputs!$C$14</x:f>
        <x:v>-37.30870811842898</x:v>
      </x:c>
      <x:c r="AO185" s="40" t="n">
        <x:f>ABS(AM185)</x:f>
        <x:v>248.475996068737</x:v>
      </x:c>
      <x:c r="AP185" s="40" t="n">
        <x:f>ABS(AN185)</x:f>
        <x:v>37.30870811842898</x:v>
      </x:c>
      <x:c r="AQ185" s="40" t="n">
        <x:f>IF(Inputs!$C$27="ON",Inputs!$C$46/Inputs!$C$12,0)</x:f>
        <x:v>42.13483146067416</x:v>
      </x:c>
      <x:c r="AR185" s="40" t="n">
        <x:f>AC185-AQ185</x:f>
        <x:v>1024.5918771924028</x:v>
      </x:c>
      <x:c r="AS185" s="40" t="n">
        <x:f>AC185+AQ185</x:f>
        <x:v>1108.861540113751</x:v>
      </x:c>
    </x:row>
    <x:row r="186">
      <x:c r="A186" s="40" t="n">
        <x:f>Inputs!$C$7+184*(Inputs!$C$8-Inputs!$C$7)/240</x:f>
        <x:v>32</x:v>
      </x:c>
      <x:c r="B186" s="40" t="n">
        <x:f>Inputs!$C$5+Inputs!$C$9*(A186/Inputs!$C$10)^2</x:f>
        <x:v>401.1377777777778</x:v>
      </x:c>
      <x:c r="C186" s="40" t="n">
        <x:f>B186</x:f>
        <x:v>401.1377777777778</x:v>
      </x:c>
      <x:c r="D186" s="40" t="n">
        <x:f>SQRT(A186^2+Inputs!$C$6^2+B186^2)</x:f>
        <x:v>403.1879422310318</x:v>
      </x:c>
      <x:c r="E186" s="40" t="n">
        <x:f>(D186-C186)*1000</x:f>
        <x:v>2050.1644532540126</x:v>
      </x:c>
      <x:c r="F186" s="40" t="n">
        <x:f>E186/Inputs!$C$12</x:f>
        <x:v>1151.7777827269733</x:v>
      </x:c>
      <x:c r="G186" s="40" t="n">
        <x:f>2*E186/Inputs!$C$21*1000000</x:f>
        <x:v>13.677225017141778</x:v>
      </x:c>
      <x:c r="H186" s="40" t="n">
        <x:f>SQRT(A186^2+Inputs!$C$6^2)</x:f>
        <x:v>40.607881008493905</x:v>
      </x:c>
      <x:c r="I186" s="40" t="n">
        <x:f>DEGREES(ATAN(H186/B186))</x:f>
        <x:v>5.780460156082169</x:v>
      </x:c>
      <x:c r="J186" s="40" t="n">
        <x:f>DEGREES((2*PI()/Inputs!$C$13)*Inputs!$C$15*SIN(RADIANS(I186)))</x:f>
        <x:v>36.25812092039455</x:v>
      </x:c>
      <x:c r="K186" s="40" t="n">
        <x:f>(C186/D186)^4</x:f>
        <x:v>0.9798150697955003</x:v>
      </x:c>
      <x:c r="L186" s="40" t="n">
        <x:f>10*LOG10(K186)</x:f>
        <x:v>-0.0885588527293259</x:v>
      </x:c>
      <x:c r="M186" s="40" t="n">
        <x:f>2*(Inputs!$C$9/(Inputs!$C$10^2))*A186</x:f>
        <x:v>0.07111111111111111</x:v>
      </x:c>
      <x:c r="N186" s="40" t="n">
        <x:f>M186*Inputs!$C$11</x:f>
        <x:v>0.28444444444444444</x:v>
      </x:c>
      <x:c r="O186" s="40" t="n">
        <x:f>1000*((A186*Inputs!$C$11)+(B186*N186))/D186</x:f>
        <x:v>600.4678885137687</x:v>
      </x:c>
      <x:c r="P186" s="40" t="n">
        <x:f>-2*O186/Inputs!$C$13</x:f>
        <x:v>-240.18715540550747</x:v>
      </x:c>
      <x:c r="Q186" s="40" t="n">
        <x:f>-2*O186/Inputs!$C$14</x:f>
        <x:v>-36.0641374482744</x:v>
      </x:c>
      <x:c r="R186" s="40" t="n">
        <x:f>F186-Inputs!$C$16/2</x:f>
        <x:v>1136.7777827269733</x:v>
      </x:c>
      <x:c r="S186" s="40" t="n">
        <x:f>F186+Inputs!$C$16/2</x:f>
        <x:v>1166.7777827269733</x:v>
      </x:c>
      <x:c r="T186" s="40" t="n">
        <x:f>F186-Inputs!$C$17/2</x:f>
        <x:v>1001.7777827269733</x:v>
      </x:c>
      <x:c r="U186" s="40" t="n">
        <x:f>F186+Inputs!$C$17/2</x:f>
        <x:v>1301.7777827269733</x:v>
      </x:c>
      <x:c r="V186" s="40" t="n">
        <x:f>ABS(P186)</x:f>
        <x:v>240.18715540550747</x:v>
      </x:c>
      <x:c r="W186" s="40" t="n">
        <x:f>ABS(Q186)</x:f>
        <x:v>36.0641374482744</x:v>
      </x:c>
      <x:c r="X186" s="40" t="n">
        <x:f>IF(Inputs!$C$27="ON",1,0)*(Inputs!$C$28*EXP(-(((A186)-Inputs!$C$29)^2)/(2*Inputs!$C$31^2))*EXP(-(((0)-Inputs!$C$30)^2)/(2*Inputs!$C$32^2))+-Inputs!$C$33*EXP(-(((((A186)-Inputs!$C$34)^2)+(((0)-Inputs!$C$35)^2))/(2*Inputs!$C$36^2)))+Inputs!$C$37*(0.55*SIN(2*PI()*(A186)/Inputs!$C$39)+0.35*COS(2*PI()*(0)/Inputs!$C$40)+0.2*SIN(2*PI()*((A186)+(0))/(0.5*(Inputs!$C$39+Inputs!$C$40))))+Inputs!$C$38*SIN(2*PI()*(A186)/Inputs!$C$39)*SIN(2*PI()*(0)/Inputs!$C$40)+-Inputs!$C$41*EXP(-(((0)-Inputs!$C$43)^2)/(2*Inputs!$C$44^2))*EXP(-(((A186)-Inputs!$C$42)^2)/(2*Inputs!$C$45^2)))</x:f>
        <x:v>-8.660907442086296</x:v>
      </x:c>
      <x:c r="Y186" s="40" t="n">
        <x:f>IF(Inputs!$C$27="ON",1,0)*(Inputs!$C$28*EXP(-(((A186)-Inputs!$C$29)^2)/(2*Inputs!$C$31^2))*EXP(-(((Inputs!$C$6)-Inputs!$C$30)^2)/(2*Inputs!$C$32^2))+-Inputs!$C$33*EXP(-(((((A186)-Inputs!$C$34)^2)+(((Inputs!$C$6)-Inputs!$C$35)^2))/(2*Inputs!$C$36^2)))+Inputs!$C$37*(0.55*SIN(2*PI()*(A186)/Inputs!$C$39)+0.35*COS(2*PI()*(Inputs!$C$6)/Inputs!$C$40)+0.2*SIN(2*PI()*((A186)+(Inputs!$C$6))/(0.5*(Inputs!$C$39+Inputs!$C$40))))+Inputs!$C$38*SIN(2*PI()*(A186)/Inputs!$C$39)*SIN(2*PI()*(Inputs!$C$6)/Inputs!$C$40)+-Inputs!$C$41*EXP(-(((Inputs!$C$6)-Inputs!$C$43)^2)/(2*Inputs!$C$44^2))*EXP(-(((A186)-Inputs!$C$42)^2)/(2*Inputs!$C$45^2)))</x:f>
        <x:v>98.7866319918729</x:v>
      </x:c>
      <x:c r="Z186" s="40" t="n">
        <x:f>B186-X186/1000</x:f>
        <x:v>401.1464386852199</x:v>
      </x:c>
      <x:c r="AA186" s="40" t="n">
        <x:f>SQRT(A186^2+Inputs!$C$6^2+(B186-Y186/1000)^2)</x:f>
        <x:v>403.089658040528</x:v>
      </x:c>
      <x:c r="AB186" s="40" t="n">
        <x:f>(AA186-Z186)*1000</x:f>
        <x:v>1943.2193553080879</x:v>
      </x:c>
      <x:c r="AC186" s="40" t="n">
        <x:f>AB186/Inputs!$C$12</x:f>
        <x:v>1091.6962670270157</x:v>
      </x:c>
      <x:c r="AD186" s="40" t="n">
        <x:f>2*AB186/Inputs!$C$21*1000000</x:f>
        <x:v>12.963764120497574</x:v>
      </x:c>
      <x:c r="AE186" s="40" t="n">
        <x:f>DEGREES(ATAN(H186/(B186-Y186/1000)))</x:f>
        <x:v>5.781874392276604</x:v>
      </x:c>
      <x:c r="AF186" s="40" t="n">
        <x:f>DEGREES((2*PI()/Inputs!$C$13)*Inputs!$C$15*SIN(RADIANS(AE186)))</x:f>
        <x:v>36.26696163360257</x:v>
      </x:c>
      <x:c r="AG186" s="40" t="n">
        <x:f>(Z186/AA186)^4</x:f>
        <x:v>0.9808557467924541</x:v>
      </x:c>
      <x:c r="AH186" s="40" t="n">
        <x:f>10*LOG10(AG186)</x:f>
        <x:v>-0.083948590610468</x:v>
      </x:c>
      <x:c r="AI186" s="40" t="n">
        <x:f>AC186-F186</x:f>
        <x:v>-60.08151569995766</x:v>
      </x:c>
      <x:c r="AJ186" s="40" t="n">
        <x:f>AD186-G186</x:f>
        <x:v>-0.7134608966442038</x:v>
      </x:c>
      <x:c r="AK186" s="40" t="n">
        <x:f>Y186-X186</x:f>
        <x:v>107.4475394339592</x:v>
      </x:c>
      <x:c r="AL186" s="40" t="n">
        <x:f>1000*(AA187-AA185)/(A187-A185)*Inputs!$C$11</x:f>
        <x:v>612.9267274409358</x:v>
      </x:c>
      <x:c r="AM186" s="40" t="n">
        <x:f>-2*AL186/Inputs!$C$13</x:f>
        <x:v>-245.17069097637432</x:v>
      </x:c>
      <x:c r="AN186" s="40" t="n">
        <x:f>-2*AL186/Inputs!$C$14</x:f>
        <x:v>-36.81241606251867</x:v>
      </x:c>
      <x:c r="AO186" s="40" t="n">
        <x:f>ABS(AM186)</x:f>
        <x:v>245.17069097637432</x:v>
      </x:c>
      <x:c r="AP186" s="40" t="n">
        <x:f>ABS(AN186)</x:f>
        <x:v>36.81241606251867</x:v>
      </x:c>
      <x:c r="AQ186" s="40" t="n">
        <x:f>IF(Inputs!$C$27="ON",Inputs!$C$46/Inputs!$C$12,0)</x:f>
        <x:v>42.13483146067416</x:v>
      </x:c>
      <x:c r="AR186" s="40" t="n">
        <x:f>AC186-AQ186</x:f>
        <x:v>1049.5614355663415</x:v>
      </x:c>
      <x:c r="AS186" s="40" t="n">
        <x:f>AC186+AQ186</x:f>
        <x:v>1133.8310984876898</x:v>
      </x:c>
    </x:row>
    <x:row r="187">
      <x:c r="A187" s="40" t="n">
        <x:f>Inputs!$C$7+185*(Inputs!$C$8-Inputs!$C$7)/240</x:f>
        <x:v>32.5</x:v>
      </x:c>
      <x:c r="B187" s="40" t="n">
        <x:f>Inputs!$C$5+Inputs!$C$9*(A187/Inputs!$C$10)^2</x:f>
        <x:v>401.1736111111111</x:v>
      </x:c>
      <x:c r="C187" s="40" t="n">
        <x:f>B187</x:f>
        <x:v>401.1736111111111</x:v>
      </x:c>
      <x:c r="D187" s="40" t="n">
        <x:f>SQRT(A187^2+Inputs!$C$6^2+B187^2)</x:f>
        <x:v>403.2635816087649</x:v>
      </x:c>
      <x:c r="E187" s="40" t="n">
        <x:f>(D187-C187)*1000</x:f>
        <x:v>2089.9704976538374</x:v>
      </x:c>
      <x:c r="F187" s="40" t="n">
        <x:f>E187/Inputs!$C$12</x:f>
        <x:v>1174.1407290190098</x:v>
      </x:c>
      <x:c r="G187" s="40" t="n">
        <x:f>2*E187/Inputs!$C$21*1000000</x:f>
        <x:v>13.942782360814675</x:v>
      </x:c>
      <x:c r="H187" s="40" t="n">
        <x:f>SQRT(A187^2+Inputs!$C$6^2)</x:f>
        <x:v>41.00304866714181</x:v>
      </x:c>
      <x:c r="I187" s="40" t="n">
        <x:f>DEGREES(ATAN(H187/B187))</x:f>
        <x:v>5.835807408982732</x:v>
      </x:c>
      <x:c r="J187" s="40" t="n">
        <x:f>DEGREES((2*PI()/Inputs!$C$13)*Inputs!$C$15*SIN(RADIANS(I187)))</x:f>
        <x:v>36.60409269114675</x:v>
      </x:c>
      <x:c r="K187" s="40" t="n">
        <x:f>(C187/D187)^4</x:f>
        <x:v>0.9794300372811903</x:v>
      </x:c>
      <x:c r="L187" s="40" t="n">
        <x:f>10*LOG10(K187)</x:f>
        <x:v>-0.0902658111682354</x:v>
      </x:c>
      <x:c r="M187" s="40" t="n">
        <x:f>2*(Inputs!$C$9/(Inputs!$C$10^2))*A187</x:f>
        <x:v>0.07222222222222222</x:v>
      </x:c>
      <x:c r="N187" s="40" t="n">
        <x:f>M187*Inputs!$C$11</x:f>
        <x:v>0.28888888888888886</x:v>
      </x:c>
      <x:c r="O187" s="40" t="n">
        <x:f>1000*((A187*Inputs!$C$11)+(B187*N187))/D187</x:f>
        <x:v>609.7614810255595</x:v>
      </x:c>
      <x:c r="P187" s="40" t="n">
        <x:f>-2*O187/Inputs!$C$13</x:f>
        <x:v>-243.9045924102238</x:v>
      </x:c>
      <x:c r="Q187" s="40" t="n">
        <x:f>-2*O187/Inputs!$C$14</x:f>
        <x:v>-36.62231117270628</x:v>
      </x:c>
      <x:c r="R187" s="40" t="n">
        <x:f>F187-Inputs!$C$16/2</x:f>
        <x:v>1159.1407290190098</x:v>
      </x:c>
      <x:c r="S187" s="40" t="n">
        <x:f>F187+Inputs!$C$16/2</x:f>
        <x:v>1189.1407290190098</x:v>
      </x:c>
      <x:c r="T187" s="40" t="n">
        <x:f>F187-Inputs!$C$17/2</x:f>
        <x:v>1024.1407290190098</x:v>
      </x:c>
      <x:c r="U187" s="40" t="n">
        <x:f>F187+Inputs!$C$17/2</x:f>
        <x:v>1324.1407290190098</x:v>
      </x:c>
      <x:c r="V187" s="40" t="n">
        <x:f>ABS(P187)</x:f>
        <x:v>243.9045924102238</x:v>
      </x:c>
      <x:c r="W187" s="40" t="n">
        <x:f>ABS(Q187)</x:f>
        <x:v>36.62231117270628</x:v>
      </x:c>
      <x:c r="X187" s="40" t="n">
        <x:f>IF(Inputs!$C$27="ON",1,0)*(Inputs!$C$28*EXP(-(((A187)-Inputs!$C$29)^2)/(2*Inputs!$C$31^2))*EXP(-(((0)-Inputs!$C$30)^2)/(2*Inputs!$C$32^2))+-Inputs!$C$33*EXP(-(((((A187)-Inputs!$C$34)^2)+(((0)-Inputs!$C$35)^2))/(2*Inputs!$C$36^2)))+Inputs!$C$37*(0.55*SIN(2*PI()*(A187)/Inputs!$C$39)+0.35*COS(2*PI()*(0)/Inputs!$C$40)+0.2*SIN(2*PI()*((A187)+(0))/(0.5*(Inputs!$C$39+Inputs!$C$40))))+Inputs!$C$38*SIN(2*PI()*(A187)/Inputs!$C$39)*SIN(2*PI()*(0)/Inputs!$C$40)+-Inputs!$C$41*EXP(-(((0)-Inputs!$C$43)^2)/(2*Inputs!$C$44^2))*EXP(-(((A187)-Inputs!$C$42)^2)/(2*Inputs!$C$45^2)))</x:f>
        <x:v>-5.409614232725581</x:v>
      </x:c>
      <x:c r="Y187" s="40" t="n">
        <x:f>IF(Inputs!$C$27="ON",1,0)*(Inputs!$C$28*EXP(-(((A187)-Inputs!$C$29)^2)/(2*Inputs!$C$31^2))*EXP(-(((Inputs!$C$6)-Inputs!$C$30)^2)/(2*Inputs!$C$32^2))+-Inputs!$C$33*EXP(-(((((A187)-Inputs!$C$34)^2)+(((Inputs!$C$6)-Inputs!$C$35)^2))/(2*Inputs!$C$36^2)))+Inputs!$C$37*(0.55*SIN(2*PI()*(A187)/Inputs!$C$39)+0.35*COS(2*PI()*(Inputs!$C$6)/Inputs!$C$40)+0.2*SIN(2*PI()*((A187)+(Inputs!$C$6))/(0.5*(Inputs!$C$39+Inputs!$C$40))))+Inputs!$C$38*SIN(2*PI()*(A187)/Inputs!$C$39)*SIN(2*PI()*(Inputs!$C$6)/Inputs!$C$40)+-Inputs!$C$41*EXP(-(((Inputs!$C$6)-Inputs!$C$43)^2)/(2*Inputs!$C$44^2))*EXP(-(((A187)-Inputs!$C$42)^2)/(2*Inputs!$C$45^2)))</x:f>
        <x:v>98.32212737908807</x:v>
      </x:c>
      <x:c r="Z187" s="40" t="n">
        <x:f>B187-X187/1000</x:f>
        <x:v>401.17902072534383</x:v>
      </x:c>
      <x:c r="AA187" s="40" t="n">
        <x:f>SQRT(A187^2+Inputs!$C$6^2+(B187-Y187/1000)^2)</x:f>
        <x:v>403.16576917365404</x:v>
      </x:c>
      <x:c r="AB187" s="40" t="n">
        <x:f>(AA187-Z187)*1000</x:f>
        <x:v>1986.748448310209</x:v>
      </x:c>
      <x:c r="AC187" s="40" t="n">
        <x:f>AB187/Inputs!$C$12</x:f>
        <x:v>1116.1508136574207</x:v>
      </x:c>
      <x:c r="AD187" s="40" t="n">
        <x:f>2*AB187/Inputs!$C$21*1000000</x:f>
        <x:v>13.254158970938548</x:v>
      </x:c>
      <x:c r="AE187" s="40" t="n">
        <x:f>DEGREES(ATAN(H187/(B187-Y187/1000)))</x:f>
        <x:v>5.837228158095997</x:v>
      </x:c>
      <x:c r="AF187" s="40" t="n">
        <x:f>DEGREES((2*PI()/Inputs!$C$13)*Inputs!$C$15*SIN(RADIANS(AE187)))</x:f>
        <x:v>36.612973245288245</x:v>
      </x:c>
      <x:c r="AG187" s="40" t="n">
        <x:f>(Z187/AA187)^4</x:f>
        <x:v>0.9804337458293771</x:v>
      </x:c>
      <x:c r="AH187" s="40" t="n">
        <x:f>10*LOG10(AG187)</x:f>
        <x:v>-0.08581749056776561</x:v>
      </x:c>
      <x:c r="AI187" s="40" t="n">
        <x:f>AC187-F187</x:f>
        <x:v>-57.989915361589055</x:v>
      </x:c>
      <x:c r="AJ187" s="40" t="n">
        <x:f>AD187-G187</x:f>
        <x:v>-0.6886233898761276</x:v>
      </x:c>
      <x:c r="AK187" s="40" t="n">
        <x:f>Y187-X187</x:f>
        <x:v>103.73174161181366</x:v>
      </x:c>
      <x:c r="AL187" s="40" t="n">
        <x:f>1000*(AA188-AA186)/(A188-A186)*Inputs!$C$11</x:f>
        <x:v>605.326400818285</x:v>
      </x:c>
      <x:c r="AM187" s="40" t="n">
        <x:f>-2*AL187/Inputs!$C$13</x:f>
        <x:v>-242.13056032731402</x:v>
      </x:c>
      <x:c r="AN187" s="40" t="n">
        <x:f>-2*AL187/Inputs!$C$14</x:f>
        <x:v>-36.35593998908619</x:v>
      </x:c>
      <x:c r="AO187" s="40" t="n">
        <x:f>ABS(AM187)</x:f>
        <x:v>242.13056032731402</x:v>
      </x:c>
      <x:c r="AP187" s="40" t="n">
        <x:f>ABS(AN187)</x:f>
        <x:v>36.35593998908619</x:v>
      </x:c>
      <x:c r="AQ187" s="40" t="n">
        <x:f>IF(Inputs!$C$27="ON",Inputs!$C$46/Inputs!$C$12,0)</x:f>
        <x:v>42.13483146067416</x:v>
      </x:c>
      <x:c r="AR187" s="40" t="n">
        <x:f>AC187-AQ187</x:f>
        <x:v>1074.0159821967466</x:v>
      </x:c>
      <x:c r="AS187" s="40" t="n">
        <x:f>AC187+AQ187</x:f>
        <x:v>1158.2856451180949</x:v>
      </x:c>
    </x:row>
    <x:row r="188">
      <x:c r="A188" s="40" t="n">
        <x:f>Inputs!$C$7+186*(Inputs!$C$8-Inputs!$C$7)/240</x:f>
        <x:v>33</x:v>
      </x:c>
      <x:c r="B188" s="40" t="n">
        <x:f>Inputs!$C$5+Inputs!$C$9*(A188/Inputs!$C$10)^2</x:f>
        <x:v>401.21</x:v>
      </x:c>
      <x:c r="C188" s="40" t="n">
        <x:f>B188</x:f>
        <x:v>401.21</x:v>
      </x:c>
      <x:c r="D188" s="40" t="n">
        <x:f>SQRT(A188^2+Inputs!$C$6^2+B188^2)</x:f>
        <x:v>403.340382431514</x:v>
      </x:c>
      <x:c r="E188" s="40" t="n">
        <x:f>(D188-C188)*1000</x:f>
        <x:v>2130.382431514022</x:v>
      </x:c>
      <x:c r="F188" s="40" t="n">
        <x:f>E188/Inputs!$C$12</x:f>
        <x:v>1196.8440626483268</x:v>
      </x:c>
      <x:c r="G188" s="40" t="n">
        <x:f>2*E188/Inputs!$C$21*1000000</x:f>
        <x:v>14.212381763880277</x:v>
      </x:c>
      <x:c r="H188" s="40" t="n">
        <x:f>SQRT(A188^2+Inputs!$C$6^2)</x:f>
        <x:v>41.400483088968905</x:v>
      </x:c>
      <x:c r="I188" s="40" t="n">
        <x:f>DEGREES(ATAN(H188/B188))</x:f>
        <x:v>5.891446051651431</x:v>
      </x:c>
      <x:c r="J188" s="40" t="n">
        <x:f>DEGREES((2*PI()/Inputs!$C$13)*Inputs!$C$15*SIN(RADIANS(I188)))</x:f>
        <x:v>36.95185149123889</x:v>
      </x:c>
      <x:c r="K188" s="40" t="n">
        <x:f>(C188/D188)^4</x:f>
        <x:v>0.9790394084468791</x:v>
      </x:c>
      <x:c r="L188" s="40" t="n">
        <x:f>10*LOG10(K188)</x:f>
        <x:v>-0.09199826555840601</x:v>
      </x:c>
      <x:c r="M188" s="40" t="n">
        <x:f>2*(Inputs!$C$9/(Inputs!$C$10^2))*A188</x:f>
        <x:v>0.07333333333333333</x:v>
      </x:c>
      <x:c r="N188" s="40" t="n">
        <x:f>M188*Inputs!$C$11</x:f>
        <x:v>0.29333333333333333</x:v>
      </x:c>
      <x:c r="O188" s="40" t="n">
        <x:f>1000*((A188*Inputs!$C$11)+(B188*N188))/D188</x:f>
        <x:v>619.050998963792</x:v>
      </x:c>
      <x:c r="P188" s="40" t="n">
        <x:f>-2*O188/Inputs!$C$13</x:f>
        <x:v>-247.62039958551682</x:v>
      </x:c>
      <x:c r="Q188" s="40" t="n">
        <x:f>-2*O188/Inputs!$C$14</x:f>
        <x:v>-37.18024017800553</x:v>
      </x:c>
      <x:c r="R188" s="40" t="n">
        <x:f>F188-Inputs!$C$16/2</x:f>
        <x:v>1181.8440626483268</x:v>
      </x:c>
      <x:c r="S188" s="40" t="n">
        <x:f>F188+Inputs!$C$16/2</x:f>
        <x:v>1211.8440626483268</x:v>
      </x:c>
      <x:c r="T188" s="40" t="n">
        <x:f>F188-Inputs!$C$17/2</x:f>
        <x:v>1046.8440626483268</x:v>
      </x:c>
      <x:c r="U188" s="40" t="n">
        <x:f>F188+Inputs!$C$17/2</x:f>
        <x:v>1346.8440626483268</x:v>
      </x:c>
      <x:c r="V188" s="40" t="n">
        <x:f>ABS(P188)</x:f>
        <x:v>247.62039958551682</x:v>
      </x:c>
      <x:c r="W188" s="40" t="n">
        <x:f>ABS(Q188)</x:f>
        <x:v>37.18024017800553</x:v>
      </x:c>
      <x:c r="X188" s="40" t="n">
        <x:f>IF(Inputs!$C$27="ON",1,0)*(Inputs!$C$28*EXP(-(((A188)-Inputs!$C$29)^2)/(2*Inputs!$C$31^2))*EXP(-(((0)-Inputs!$C$30)^2)/(2*Inputs!$C$32^2))+-Inputs!$C$33*EXP(-(((((A188)-Inputs!$C$34)^2)+(((0)-Inputs!$C$35)^2))/(2*Inputs!$C$36^2)))+Inputs!$C$37*(0.55*SIN(2*PI()*(A188)/Inputs!$C$39)+0.35*COS(2*PI()*(0)/Inputs!$C$40)+0.2*SIN(2*PI()*((A188)+(0))/(0.5*(Inputs!$C$39+Inputs!$C$40))))+Inputs!$C$38*SIN(2*PI()*(A188)/Inputs!$C$39)*SIN(2*PI()*(0)/Inputs!$C$40)+-Inputs!$C$41*EXP(-(((0)-Inputs!$C$43)^2)/(2*Inputs!$C$44^2))*EXP(-(((A188)-Inputs!$C$42)^2)/(2*Inputs!$C$45^2)))</x:f>
        <x:v>-1.6289122531170737</x:v>
      </x:c>
      <x:c r="Y188" s="40" t="n">
        <x:f>IF(Inputs!$C$27="ON",1,0)*(Inputs!$C$28*EXP(-(((A188)-Inputs!$C$29)^2)/(2*Inputs!$C$31^2))*EXP(-(((Inputs!$C$6)-Inputs!$C$30)^2)/(2*Inputs!$C$32^2))+-Inputs!$C$33*EXP(-(((((A188)-Inputs!$C$34)^2)+(((Inputs!$C$6)-Inputs!$C$35)^2))/(2*Inputs!$C$36^2)))+Inputs!$C$37*(0.55*SIN(2*PI()*(A188)/Inputs!$C$39)+0.35*COS(2*PI()*(Inputs!$C$6)/Inputs!$C$40)+0.2*SIN(2*PI()*((A188)+(Inputs!$C$6))/(0.5*(Inputs!$C$39+Inputs!$C$40))))+Inputs!$C$38*SIN(2*PI()*(A188)/Inputs!$C$39)*SIN(2*PI()*(Inputs!$C$6)/Inputs!$C$40)+-Inputs!$C$41*EXP(-(((Inputs!$C$6)-Inputs!$C$43)^2)/(2*Inputs!$C$44^2))*EXP(-(((A188)-Inputs!$C$42)^2)/(2*Inputs!$C$45^2)))</x:f>
        <x:v>99.92068705453045</x:v>
      </x:c>
      <x:c r="Z188" s="40" t="n">
        <x:f>B188-X188/1000</x:f>
        <x:v>401.2116289122531</x:v>
      </x:c>
      <x:c r="AA188" s="40" t="n">
        <x:f>SQRT(A188^2+Inputs!$C$6^2+(B188-Y188/1000)^2)</x:f>
        <x:v>403.24098964073255</x:v>
      </x:c>
      <x:c r="AB188" s="40" t="n">
        <x:f>(AA188-Z188)*1000</x:f>
        <x:v>2029.3607284794462</x:v>
      </x:c>
      <x:c r="AC188" s="40" t="n">
        <x:f>AB188/Inputs!$C$12</x:f>
        <x:v>1140.0902968985652</x:v>
      </x:c>
      <x:c r="AD188" s="40" t="n">
        <x:f>2*AB188/Inputs!$C$21*1000000</x:f>
        <x:v>13.538437504518184</x:v>
      </x:c>
      <x:c r="AE188" s="40" t="n">
        <x:f>DEGREES(ATAN(H188/(B188-Y188/1000)))</x:f>
        <x:v>5.892903345310342</x:v>
      </x:c>
      <x:c r="AF188" s="40" t="n">
        <x:f>DEGREES((2*PI()/Inputs!$C$13)*Inputs!$C$15*SIN(RADIANS(AE188)))</x:f>
        <x:v>36.960959562438525</x:v>
      </x:c>
      <x:c r="AG188" s="40" t="n">
        <x:f>(Z188/AA188)^4</x:f>
        <x:v>0.9800209542562879</x:v>
      </x:c>
      <x:c r="AH188" s="40" t="n">
        <x:f>10*LOG10(AG188)</x:f>
        <x:v>-0.0876463836812904</x:v>
      </x:c>
      <x:c r="AI188" s="40" t="n">
        <x:f>AC188-F188</x:f>
        <x:v>-56.75376574976167</x:v>
      </x:c>
      <x:c r="AJ188" s="40" t="n">
        <x:f>AD188-G188</x:f>
        <x:v>-0.6739442593620932</x:v>
      </x:c>
      <x:c r="AK188" s="40" t="n">
        <x:f>Y188-X188</x:f>
        <x:v>101.54959930764753</x:v>
      </x:c>
      <x:c r="AL188" s="40" t="n">
        <x:f>1000*(AA189-AA187)/(A189-A187)*Inputs!$C$11</x:f>
        <x:v>598.945759139724</x:v>
      </x:c>
      <x:c r="AM188" s="40" t="n">
        <x:f>-2*AL188/Inputs!$C$13</x:f>
        <x:v>-239.5783036558896</x:v>
      </x:c>
      <x:c r="AN188" s="40" t="n">
        <x:f>-2*AL188/Inputs!$C$14</x:f>
        <x:v>-35.9727182666501</x:v>
      </x:c>
      <x:c r="AO188" s="40" t="n">
        <x:f>ABS(AM188)</x:f>
        <x:v>239.5783036558896</x:v>
      </x:c>
      <x:c r="AP188" s="40" t="n">
        <x:f>ABS(AN188)</x:f>
        <x:v>35.9727182666501</x:v>
      </x:c>
      <x:c r="AQ188" s="40" t="n">
        <x:f>IF(Inputs!$C$27="ON",Inputs!$C$46/Inputs!$C$12,0)</x:f>
        <x:v>42.13483146067416</x:v>
      </x:c>
      <x:c r="AR188" s="40" t="n">
        <x:f>AC188-AQ188</x:f>
        <x:v>1097.955465437891</x:v>
      </x:c>
      <x:c r="AS188" s="40" t="n">
        <x:f>AC188+AQ188</x:f>
        <x:v>1182.2251283592393</x:v>
      </x:c>
    </x:row>
    <x:row r="189">
      <x:c r="A189" s="40" t="n">
        <x:f>Inputs!$C$7+187*(Inputs!$C$8-Inputs!$C$7)/240</x:f>
        <x:v>33.5</x:v>
      </x:c>
      <x:c r="B189" s="40" t="n">
        <x:f>Inputs!$C$5+Inputs!$C$9*(A189/Inputs!$C$10)^2</x:f>
        <x:v>401.24694444444447</x:v>
      </x:c>
      <x:c r="C189" s="40" t="n">
        <x:f>B189</x:f>
        <x:v>401.24694444444447</x:v>
      </x:c>
      <x:c r="D189" s="40" t="n">
        <x:f>SQRT(A189^2+Inputs!$C$6^2+B189^2)</x:f>
        <x:v>403.418344186284</x:v>
      </x:c>
      <x:c r="E189" s="40" t="n">
        <x:f>(D189-C189)*1000</x:f>
        <x:v>2171.3997418395365</x:v>
      </x:c>
      <x:c r="F189" s="40" t="n">
        <x:f>E189/Inputs!$C$12</x:f>
        <x:v>1219.8874954154699</x:v>
      </x:c>
      <x:c r="G189" s="40" t="n">
        <x:f>2*E189/Inputs!$C$21*1000000</x:f>
        <x:v>14.486019804004119</x:v>
      </x:c>
      <x:c r="H189" s="40" t="n">
        <x:f>SQRT(A189^2+Inputs!$C$6^2)</x:f>
        <x:v>41.80011961705373</x:v>
      </x:c>
      <x:c r="I189" s="40" t="n">
        <x:f>DEGREES(ATAN(H189/B189))</x:f>
        <x:v>5.947366354766674</x:v>
      </x:c>
      <x:c r="J189" s="40" t="n">
        <x:f>DEGREES((2*PI()/Inputs!$C$13)*Inputs!$C$15*SIN(RADIANS(I189)))</x:f>
        <x:v>37.30133564573529</x:v>
      </x:c>
      <x:c r="K189" s="40" t="n">
        <x:f>(C189/D189)^4</x:f>
        <x:v>0.9786432000050733</x:v>
      </x:c>
      <x:c r="L189" s="40" t="n">
        <x:f>10*LOG10(K189)</x:f>
        <x:v>-0.0937561719888581</x:v>
      </x:c>
      <x:c r="M189" s="40" t="n">
        <x:f>2*(Inputs!$C$9/(Inputs!$C$10^2))*A189</x:f>
        <x:v>0.07444444444444444</x:v>
      </x:c>
      <x:c r="N189" s="40" t="n">
        <x:f>M189*Inputs!$C$11</x:f>
        <x:v>0.29777777777777775</x:v>
      </x:c>
      <x:c r="O189" s="40" t="n">
        <x:f>1000*((A189*Inputs!$C$11)+(B189*N189))/D189</x:f>
        <x:v>628.3363835823517</x:v>
      </x:c>
      <x:c r="P189" s="40" t="n">
        <x:f>-2*O189/Inputs!$C$13</x:f>
        <x:v>-251.33455343294068</x:v>
      </x:c>
      <x:c r="Q189" s="40" t="n">
        <x:f>-2*O189/Inputs!$C$14</x:f>
        <x:v>-37.73792093587698</x:v>
      </x:c>
      <x:c r="R189" s="40" t="n">
        <x:f>F189-Inputs!$C$16/2</x:f>
        <x:v>1204.8874954154699</x:v>
      </x:c>
      <x:c r="S189" s="40" t="n">
        <x:f>F189+Inputs!$C$16/2</x:f>
        <x:v>1234.8874954154699</x:v>
      </x:c>
      <x:c r="T189" s="40" t="n">
        <x:f>F189-Inputs!$C$17/2</x:f>
        <x:v>1069.8874954154699</x:v>
      </x:c>
      <x:c r="U189" s="40" t="n">
        <x:f>F189+Inputs!$C$17/2</x:f>
        <x:v>1369.8874954154699</x:v>
      </x:c>
      <x:c r="V189" s="40" t="n">
        <x:f>ABS(P189)</x:f>
        <x:v>251.33455343294068</x:v>
      </x:c>
      <x:c r="W189" s="40" t="n">
        <x:f>ABS(Q189)</x:f>
        <x:v>37.73792093587698</x:v>
      </x:c>
      <x:c r="X189" s="40" t="n">
        <x:f>IF(Inputs!$C$27="ON",1,0)*(Inputs!$C$28*EXP(-(((A189)-Inputs!$C$29)^2)/(2*Inputs!$C$31^2))*EXP(-(((0)-Inputs!$C$30)^2)/(2*Inputs!$C$32^2))+-Inputs!$C$33*EXP(-(((((A189)-Inputs!$C$34)^2)+(((0)-Inputs!$C$35)^2))/(2*Inputs!$C$36^2)))+Inputs!$C$37*(0.55*SIN(2*PI()*(A189)/Inputs!$C$39)+0.35*COS(2*PI()*(0)/Inputs!$C$40)+0.2*SIN(2*PI()*((A189)+(0))/(0.5*(Inputs!$C$39+Inputs!$C$40))))+Inputs!$C$38*SIN(2*PI()*(A189)/Inputs!$C$39)*SIN(2*PI()*(0)/Inputs!$C$40)+-Inputs!$C$41*EXP(-(((0)-Inputs!$C$43)^2)/(2*Inputs!$C$44^2))*EXP(-(((A189)-Inputs!$C$42)^2)/(2*Inputs!$C$45^2)))</x:f>
        <x:v>2.5528468325602667</x:v>
      </x:c>
      <x:c r="Y189" s="40" t="n">
        <x:f>IF(Inputs!$C$27="ON",1,0)*(Inputs!$C$28*EXP(-(((A189)-Inputs!$C$29)^2)/(2*Inputs!$C$31^2))*EXP(-(((Inputs!$C$6)-Inputs!$C$30)^2)/(2*Inputs!$C$32^2))+-Inputs!$C$33*EXP(-(((((A189)-Inputs!$C$34)^2)+(((Inputs!$C$6)-Inputs!$C$35)^2))/(2*Inputs!$C$36^2)))+Inputs!$C$37*(0.55*SIN(2*PI()*(A189)/Inputs!$C$39)+0.35*COS(2*PI()*(Inputs!$C$6)/Inputs!$C$40)+0.2*SIN(2*PI()*((A189)+(Inputs!$C$6))/(0.5*(Inputs!$C$39+Inputs!$C$40))))+Inputs!$C$38*SIN(2*PI()*(A189)/Inputs!$C$39)*SIN(2*PI()*(Inputs!$C$6)/Inputs!$C$40)+-Inputs!$C$41*EXP(-(((Inputs!$C$6)-Inputs!$C$43)^2)/(2*Inputs!$C$44^2))*EXP(-(((A189)-Inputs!$C$42)^2)/(2*Inputs!$C$45^2)))</x:f>
        <x:v>103.39524014286131</x:v>
      </x:c>
      <x:c r="Z189" s="40" t="n">
        <x:f>B189-X189/1000</x:f>
        <x:v>401.2443915976119</x:v>
      </x:c>
      <x:c r="AA189" s="40" t="n">
        <x:f>SQRT(A189^2+Inputs!$C$6^2+(B189-Y189/1000)^2)</x:f>
        <x:v>403.315505613439</x:v>
      </x:c>
      <x:c r="AB189" s="40" t="n">
        <x:f>(AA189-Z189)*1000</x:f>
        <x:v>2071.1140158270496</x:v>
      </x:c>
      <x:c r="AC189" s="40" t="n">
        <x:f>AB189/Inputs!$C$12</x:f>
        <x:v>1163.5471999028368</x:v>
      </x:c>
      <x:c r="AD189" s="40" t="n">
        <x:f>2*AB189/Inputs!$C$21*1000000</x:f>
        <x:v>13.81698545483122</x:v>
      </x:c>
      <x:c r="AE189" s="40" t="n">
        <x:f>DEGREES(ATAN(H189/(B189-Y189/1000)))</x:f>
        <x:v>5.94888830391456</x:v>
      </x:c>
      <x:c r="AF189" s="40" t="n">
        <x:f>DEGREES((2*PI()/Inputs!$C$13)*Inputs!$C$15*SIN(RADIANS(AE189)))</x:f>
        <x:v>37.3108468499157</x:v>
      </x:c>
      <x:c r="AG189" s="40" t="n">
        <x:f>(Z189/AA189)^4</x:f>
        <x:v>0.9796168003168947</x:v>
      </x:c>
      <x:c r="AH189" s="40" t="n">
        <x:f>10*LOG10(AG189)</x:f>
        <x:v>-0.08943775382403121</x:v>
      </x:c>
      <x:c r="AI189" s="40" t="n">
        <x:f>AC189-F189</x:f>
        <x:v>-56.34029551263302</x:v>
      </x:c>
      <x:c r="AJ189" s="40" t="n">
        <x:f>AD189-G189</x:f>
        <x:v>-0.6690343491728985</x:v>
      </x:c>
      <x:c r="AK189" s="40" t="n">
        <x:f>Y189-X189</x:f>
        <x:v>100.84239331030105</x:v>
      </x:c>
      <x:c r="AL189" s="40" t="n">
        <x:f>1000*(AA190-AA188)/(A190-A188)*Inputs!$C$11</x:f>
        <x:v>594.2974878851146</x:v>
      </x:c>
      <x:c r="AM189" s="40" t="n">
        <x:f>-2*AL189/Inputs!$C$13</x:f>
        <x:v>-237.71899515404584</x:v>
      </x:c>
      <x:c r="AN189" s="40" t="n">
        <x:f>-2*AL189/Inputs!$C$14</x:f>
        <x:v>-35.693542815922804</x:v>
      </x:c>
      <x:c r="AO189" s="40" t="n">
        <x:f>ABS(AM189)</x:f>
        <x:v>237.71899515404584</x:v>
      </x:c>
      <x:c r="AP189" s="40" t="n">
        <x:f>ABS(AN189)</x:f>
        <x:v>35.693542815922804</x:v>
      </x:c>
      <x:c r="AQ189" s="40" t="n">
        <x:f>IF(Inputs!$C$27="ON",Inputs!$C$46/Inputs!$C$12,0)</x:f>
        <x:v>42.13483146067416</x:v>
      </x:c>
      <x:c r="AR189" s="40" t="n">
        <x:f>AC189-AQ189</x:f>
        <x:v>1121.4123684421627</x:v>
      </x:c>
      <x:c r="AS189" s="40" t="n">
        <x:f>AC189+AQ189</x:f>
        <x:v>1205.682031363511</x:v>
      </x:c>
    </x:row>
    <x:row r="190">
      <x:c r="A190" s="40" t="n">
        <x:f>Inputs!$C$7+188*(Inputs!$C$8-Inputs!$C$7)/240</x:f>
        <x:v>34</x:v>
      </x:c>
      <x:c r="B190" s="40" t="n">
        <x:f>Inputs!$C$5+Inputs!$C$9*(A190/Inputs!$C$10)^2</x:f>
        <x:v>401.28444444444443</x:v>
      </x:c>
      <x:c r="C190" s="40" t="n">
        <x:f>B190</x:f>
        <x:v>401.28444444444443</x:v>
      </x:c>
      <x:c r="D190" s="40" t="n">
        <x:f>SQRT(A190^2+Inputs!$C$6^2+B190^2)</x:f>
        <x:v>403.49746635274727</x:v>
      </x:c>
      <x:c r="E190" s="40" t="n">
        <x:f>(D190-C190)*1000</x:f>
        <x:v>2213.021908302835</x:v>
      </x:c>
      <x:c r="F190" s="40" t="n">
        <x:f>E190/Inputs!$C$12</x:f>
        <x:v>1243.2707350015928</x:v>
      </x:c>
      <x:c r="G190" s="40" t="n">
        <x:f>2*E190/Inputs!$C$21*1000000</x:f>
        <x:v>14.76369300993446</x:v>
      </x:c>
      <x:c r="H190" s="40" t="n">
        <x:f>SQRT(A190^2+Inputs!$C$6^2)</x:f>
        <x:v>42.20189569201838</x:v>
      </x:c>
      <x:c r="I190" s="40" t="n">
        <x:f>DEGREES(ATAN(H190/B190))</x:f>
        <x:v>6.003558889809033</x:v>
      </x:c>
      <x:c r="J190" s="40" t="n">
        <x:f>DEGREES((2*PI()/Inputs!$C$13)*Inputs!$C$15*SIN(RADIANS(I190)))</x:f>
        <x:v>37.65248537110963</x:v>
      </x:c>
      <x:c r="K190" s="40" t="n">
        <x:f>(C190/D190)^4</x:f>
        <x:v>0.9782414288853452</x:v>
      </x:c>
      <x:c r="L190" s="40" t="n">
        <x:f>10*LOG10(K190)</x:f>
        <x:v>-0.0955394859375877</x:v>
      </x:c>
      <x:c r="M190" s="40" t="n">
        <x:f>2*(Inputs!$C$9/(Inputs!$C$10^2))*A190</x:f>
        <x:v>0.07555555555555556</x:v>
      </x:c>
      <x:c r="N190" s="40" t="n">
        <x:f>M190*Inputs!$C$11</x:f>
        <x:v>0.3022222222222222</x:v>
      </x:c>
      <x:c r="O190" s="40" t="n">
        <x:f>1000*((A190*Inputs!$C$11)+(B190*N190))/D190</x:f>
        <x:v>637.6175763103604</x:v>
      </x:c>
      <x:c r="P190" s="40" t="n">
        <x:f>-2*O190/Inputs!$C$13</x:f>
        <x:v>-255.04703052414416</x:v>
      </x:c>
      <x:c r="Q190" s="40" t="n">
        <x:f>-2*O190/Inputs!$C$14</x:f>
        <x:v>-38.29534992855017</x:v>
      </x:c>
      <x:c r="R190" s="40" t="n">
        <x:f>F190-Inputs!$C$16/2</x:f>
        <x:v>1228.2707350015928</x:v>
      </x:c>
      <x:c r="S190" s="40" t="n">
        <x:f>F190+Inputs!$C$16/2</x:f>
        <x:v>1258.2707350015928</x:v>
      </x:c>
      <x:c r="T190" s="40" t="n">
        <x:f>F190-Inputs!$C$17/2</x:f>
        <x:v>1093.2707350015928</x:v>
      </x:c>
      <x:c r="U190" s="40" t="n">
        <x:f>F190+Inputs!$C$17/2</x:f>
        <x:v>1393.2707350015928</x:v>
      </x:c>
      <x:c r="V190" s="40" t="n">
        <x:f>ABS(P190)</x:f>
        <x:v>255.04703052414416</x:v>
      </x:c>
      <x:c r="W190" s="40" t="n">
        <x:f>ABS(Q190)</x:f>
        <x:v>38.29534992855017</x:v>
      </x:c>
      <x:c r="X190" s="40" t="n">
        <x:f>IF(Inputs!$C$27="ON",1,0)*(Inputs!$C$28*EXP(-(((A190)-Inputs!$C$29)^2)/(2*Inputs!$C$31^2))*EXP(-(((0)-Inputs!$C$30)^2)/(2*Inputs!$C$32^2))+-Inputs!$C$33*EXP(-(((((A190)-Inputs!$C$34)^2)+(((0)-Inputs!$C$35)^2))/(2*Inputs!$C$36^2)))+Inputs!$C$37*(0.55*SIN(2*PI()*(A190)/Inputs!$C$39)+0.35*COS(2*PI()*(0)/Inputs!$C$40)+0.2*SIN(2*PI()*((A190)+(0))/(0.5*(Inputs!$C$39+Inputs!$C$40))))+Inputs!$C$38*SIN(2*PI()*(A190)/Inputs!$C$39)*SIN(2*PI()*(0)/Inputs!$C$40)+-Inputs!$C$41*EXP(-(((0)-Inputs!$C$43)^2)/(2*Inputs!$C$44^2))*EXP(-(((A190)-Inputs!$C$42)^2)/(2*Inputs!$C$45^2)))</x:f>
        <x:v>7.00234403425444</x:v>
      </x:c>
      <x:c r="Y190" s="40" t="n">
        <x:f>IF(Inputs!$C$27="ON",1,0)*(Inputs!$C$28*EXP(-(((A190)-Inputs!$C$29)^2)/(2*Inputs!$C$31^2))*EXP(-(((Inputs!$C$6)-Inputs!$C$30)^2)/(2*Inputs!$C$32^2))+-Inputs!$C$33*EXP(-(((((A190)-Inputs!$C$34)^2)+(((Inputs!$C$6)-Inputs!$C$35)^2))/(2*Inputs!$C$36^2)))+Inputs!$C$37*(0.55*SIN(2*PI()*(A190)/Inputs!$C$39)+0.35*COS(2*PI()*(Inputs!$C$6)/Inputs!$C$40)+0.2*SIN(2*PI()*((A190)+(Inputs!$C$6))/(0.5*(Inputs!$C$39+Inputs!$C$40))))+Inputs!$C$38*SIN(2*PI()*(A190)/Inputs!$C$39)*SIN(2*PI()*(Inputs!$C$6)/Inputs!$C$40)+-Inputs!$C$41*EXP(-(((Inputs!$C$6)-Inputs!$C$43)^2)/(2*Inputs!$C$44^2))*EXP(-(((A190)-Inputs!$C$42)^2)/(2*Inputs!$C$45^2)))</x:f>
        <x:v>108.4975653234918</x:v>
      </x:c>
      <x:c r="Z190" s="40" t="n">
        <x:f>B190-X190/1000</x:f>
        <x:v>401.27744210041016</x:v>
      </x:c>
      <x:c r="AA190" s="40" t="n">
        <x:f>SQRT(A190^2+Inputs!$C$6^2+(B190-Y190/1000)^2)</x:f>
        <x:v>403.38956401270383</x:v>
      </x:c>
      <x:c r="AB190" s="40" t="n">
        <x:f>(AA190-Z190)*1000</x:f>
        <x:v>2112.1219122936736</x:v>
      </x:c>
      <x:c r="AC190" s="40" t="n">
        <x:f>AB190/Inputs!$C$12</x:f>
        <x:v>1186.5853439852099</x:v>
      </x:c>
      <x:c r="AD190" s="40" t="n">
        <x:f>2*AB190/Inputs!$C$21*1000000</x:f>
        <x:v>14.090560692448598</x:v>
      </x:c>
      <x:c r="AE190" s="40" t="n">
        <x:f>DEGREES(ATAN(H190/(B190-Y190/1000)))</x:f>
        <x:v>6.005170682249056</x:v>
      </x:c>
      <x:c r="AF190" s="40" t="n">
        <x:f>DEGREES((2*PI()/Inputs!$C$13)*Inputs!$C$15*SIN(RADIANS(AE190)))</x:f>
        <x:v>37.66255700320537</x:v>
      </x:c>
      <x:c r="AG190" s="40" t="n">
        <x:f>(Z190/AA190)^4</x:f>
        <x:v>0.9792201730058477</x:v>
      </x:c>
      <x:c r="AH190" s="40" t="n">
        <x:f>10*LOG10(AG190)</x:f>
        <x:v>-0.09119648165344998</x:v>
      </x:c>
      <x:c r="AI190" s="40" t="n">
        <x:f>AC190-F190</x:f>
        <x:v>-56.68539101638294</x:v>
      </x:c>
      <x:c r="AJ190" s="40" t="n">
        <x:f>AD190-G190</x:f>
        <x:v>-0.6731323174858623</x:v>
      </x:c>
      <x:c r="AK190" s="40" t="n">
        <x:f>Y190-X190</x:f>
        <x:v>101.49522128923736</x:v>
      </x:c>
      <x:c r="AL190" s="40" t="n">
        <x:f>1000*(AA191-AA189)/(A191-A189)*Inputs!$C$11</x:f>
        <x:v>591.8325457000719</x:v>
      </x:c>
      <x:c r="AM190" s="40" t="n">
        <x:f>-2*AL190/Inputs!$C$13</x:f>
        <x:v>-236.73301828002877</x:v>
      </x:c>
      <x:c r="AN190" s="40" t="n">
        <x:f>-2*AL190/Inputs!$C$14</x:f>
        <x:v>-35.54549824024456</x:v>
      </x:c>
      <x:c r="AO190" s="40" t="n">
        <x:f>ABS(AM190)</x:f>
        <x:v>236.73301828002877</x:v>
      </x:c>
      <x:c r="AP190" s="40" t="n">
        <x:f>ABS(AN190)</x:f>
        <x:v>35.54549824024456</x:v>
      </x:c>
      <x:c r="AQ190" s="40" t="n">
        <x:f>IF(Inputs!$C$27="ON",Inputs!$C$46/Inputs!$C$12,0)</x:f>
        <x:v>42.13483146067416</x:v>
      </x:c>
      <x:c r="AR190" s="40" t="n">
        <x:f>AC190-AQ190</x:f>
        <x:v>1144.4505125245357</x:v>
      </x:c>
      <x:c r="AS190" s="40" t="n">
        <x:f>AC190+AQ190</x:f>
        <x:v>1228.720175445884</x:v>
      </x:c>
    </x:row>
    <x:row r="191">
      <x:c r="A191" s="40" t="n">
        <x:f>Inputs!$C$7+189*(Inputs!$C$8-Inputs!$C$7)/240</x:f>
        <x:v>34.5</x:v>
      </x:c>
      <x:c r="B191" s="40" t="n">
        <x:f>Inputs!$C$5+Inputs!$C$9*(A191/Inputs!$C$10)^2</x:f>
        <x:v>401.3225</x:v>
      </x:c>
      <x:c r="C191" s="40" t="n">
        <x:f>B191</x:f>
        <x:v>401.3225</x:v>
      </x:c>
      <x:c r="D191" s="40" t="n">
        <x:f>SQRT(A191^2+Inputs!$C$6^2+B191^2)</x:f>
        <x:v>403.5777484032662</x:v>
      </x:c>
      <x:c r="E191" s="40" t="n">
        <x:f>(D191-C191)*1000</x:f>
        <x:v>2255.2484032661937</x:v>
      </x:c>
      <x:c r="F191" s="40" t="n">
        <x:f>E191/Inputs!$C$12</x:f>
        <x:v>1266.9934849810077</x:v>
      </x:c>
      <x:c r="G191" s="40" t="n">
        <x:f>2*E191/Inputs!$C$21*1000000</x:f>
        <x:v>15.0453978616513</x:v>
      </x:c>
      <x:c r="H191" s="40" t="n">
        <x:f>SQRT(A191^2+Inputs!$C$6^2)</x:f>
        <x:v>42.60575078554537</x:v>
      </x:c>
      <x:c r="I191" s="40" t="n">
        <x:f>DEGREES(ATAN(H191/B191))</x:f>
        <x:v>6.060014519595078</x:v>
      </x:c>
      <x:c r="J191" s="40" t="n">
        <x:f>DEGREES((2*PI()/Inputs!$C$13)*Inputs!$C$15*SIN(RADIANS(I191)))</x:f>
        <x:v>38.005242715884584</x:v>
      </x:c>
      <x:c r="K191" s="40" t="n">
        <x:f>(C191/D191)^4</x:f>
        <x:v>0.9778341122326911</x:v>
      </x:c>
      <x:c r="L191" s="40" t="n">
        <x:f>10*LOG10(K191)</x:f>
        <x:v>-0.0973481622741937</x:v>
      </x:c>
      <x:c r="M191" s="40" t="n">
        <x:f>2*(Inputs!$C$9/(Inputs!$C$10^2))*A191</x:f>
        <x:v>0.07666666666666666</x:v>
      </x:c>
      <x:c r="N191" s="40" t="n">
        <x:f>M191*Inputs!$C$11</x:f>
        <x:v>0.30666666666666664</x:v>
      </x:c>
      <x:c r="O191" s="40" t="n">
        <x:f>1000*((A191*Inputs!$C$11)+(B191*N191))/D191</x:f>
        <x:v>646.8945187544449</x:v>
      </x:c>
      <x:c r="P191" s="40" t="n">
        <x:f>-2*O191/Inputs!$C$13</x:f>
        <x:v>-258.75780750177796</x:v>
      </x:c>
      <x:c r="Q191" s="40" t="n">
        <x:f>-2*O191/Inputs!$C$14</x:f>
        <x:v>-38.852523648915614</x:v>
      </x:c>
      <x:c r="R191" s="40" t="n">
        <x:f>F191-Inputs!$C$16/2</x:f>
        <x:v>1251.9934849810077</x:v>
      </x:c>
      <x:c r="S191" s="40" t="n">
        <x:f>F191+Inputs!$C$16/2</x:f>
        <x:v>1281.9934849810077</x:v>
      </x:c>
      <x:c r="T191" s="40" t="n">
        <x:f>F191-Inputs!$C$17/2</x:f>
        <x:v>1116.9934849810077</x:v>
      </x:c>
      <x:c r="U191" s="40" t="n">
        <x:f>F191+Inputs!$C$17/2</x:f>
        <x:v>1416.9934849810077</x:v>
      </x:c>
      <x:c r="V191" s="40" t="n">
        <x:f>ABS(P191)</x:f>
        <x:v>258.75780750177796</x:v>
      </x:c>
      <x:c r="W191" s="40" t="n">
        <x:f>ABS(Q191)</x:f>
        <x:v>38.852523648915614</x:v>
      </x:c>
      <x:c r="X191" s="40" t="n">
        <x:f>IF(Inputs!$C$27="ON",1,0)*(Inputs!$C$28*EXP(-(((A191)-Inputs!$C$29)^2)/(2*Inputs!$C$31^2))*EXP(-(((0)-Inputs!$C$30)^2)/(2*Inputs!$C$32^2))+-Inputs!$C$33*EXP(-(((((A191)-Inputs!$C$34)^2)+(((0)-Inputs!$C$35)^2))/(2*Inputs!$C$36^2)))+Inputs!$C$37*(0.55*SIN(2*PI()*(A191)/Inputs!$C$39)+0.35*COS(2*PI()*(0)/Inputs!$C$40)+0.2*SIN(2*PI()*((A191)+(0))/(0.5*(Inputs!$C$39+Inputs!$C$40))))+Inputs!$C$38*SIN(2*PI()*(A191)/Inputs!$C$39)*SIN(2*PI()*(0)/Inputs!$C$40)+-Inputs!$C$41*EXP(-(((0)-Inputs!$C$43)^2)/(2*Inputs!$C$44^2))*EXP(-(((A191)-Inputs!$C$42)^2)/(2*Inputs!$C$45^2)))</x:f>
        <x:v>11.585672233589069</x:v>
      </x:c>
      <x:c r="Y191" s="40" t="n">
        <x:f>IF(Inputs!$C$27="ON",1,0)*(Inputs!$C$28*EXP(-(((A191)-Inputs!$C$29)^2)/(2*Inputs!$C$31^2))*EXP(-(((Inputs!$C$6)-Inputs!$C$30)^2)/(2*Inputs!$C$32^2))+-Inputs!$C$33*EXP(-(((((A191)-Inputs!$C$34)^2)+(((Inputs!$C$6)-Inputs!$C$35)^2))/(2*Inputs!$C$36^2)))+Inputs!$C$37*(0.55*SIN(2*PI()*(A191)/Inputs!$C$39)+0.35*COS(2*PI()*(Inputs!$C$6)/Inputs!$C$40)+0.2*SIN(2*PI()*((A191)+(Inputs!$C$6))/(0.5*(Inputs!$C$39+Inputs!$C$40))))+Inputs!$C$38*SIN(2*PI()*(A191)/Inputs!$C$39)*SIN(2*PI()*(Inputs!$C$6)/Inputs!$C$40)+-Inputs!$C$41*EXP(-(((Inputs!$C$6)-Inputs!$C$43)^2)/(2*Inputs!$C$44^2))*EXP(-(((A191)-Inputs!$C$42)^2)/(2*Inputs!$C$45^2)))</x:f>
        <x:v>114.9270641968389</x:v>
      </x:c>
      <x:c r="Z191" s="40" t="n">
        <x:f>B191-X191/1000</x:f>
        <x:v>401.3109143277664</x:v>
      </x:c>
      <x:c r="AA191" s="40" t="n">
        <x:f>SQRT(A191^2+Inputs!$C$6^2+(B191-Y191/1000)^2)</x:f>
        <x:v>403.463463749864</x:v>
      </x:c>
      <x:c r="AB191" s="40" t="n">
        <x:f>(AA191-Z191)*1000</x:f>
        <x:v>2152.549422097593</x:v>
      </x:c>
      <x:c r="AC191" s="40" t="n">
        <x:f>AB191/Inputs!$C$12</x:f>
        <x:v>1209.297428144715</x:v>
      </x:c>
      <x:c r="AD191" s="40" t="n">
        <x:f>2*AB191/Inputs!$C$21*1000000</x:f>
        <x:v>14.360264007025773</x:v>
      </x:c>
      <x:c r="AE191" s="40" t="n">
        <x:f>DEGREES(ATAN(H191/(B191-Y191/1000)))</x:f>
        <x:v>6.061737505570108</x:v>
      </x:c>
      <x:c r="AF191" s="40" t="n">
        <x:f>DEGREES((2*PI()/Inputs!$C$13)*Inputs!$C$15*SIN(RADIANS(AE191)))</x:f>
        <x:v>38.016008042565915</x:v>
      </x:c>
      <x:c r="AG191" s="40" t="n">
        <x:f>(Z191/AA191)^4</x:f>
        <x:v>0.9788294658527789</x:v>
      </x:c>
      <x:c r="AH191" s="40" t="n">
        <x:f>10*LOG10(AG191)</x:f>
        <x:v>-0.092929654904041</x:v>
      </x:c>
      <x:c r="AI191" s="40" t="n">
        <x:f>AC191-F191</x:f>
        <x:v>-57.696056836292655</x:v>
      </x:c>
      <x:c r="AJ191" s="40" t="n">
        <x:f>AD191-G191</x:f>
        <x:v>-0.6851338546255281</x:v>
      </x:c>
      <x:c r="AK191" s="40" t="n">
        <x:f>Y191-X191</x:f>
        <x:v>103.34139196324983</x:v>
      </x:c>
      <x:c r="AL191" s="40" t="n">
        <x:f>1000*(AA192-AA190)/(A192-A190)*Inputs!$C$11</x:f>
        <x:v>591.9247481672301</x:v>
      </x:c>
      <x:c r="AM191" s="40" t="n">
        <x:f>-2*AL191/Inputs!$C$13</x:f>
        <x:v>-236.76989926689203</x:v>
      </x:c>
      <x:c r="AN191" s="40" t="n">
        <x:f>-2*AL191/Inputs!$C$14</x:f>
        <x:v>-35.551035925959766</x:v>
      </x:c>
      <x:c r="AO191" s="40" t="n">
        <x:f>ABS(AM191)</x:f>
        <x:v>236.76989926689203</x:v>
      </x:c>
      <x:c r="AP191" s="40" t="n">
        <x:f>ABS(AN191)</x:f>
        <x:v>35.551035925959766</x:v>
      </x:c>
      <x:c r="AQ191" s="40" t="n">
        <x:f>IF(Inputs!$C$27="ON",Inputs!$C$46/Inputs!$C$12,0)</x:f>
        <x:v>42.13483146067416</x:v>
      </x:c>
      <x:c r="AR191" s="40" t="n">
        <x:f>AC191-AQ191</x:f>
        <x:v>1167.1625966840409</x:v>
      </x:c>
      <x:c r="AS191" s="40" t="n">
        <x:f>AC191+AQ191</x:f>
        <x:v>1251.4322596053892</x:v>
      </x:c>
    </x:row>
    <x:row r="192">
      <x:c r="A192" s="40" t="n">
        <x:f>Inputs!$C$7+190*(Inputs!$C$8-Inputs!$C$7)/240</x:f>
        <x:v>35</x:v>
      </x:c>
      <x:c r="B192" s="40" t="n">
        <x:f>Inputs!$C$5+Inputs!$C$9*(A192/Inputs!$C$10)^2</x:f>
        <x:v>401.3611111111111</x:v>
      </x:c>
      <x:c r="C192" s="40" t="n">
        <x:f>B192</x:f>
        <x:v>401.3611111111111</x:v>
      </x:c>
      <x:c r="D192" s="40" t="n">
        <x:f>SQRT(A192^2+Inputs!$C$6^2+B192^2)</x:f>
        <x:v>403.65918980291485</x:v>
      </x:c>
      <x:c r="E192" s="40" t="n">
        <x:f>(D192-C192)*1000</x:f>
        <x:v>2298.0786918037666</x:v>
      </x:c>
      <x:c r="F192" s="40" t="n">
        <x:f>E192/Inputs!$C$12</x:f>
        <x:v>1291.0554448335768</x:v>
      </x:c>
      <x:c r="G192" s="40" t="n">
        <x:f>2*E192/Inputs!$C$21*1000000</x:f>
        <x:v>15.331130790513527</x:v>
      </x:c>
      <x:c r="H192" s="40" t="n">
        <x:f>SQRT(A192^2+Inputs!$C$6^2)</x:f>
        <x:v>43.01162633521314</x:v>
      </x:c>
      <x:c r="I192" s="40" t="n">
        <x:f>DEGREES(ATAN(H192/B192))</x:f>
        <x:v>6.116724388997361</x:v>
      </x:c>
      <x:c r="J192" s="40" t="n">
        <x:f>DEGREES((2*PI()/Inputs!$C$13)*Inputs!$C$15*SIN(RADIANS(I192)))</x:f>
        <x:v>38.35955150243656</x:v>
      </x:c>
      <x:c r="K192" s="40" t="n">
        <x:f>(C192/D192)^4</x:f>
        <x:v>0.9774212674058816</x:v>
      </x:c>
      <x:c r="L192" s="40" t="n">
        <x:f>10*LOG10(K192)</x:f>
        <x:v>-0.099182155262499</x:v>
      </x:c>
      <x:c r="M192" s="40" t="n">
        <x:f>2*(Inputs!$C$9/(Inputs!$C$10^2))*A192</x:f>
        <x:v>0.07777777777777778</x:v>
      </x:c>
      <x:c r="N192" s="40" t="n">
        <x:f>M192*Inputs!$C$11</x:f>
        <x:v>0.3111111111111111</x:v>
      </x:c>
      <x:c r="O192" s="40" t="n">
        <x:f>1000*((A192*Inputs!$C$11)+(B192*N192))/D192</x:f>
        <x:v>656.167152700992</x:v>
      </x:c>
      <x:c r="P192" s="40" t="n">
        <x:f>-2*O192/Inputs!$C$13</x:f>
        <x:v>-262.4668610803968</x:v>
      </x:c>
      <x:c r="Q192" s="40" t="n">
        <x:f>-2*O192/Inputs!$C$14</x:f>
        <x:v>-39.40943860066018</x:v>
      </x:c>
      <x:c r="R192" s="40" t="n">
        <x:f>F192-Inputs!$C$16/2</x:f>
        <x:v>1276.0554448335768</x:v>
      </x:c>
      <x:c r="S192" s="40" t="n">
        <x:f>F192+Inputs!$C$16/2</x:f>
        <x:v>1306.0554448335768</x:v>
      </x:c>
      <x:c r="T192" s="40" t="n">
        <x:f>F192-Inputs!$C$17/2</x:f>
        <x:v>1141.0554448335768</x:v>
      </x:c>
      <x:c r="U192" s="40" t="n">
        <x:f>F192+Inputs!$C$17/2</x:f>
        <x:v>1441.0554448335768</x:v>
      </x:c>
      <x:c r="V192" s="40" t="n">
        <x:f>ABS(P192)</x:f>
        <x:v>262.4668610803968</x:v>
      </x:c>
      <x:c r="W192" s="40" t="n">
        <x:f>ABS(Q192)</x:f>
        <x:v>39.40943860066018</x:v>
      </x:c>
      <x:c r="X192" s="40" t="n">
        <x:f>IF(Inputs!$C$27="ON",1,0)*(Inputs!$C$28*EXP(-(((A192)-Inputs!$C$29)^2)/(2*Inputs!$C$31^2))*EXP(-(((0)-Inputs!$C$30)^2)/(2*Inputs!$C$32^2))+-Inputs!$C$33*EXP(-(((((A192)-Inputs!$C$34)^2)+(((0)-Inputs!$C$35)^2))/(2*Inputs!$C$36^2)))+Inputs!$C$37*(0.55*SIN(2*PI()*(A192)/Inputs!$C$39)+0.35*COS(2*PI()*(0)/Inputs!$C$40)+0.2*SIN(2*PI()*((A192)+(0))/(0.5*(Inputs!$C$39+Inputs!$C$40))))+Inputs!$C$38*SIN(2*PI()*(A192)/Inputs!$C$39)*SIN(2*PI()*(0)/Inputs!$C$40)+-Inputs!$C$41*EXP(-(((0)-Inputs!$C$43)^2)/(2*Inputs!$C$44^2))*EXP(-(((A192)-Inputs!$C$42)^2)/(2*Inputs!$C$45^2)))</x:f>
        <x:v>16.172404294727308</x:v>
      </x:c>
      <x:c r="Y192" s="40" t="n">
        <x:f>IF(Inputs!$C$27="ON",1,0)*(Inputs!$C$28*EXP(-(((A192)-Inputs!$C$29)^2)/(2*Inputs!$C$31^2))*EXP(-(((Inputs!$C$6)-Inputs!$C$30)^2)/(2*Inputs!$C$32^2))+-Inputs!$C$33*EXP(-(((((A192)-Inputs!$C$34)^2)+(((Inputs!$C$6)-Inputs!$C$35)^2))/(2*Inputs!$C$36^2)))+Inputs!$C$37*(0.55*SIN(2*PI()*(A192)/Inputs!$C$39)+0.35*COS(2*PI()*(Inputs!$C$6)/Inputs!$C$40)+0.2*SIN(2*PI()*((A192)+(Inputs!$C$6))/(0.5*(Inputs!$C$39+Inputs!$C$40))))+Inputs!$C$38*SIN(2*PI()*(A192)/Inputs!$C$39)*SIN(2*PI()*(Inputs!$C$6)/Inputs!$C$40)+-Inputs!$C$41*EXP(-(((Inputs!$C$6)-Inputs!$C$43)^2)/(2*Inputs!$C$44^2))*EXP(-(((A192)-Inputs!$C$42)^2)/(2*Inputs!$C$45^2)))</x:f>
        <x:v>122.34131706845977</x:v>
      </x:c>
      <x:c r="Z192" s="40" t="n">
        <x:f>B192-X192/1000</x:f>
        <x:v>401.3449387068164</x:v>
      </x:c>
      <x:c r="AA192" s="40" t="n">
        <x:f>SQRT(A192^2+Inputs!$C$6^2+(B192-Y192/1000)^2)</x:f>
        <x:v>403.53754519974564</x:v>
      </x:c>
      <x:c r="AB192" s="40" t="n">
        <x:f>(AA192-Z192)*1000</x:f>
        <x:v>2192.606492929258</x:v>
      </x:c>
      <x:c r="AC192" s="40" t="n">
        <x:f>AB192/Inputs!$C$12</x:f>
        <x:v>1231.801400522055</x:v>
      </x:c>
      <x:c r="AD192" s="40" t="n">
        <x:f>2*AB192/Inputs!$C$21*1000000</x:f>
        <x:v>14.627496018790826</x:v>
      </x:c>
      <x:c r="AE192" s="40" t="n">
        <x:f>DEGREES(ATAN(H192/(B192-Y192/1000)))</x:f>
        <x:v>6.118575288575025</x:v>
      </x:c>
      <x:c r="AF192" s="40" t="n">
        <x:f>DEGREES((2*PI()/Inputs!$C$13)*Inputs!$C$15*SIN(RADIANS(AE192)))</x:f>
        <x:v>38.37111481909884</x:v>
      </x:c>
      <x:c r="AG192" s="40" t="n">
        <x:f>(Z192/AA192)^4</x:f>
        <x:v>0.9784426406774855</x:v>
      </x:c>
      <x:c r="AH192" s="40" t="n">
        <x:f>10*LOG10(AG192)</x:f>
        <x:v>-0.094646289404864</x:v>
      </x:c>
      <x:c r="AI192" s="40" t="n">
        <x:f>AC192-F192</x:f>
        <x:v>-59.25404431152174</x:v>
      </x:c>
      <x:c r="AJ192" s="40" t="n">
        <x:f>AD192-G192</x:f>
        <x:v>-0.703634771722701</x:v>
      </x:c>
      <x:c r="AK192" s="40" t="n">
        <x:f>Y192-X192</x:f>
        <x:v>106.16891277373247</x:v>
      </x:c>
      <x:c r="AL192" s="40" t="n">
        <x:f>1000*(AA193-AA191)/(A193-A191)*Inputs!$C$11</x:f>
        <x:v>594.8581433406162</x:v>
      </x:c>
      <x:c r="AM192" s="40" t="n">
        <x:f>-2*AL192/Inputs!$C$13</x:f>
        <x:v>-237.94325733624646</x:v>
      </x:c>
      <x:c r="AN192" s="40" t="n">
        <x:f>-2*AL192/Inputs!$C$14</x:f>
        <x:v>-35.72721581625323</x:v>
      </x:c>
      <x:c r="AO192" s="40" t="n">
        <x:f>ABS(AM192)</x:f>
        <x:v>237.94325733624646</x:v>
      </x:c>
      <x:c r="AP192" s="40" t="n">
        <x:f>ABS(AN192)</x:f>
        <x:v>35.72721581625323</x:v>
      </x:c>
      <x:c r="AQ192" s="40" t="n">
        <x:f>IF(Inputs!$C$27="ON",Inputs!$C$46/Inputs!$C$12,0)</x:f>
        <x:v>42.13483146067416</x:v>
      </x:c>
      <x:c r="AR192" s="40" t="n">
        <x:f>AC192-AQ192</x:f>
        <x:v>1189.6665690613809</x:v>
      </x:c>
      <x:c r="AS192" s="40" t="n">
        <x:f>AC192+AQ192</x:f>
        <x:v>1273.9362319827292</x:v>
      </x:c>
    </x:row>
    <x:row r="193">
      <x:c r="A193" s="40" t="n">
        <x:f>Inputs!$C$7+191*(Inputs!$C$8-Inputs!$C$7)/240</x:f>
        <x:v>35.5</x:v>
      </x:c>
      <x:c r="B193" s="40" t="n">
        <x:f>Inputs!$C$5+Inputs!$C$9*(A193/Inputs!$C$10)^2</x:f>
        <x:v>401.4002777777778</x:v>
      </x:c>
      <x:c r="C193" s="40" t="n">
        <x:f>B193</x:f>
        <x:v>401.4002777777778</x:v>
      </x:c>
      <x:c r="D193" s="40" t="n">
        <x:f>SQRT(A193^2+Inputs!$C$6^2+B193^2)</x:f>
        <x:v>403.74179000950244</x:v>
      </x:c>
      <x:c r="E193" s="40" t="n">
        <x:f>(D193-C193)*1000</x:f>
        <x:v>2341.512231724664</x:v>
      </x:c>
      <x:c r="F193" s="40" t="n">
        <x:f>E193/Inputs!$C$12</x:f>
        <x:v>1315.4563099576765</x:v>
      </x:c>
      <x:c r="G193" s="40" t="n">
        <x:f>2*E193/Inputs!$C$21*1000000</x:f>
        <x:v>15.620888179412866</x:v>
      </x:c>
      <x:c r="H193" s="40" t="n">
        <x:f>SQRT(A193^2+Inputs!$C$6^2)</x:f>
        <x:v>43.41946568072896</x:v>
      </x:c>
      <x:c r="I193" s="40" t="n">
        <x:f>DEGREES(ATAN(H193/B193))</x:f>
        <x:v>6.173679915861962</x:v>
      </x:c>
      <x:c r="J193" s="40" t="n">
        <x:f>DEGREES((2*PI()/Inputs!$C$13)*Inputs!$C$15*SIN(RADIANS(I193)))</x:f>
        <x:v>38.71535727003771</x:v>
      </x:c>
      <x:c r="K193" s="40" t="n">
        <x:f>(C193/D193)^4</x:f>
        <x:v>0.977002911975787</x:v>
      </x:c>
      <x:c r="L193" s="40" t="n">
        <x:f>10*LOG10(K193)</x:f>
        <x:v>-0.101041418563231</x:v>
      </x:c>
      <x:c r="M193" s="40" t="n">
        <x:f>2*(Inputs!$C$9/(Inputs!$C$10^2))*A193</x:f>
        <x:v>0.07888888888888888</x:v>
      </x:c>
      <x:c r="N193" s="40" t="n">
        <x:f>M193*Inputs!$C$11</x:f>
        <x:v>0.31555555555555553</x:v>
      </x:c>
      <x:c r="O193" s="40" t="n">
        <x:f>1000*((A193*Inputs!$C$11)+(B193*N193))/D193</x:f>
        <x:v>665.4354201183822</x:v>
      </x:c>
      <x:c r="P193" s="40" t="n">
        <x:f>-2*O193/Inputs!$C$13</x:f>
        <x:v>-266.1741680473529</x:v>
      </x:c>
      <x:c r="Q193" s="40" t="n">
        <x:f>-2*O193/Inputs!$C$14</x:f>
        <x:v>-39.96609129840134</x:v>
      </x:c>
      <x:c r="R193" s="40" t="n">
        <x:f>F193-Inputs!$C$16/2</x:f>
        <x:v>1300.4563099576765</x:v>
      </x:c>
      <x:c r="S193" s="40" t="n">
        <x:f>F193+Inputs!$C$16/2</x:f>
        <x:v>1330.4563099576765</x:v>
      </x:c>
      <x:c r="T193" s="40" t="n">
        <x:f>F193-Inputs!$C$17/2</x:f>
        <x:v>1165.4563099576765</x:v>
      </x:c>
      <x:c r="U193" s="40" t="n">
        <x:f>F193+Inputs!$C$17/2</x:f>
        <x:v>1465.4563099576765</x:v>
      </x:c>
      <x:c r="V193" s="40" t="n">
        <x:f>ABS(P193)</x:f>
        <x:v>266.1741680473529</x:v>
      </x:c>
      <x:c r="W193" s="40" t="n">
        <x:f>ABS(Q193)</x:f>
        <x:v>39.96609129840134</x:v>
      </x:c>
      <x:c r="X193" s="40" t="n">
        <x:f>IF(Inputs!$C$27="ON",1,0)*(Inputs!$C$28*EXP(-(((A193)-Inputs!$C$29)^2)/(2*Inputs!$C$31^2))*EXP(-(((0)-Inputs!$C$30)^2)/(2*Inputs!$C$32^2))+-Inputs!$C$33*EXP(-(((((A193)-Inputs!$C$34)^2)+(((0)-Inputs!$C$35)^2))/(2*Inputs!$C$36^2)))+Inputs!$C$37*(0.55*SIN(2*PI()*(A193)/Inputs!$C$39)+0.35*COS(2*PI()*(0)/Inputs!$C$40)+0.2*SIN(2*PI()*((A193)+(0))/(0.5*(Inputs!$C$39+Inputs!$C$40))))+Inputs!$C$38*SIN(2*PI()*(A193)/Inputs!$C$39)*SIN(2*PI()*(0)/Inputs!$C$40)+-Inputs!$C$41*EXP(-(((0)-Inputs!$C$43)^2)/(2*Inputs!$C$44^2))*EXP(-(((A193)-Inputs!$C$42)^2)/(2*Inputs!$C$45^2)))</x:f>
        <x:v>20.63922648162064</x:v>
      </x:c>
      <x:c r="Y193" s="40" t="n">
        <x:f>IF(Inputs!$C$27="ON",1,0)*(Inputs!$C$28*EXP(-(((A193)-Inputs!$C$29)^2)/(2*Inputs!$C$31^2))*EXP(-(((Inputs!$C$6)-Inputs!$C$30)^2)/(2*Inputs!$C$32^2))+-Inputs!$C$33*EXP(-(((((A193)-Inputs!$C$34)^2)+(((Inputs!$C$6)-Inputs!$C$35)^2))/(2*Inputs!$C$36^2)))+Inputs!$C$37*(0.55*SIN(2*PI()*(A193)/Inputs!$C$39)+0.35*COS(2*PI()*(Inputs!$C$6)/Inputs!$C$40)+0.2*SIN(2*PI()*((A193)+(Inputs!$C$6))/(0.5*(Inputs!$C$39+Inputs!$C$40))))+Inputs!$C$38*SIN(2*PI()*(A193)/Inputs!$C$39)*SIN(2*PI()*(Inputs!$C$6)/Inputs!$C$40)+-Inputs!$C$41*EXP(-(((Inputs!$C$6)-Inputs!$C$43)^2)/(2*Inputs!$C$44^2))*EXP(-(((A193)-Inputs!$C$42)^2)/(2*Inputs!$C$45^2)))</x:f>
        <x:v>130.3680405449295</x:v>
      </x:c>
      <x:c r="Z193" s="40" t="n">
        <x:f>B193-X193/1000</x:f>
        <x:v>401.3796385512961</x:v>
      </x:c>
      <x:c r="AA193" s="40" t="n">
        <x:f>SQRT(A193^2+Inputs!$C$6^2+(B193-Y193/1000)^2)</x:f>
        <x:v>403.61217828569914</x:v>
      </x:c>
      <x:c r="AB193" s="40" t="n">
        <x:f>(AA193-Z193)*1000</x:f>
        <x:v>2232.5397344030193</x:v>
      </x:c>
      <x:c r="AC193" s="40" t="n">
        <x:f>AB193/Inputs!$C$12</x:f>
        <x:v>1254.2358058443929</x:v>
      </x:c>
      <x:c r="AD193" s="40" t="n">
        <x:f>2*AB193/Inputs!$C$21*1000000</x:f>
        <x:v>14.893901930001316</x:v>
      </x:c>
      <x:c r="AE193" s="40" t="n">
        <x:f>DEGREES(ATAN(H193/(B193-Y193/1000)))</x:f>
        <x:v>6.17567017799107</x:v>
      </x:c>
      <x:c r="AF193" s="40" t="n">
        <x:f>DEGREES((2*PI()/Inputs!$C$13)*Inputs!$C$15*SIN(RADIANS(AE193)))</x:f>
        <x:v>38.72778990825676</x:v>
      </x:c>
      <x:c r="AG193" s="40" t="n">
        <x:f>(Z193/AA193)^4</x:f>
        <x:v>0.9780573088049891</x:v>
      </x:c>
      <x:c r="AH193" s="40" t="n">
        <x:f>10*LOG10(AG193)</x:f>
        <x:v>-0.0963569718726523</x:v>
      </x:c>
      <x:c r="AI193" s="40" t="n">
        <x:f>AC193-F193</x:f>
        <x:v>-61.220504113283596</x:v>
      </x:c>
      <x:c r="AJ193" s="40" t="n">
        <x:f>AD193-G193</x:f>
        <x:v>-0.7269862494115493</x:v>
      </x:c>
      <x:c r="AK193" s="40" t="n">
        <x:f>Y193-X193</x:f>
        <x:v>109.72881406330886</x:v>
      </x:c>
      <x:c r="AL193" s="40" t="n">
        <x:f>1000*(AA194-AA192)/(A194-A192)*Inputs!$C$11</x:f>
        <x:v>600.817619129657</x:v>
      </x:c>
      <x:c r="AM193" s="40" t="n">
        <x:f>-2*AL193/Inputs!$C$13</x:f>
        <x:v>-240.3270476518628</x:v>
      </x:c>
      <x:c r="AN193" s="40" t="n">
        <x:f>-2*AL193/Inputs!$C$14</x:f>
        <x:v>-36.08514229006949</x:v>
      </x:c>
      <x:c r="AO193" s="40" t="n">
        <x:f>ABS(AM193)</x:f>
        <x:v>240.3270476518628</x:v>
      </x:c>
      <x:c r="AP193" s="40" t="n">
        <x:f>ABS(AN193)</x:f>
        <x:v>36.08514229006949</x:v>
      </x:c>
      <x:c r="AQ193" s="40" t="n">
        <x:f>IF(Inputs!$C$27="ON",Inputs!$C$46/Inputs!$C$12,0)</x:f>
        <x:v>42.13483146067416</x:v>
      </x:c>
      <x:c r="AR193" s="40" t="n">
        <x:f>AC193-AQ193</x:f>
        <x:v>1212.1009743837187</x:v>
      </x:c>
      <x:c r="AS193" s="40" t="n">
        <x:f>AC193+AQ193</x:f>
        <x:v>1296.370637305067</x:v>
      </x:c>
    </x:row>
    <x:row r="194">
      <x:c r="A194" s="40" t="n">
        <x:f>Inputs!$C$7+192*(Inputs!$C$8-Inputs!$C$7)/240</x:f>
        <x:v>36</x:v>
      </x:c>
      <x:c r="B194" s="40" t="n">
        <x:f>Inputs!$C$5+Inputs!$C$9*(A194/Inputs!$C$10)^2</x:f>
        <x:v>401.44</x:v>
      </x:c>
      <x:c r="C194" s="40" t="n">
        <x:f>B194</x:f>
        <x:v>401.44</x:v>
      </x:c>
      <x:c r="D194" s="40" t="n">
        <x:f>SQRT(A194^2+Inputs!$C$6^2+B194^2)</x:f>
        <x:v>403.82554847359523</x:v>
      </x:c>
      <x:c r="E194" s="40" t="n">
        <x:f>(D194-C194)*1000</x:f>
        <x:v>2385.548473595236</x:v>
      </x:c>
      <x:c r="F194" s="40" t="n">
        <x:f>E194/Inputs!$C$12</x:f>
        <x:v>1340.195771682717</x:v>
      </x:c>
      <x:c r="G194" s="40" t="n">
        <x:f>2*E194/Inputs!$C$21*1000000</x:f>
        <x:v>15.914666362922551</x:v>
      </x:c>
      <x:c r="H194" s="40" t="n">
        <x:f>SQRT(A194^2+Inputs!$C$6^2)</x:f>
        <x:v>43.829214001622255</x:v>
      </x:c>
      <x:c r="I194" s="40" t="n">
        <x:f>DEGREES(ATAN(H194/B194))</x:f>
        <x:v>6.23087278213282</x:v>
      </x:c>
      <x:c r="J194" s="40" t="n">
        <x:f>DEGREES((2*PI()/Inputs!$C$13)*Inputs!$C$15*SIN(RADIANS(I194)))</x:f>
        <x:v>39.0726072191931</x:v>
      </x:c>
      <x:c r="K194" s="40" t="n">
        <x:f>(C194/D194)^4</x:f>
        <x:v>0.9765790637236926</x:v>
      </x:c>
      <x:c r="L194" s="40" t="n">
        <x:f>10*LOG10(K194)</x:f>
        <x:v>-0.102925905236704</x:v>
      </x:c>
      <x:c r="M194" s="40" t="n">
        <x:f>2*(Inputs!$C$9/(Inputs!$C$10^2))*A194</x:f>
        <x:v>0.08</x:v>
      </x:c>
      <x:c r="N194" s="40" t="n">
        <x:f>M194*Inputs!$C$11</x:f>
        <x:v>0.32</x:v>
      </x:c>
      <x:c r="O194" s="40" t="n">
        <x:f>1000*((A194*Inputs!$C$11)+(B194*N194))/D194</x:f>
        <x:v>674.6992631592136</x:v>
      </x:c>
      <x:c r="P194" s="40" t="n">
        <x:f>-2*O194/Inputs!$C$13</x:f>
        <x:v>-269.8797052636854</x:v>
      </x:c>
      <x:c r="Q194" s="40" t="n">
        <x:f>-2*O194/Inputs!$C$14</x:f>
        <x:v>-40.52247826782064</x:v>
      </x:c>
      <x:c r="R194" s="40" t="n">
        <x:f>F194-Inputs!$C$16/2</x:f>
        <x:v>1325.195771682717</x:v>
      </x:c>
      <x:c r="S194" s="40" t="n">
        <x:f>F194+Inputs!$C$16/2</x:f>
        <x:v>1355.195771682717</x:v>
      </x:c>
      <x:c r="T194" s="40" t="n">
        <x:f>F194-Inputs!$C$17/2</x:f>
        <x:v>1190.195771682717</x:v>
      </x:c>
      <x:c r="U194" s="40" t="n">
        <x:f>F194+Inputs!$C$17/2</x:f>
        <x:v>1490.195771682717</x:v>
      </x:c>
      <x:c r="V194" s="40" t="n">
        <x:f>ABS(P194)</x:f>
        <x:v>269.8797052636854</x:v>
      </x:c>
      <x:c r="W194" s="40" t="n">
        <x:f>ABS(Q194)</x:f>
        <x:v>40.52247826782064</x:v>
      </x:c>
      <x:c r="X194" s="40" t="n">
        <x:f>IF(Inputs!$C$27="ON",1,0)*(Inputs!$C$28*EXP(-(((A194)-Inputs!$C$29)^2)/(2*Inputs!$C$31^2))*EXP(-(((0)-Inputs!$C$30)^2)/(2*Inputs!$C$32^2))+-Inputs!$C$33*EXP(-(((((A194)-Inputs!$C$34)^2)+(((0)-Inputs!$C$35)^2))/(2*Inputs!$C$36^2)))+Inputs!$C$37*(0.55*SIN(2*PI()*(A194)/Inputs!$C$39)+0.35*COS(2*PI()*(0)/Inputs!$C$40)+0.2*SIN(2*PI()*((A194)+(0))/(0.5*(Inputs!$C$39+Inputs!$C$40))))+Inputs!$C$38*SIN(2*PI()*(A194)/Inputs!$C$39)*SIN(2*PI()*(0)/Inputs!$C$40)+-Inputs!$C$41*EXP(-(((0)-Inputs!$C$43)^2)/(2*Inputs!$C$44^2))*EXP(-(((A194)-Inputs!$C$42)^2)/(2*Inputs!$C$45^2)))</x:f>
        <x:v>24.87304115933043</x:v>
      </x:c>
      <x:c r="Y194" s="40" t="n">
        <x:f>IF(Inputs!$C$27="ON",1,0)*(Inputs!$C$28*EXP(-(((A194)-Inputs!$C$29)^2)/(2*Inputs!$C$31^2))*EXP(-(((Inputs!$C$6)-Inputs!$C$30)^2)/(2*Inputs!$C$32^2))+-Inputs!$C$33*EXP(-(((((A194)-Inputs!$C$34)^2)+(((Inputs!$C$6)-Inputs!$C$35)^2))/(2*Inputs!$C$36^2)))+Inputs!$C$37*(0.55*SIN(2*PI()*(A194)/Inputs!$C$39)+0.35*COS(2*PI()*(Inputs!$C$6)/Inputs!$C$40)+0.2*SIN(2*PI()*((A194)+(Inputs!$C$6))/(0.5*(Inputs!$C$39+Inputs!$C$40))))+Inputs!$C$38*SIN(2*PI()*(A194)/Inputs!$C$39)*SIN(2*PI()*(Inputs!$C$6)/Inputs!$C$40)+-Inputs!$C$41*EXP(-(((Inputs!$C$6)-Inputs!$C$43)^2)/(2*Inputs!$C$44^2))*EXP(-(((A194)-Inputs!$C$42)^2)/(2*Inputs!$C$45^2)))</x:f>
        <x:v>138.61801786909967</x:v>
      </x:c>
      <x:c r="Z194" s="40" t="n">
        <x:f>B194-X194/1000</x:f>
        <x:v>401.4151269588407</x:v>
      </x:c>
      <x:c r="AA194" s="40" t="n">
        <x:f>SQRT(A194^2+Inputs!$C$6^2+(B194-Y194/1000)^2)</x:f>
        <x:v>403.68774960452805</x:v>
      </x:c>
      <x:c r="AB194" s="40" t="n">
        <x:f>(AA194-Z194)*1000</x:f>
        <x:v>2272.6226456873633</x:v>
      </x:c>
      <x:c r="AC194" s="40" t="n">
        <x:f>AB194/Inputs!$C$12</x:f>
        <x:v>1276.7542953299794</x:v>
      </x:c>
      <x:c r="AD194" s="40" t="n">
        <x:f>2*AB194/Inputs!$C$21*1000000</x:f>
        <x:v>15.161306330710715</x:v>
      </x:c>
      <x:c r="AE194" s="40" t="n">
        <x:f>DEGREES(ATAN(H194/(B194-Y194/1000)))</x:f>
        <x:v>6.233008120175426</x:v>
      </x:c>
      <x:c r="AF194" s="40" t="n">
        <x:f>DEGREES((2*PI()/Inputs!$C$13)*Inputs!$C$15*SIN(RADIANS(AE194)))</x:f>
        <x:v>39.08594465906237</x:v>
      </x:c>
      <x:c r="AG194" s="40" t="n">
        <x:f>(Z194/AA194)^4</x:f>
        <x:v>0.9776708265081663</x:v>
      </x:c>
      <x:c r="AH194" s="40" t="n">
        <x:f>10*LOG10(AG194)</x:f>
        <x:v>-0.0980734387784319</x:v>
      </x:c>
      <x:c r="AI194" s="40" t="n">
        <x:f>AC194-F194</x:f>
        <x:v>-63.44147635273748</x:v>
      </x:c>
      <x:c r="AJ194" s="40" t="n">
        <x:f>AD194-G194</x:f>
        <x:v>-0.7533600322118357</x:v>
      </x:c>
      <x:c r="AK194" s="40" t="n">
        <x:f>Y194-X194</x:f>
        <x:v>113.74497670976925</x:v>
      </x:c>
      <x:c r="AL194" s="40" t="n">
        <x:f>1000*(AA195-AA193)/(A195-A193)*Inputs!$C$11</x:f>
        <x:v>609.8830623607228</x:v>
      </x:c>
      <x:c r="AM194" s="40" t="n">
        <x:f>-2*AL194/Inputs!$C$13</x:f>
        <x:v>-243.9532249442891</x:v>
      </x:c>
      <x:c r="AN194" s="40" t="n">
        <x:f>-2*AL194/Inputs!$C$14</x:f>
        <x:v>-36.62961335499837</x:v>
      </x:c>
      <x:c r="AO194" s="40" t="n">
        <x:f>ABS(AM194)</x:f>
        <x:v>243.9532249442891</x:v>
      </x:c>
      <x:c r="AP194" s="40" t="n">
        <x:f>ABS(AN194)</x:f>
        <x:v>36.62961335499837</x:v>
      </x:c>
      <x:c r="AQ194" s="40" t="n">
        <x:f>IF(Inputs!$C$27="ON",Inputs!$C$46/Inputs!$C$12,0)</x:f>
        <x:v>42.13483146067416</x:v>
      </x:c>
      <x:c r="AR194" s="40" t="n">
        <x:f>AC194-AQ194</x:f>
        <x:v>1234.6194638693053</x:v>
      </x:c>
      <x:c r="AS194" s="40" t="n">
        <x:f>AC194+AQ194</x:f>
        <x:v>1318.8891267906536</x:v>
      </x:c>
    </x:row>
    <x:row r="195">
      <x:c r="A195" s="40" t="n">
        <x:f>Inputs!$C$7+193*(Inputs!$C$8-Inputs!$C$7)/240</x:f>
        <x:v>36.5</x:v>
      </x:c>
      <x:c r="B195" s="40" t="n">
        <x:f>Inputs!$C$5+Inputs!$C$9*(A195/Inputs!$C$10)^2</x:f>
        <x:v>401.48027777777776</x:v>
      </x:c>
      <x:c r="C195" s="40" t="n">
        <x:f>B195</x:f>
        <x:v>401.48027777777776</x:v>
      </x:c>
      <x:c r="D195" s="40" t="n">
        <x:f>SQRT(A195^2+Inputs!$C$6^2+B195^2)</x:f>
        <x:v>403.91046463854036</x:v>
      </x:c>
      <x:c r="E195" s="40" t="n">
        <x:f>(D195-C195)*1000</x:f>
        <x:v>2430.1868607626034</x:v>
      </x:c>
      <x:c r="F195" s="40" t="n">
        <x:f>E195/Inputs!$C$12</x:f>
        <x:v>1365.2735172823614</x:v>
      </x:c>
      <x:c r="G195" s="40" t="n">
        <x:f>2*E195/Inputs!$C$21*1000000</x:f>
        <x:v>16.212461627454307</x:v>
      </x:c>
      <x:c r="H195" s="40" t="n">
        <x:f>SQRT(A195^2+Inputs!$C$6^2)</x:f>
        <x:v>44.24081825644729</x:v>
      </x:c>
      <x:c r="I195" s="40" t="n">
        <x:f>DEGREES(ATAN(H195/B195))</x:f>
        <x:v>6.288294925190011</x:v>
      </x:c>
      <x:c r="J195" s="40" t="n">
        <x:f>DEGREES((2*PI()/Inputs!$C$13)*Inputs!$C$15*SIN(RADIANS(I195)))</x:f>
        <x:v>39.43125015731848</x:v>
      </x:c>
      <x:c r="K195" s="40" t="n">
        <x:f>(C195/D195)^4</x:f>
        <x:v>0.9761497406395917</x:v>
      </x:c>
      <x:c r="L195" s="40" t="n">
        <x:f>10*LOG10(K195)</x:f>
        <x:v>-0.10483556774556099</x:v>
      </x:c>
      <x:c r="M195" s="40" t="n">
        <x:f>2*(Inputs!$C$9/(Inputs!$C$10^2))*A195</x:f>
        <x:v>0.0811111111111111</x:v>
      </x:c>
      <x:c r="N195" s="40" t="n">
        <x:f>M195*Inputs!$C$11</x:f>
        <x:v>0.3244444444444444</x:v>
      </x:c>
      <x:c r="O195" s="40" t="n">
        <x:f>1000*((A195*Inputs!$C$11)+(B195*N195))/D195</x:f>
        <x:v>683.9586241625003</x:v>
      </x:c>
      <x:c r="P195" s="40" t="n">
        <x:f>-2*O195/Inputs!$C$13</x:f>
        <x:v>-273.5834496650001</x:v>
      </x:c>
      <x:c r="Q195" s="40" t="n">
        <x:f>-2*O195/Inputs!$C$14</x:f>
        <x:v>-41.07859604579582</x:v>
      </x:c>
      <x:c r="R195" s="40" t="n">
        <x:f>F195-Inputs!$C$16/2</x:f>
        <x:v>1350.2735172823614</x:v>
      </x:c>
      <x:c r="S195" s="40" t="n">
        <x:f>F195+Inputs!$C$16/2</x:f>
        <x:v>1380.2735172823614</x:v>
      </x:c>
      <x:c r="T195" s="40" t="n">
        <x:f>F195-Inputs!$C$17/2</x:f>
        <x:v>1215.2735172823614</x:v>
      </x:c>
      <x:c r="U195" s="40" t="n">
        <x:f>F195+Inputs!$C$17/2</x:f>
        <x:v>1515.2735172823614</x:v>
      </x:c>
      <x:c r="V195" s="40" t="n">
        <x:f>ABS(P195)</x:f>
        <x:v>273.5834496650001</x:v>
      </x:c>
      <x:c r="W195" s="40" t="n">
        <x:f>ABS(Q195)</x:f>
        <x:v>41.07859604579582</x:v>
      </x:c>
      <x:c r="X195" s="40" t="n">
        <x:f>IF(Inputs!$C$27="ON",1,0)*(Inputs!$C$28*EXP(-(((A195)-Inputs!$C$29)^2)/(2*Inputs!$C$31^2))*EXP(-(((0)-Inputs!$C$30)^2)/(2*Inputs!$C$32^2))+-Inputs!$C$33*EXP(-(((((A195)-Inputs!$C$34)^2)+(((0)-Inputs!$C$35)^2))/(2*Inputs!$C$36^2)))+Inputs!$C$37*(0.55*SIN(2*PI()*(A195)/Inputs!$C$39)+0.35*COS(2*PI()*(0)/Inputs!$C$40)+0.2*SIN(2*PI()*((A195)+(0))/(0.5*(Inputs!$C$39+Inputs!$C$40))))+Inputs!$C$38*SIN(2*PI()*(A195)/Inputs!$C$39)*SIN(2*PI()*(0)/Inputs!$C$40)+-Inputs!$C$41*EXP(-(((0)-Inputs!$C$43)^2)/(2*Inputs!$C$44^2))*EXP(-(((A195)-Inputs!$C$42)^2)/(2*Inputs!$C$45^2)))</x:f>
        <x:v>28.773472630990696</x:v>
      </x:c>
      <x:c r="Y195" s="40" t="n">
        <x:f>IF(Inputs!$C$27="ON",1,0)*(Inputs!$C$28*EXP(-(((A195)-Inputs!$C$29)^2)/(2*Inputs!$C$31^2))*EXP(-(((Inputs!$C$6)-Inputs!$C$30)^2)/(2*Inputs!$C$32^2))+-Inputs!$C$33*EXP(-(((((A195)-Inputs!$C$34)^2)+(((Inputs!$C$6)-Inputs!$C$35)^2))/(2*Inputs!$C$36^2)))+Inputs!$C$37*(0.55*SIN(2*PI()*(A195)/Inputs!$C$39)+0.35*COS(2*PI()*(Inputs!$C$6)/Inputs!$C$40)+0.2*SIN(2*PI()*((A195)+(Inputs!$C$6))/(0.5*(Inputs!$C$39+Inputs!$C$40))))+Inputs!$C$38*SIN(2*PI()*(A195)/Inputs!$C$39)*SIN(2*PI()*(Inputs!$C$6)/Inputs!$C$40)+-Inputs!$C$41*EXP(-(((Inputs!$C$6)-Inputs!$C$43)^2)/(2*Inputs!$C$44^2))*EXP(-(((A195)-Inputs!$C$42)^2)/(2*Inputs!$C$45^2)))</x:f>
        <x:v>146.69854036724973</x:v>
      </x:c>
      <x:c r="Z195" s="40" t="n">
        <x:f>B195-X195/1000</x:f>
        <x:v>401.4515043051468</x:v>
      </x:c>
      <x:c r="AA195" s="40" t="n">
        <x:f>SQRT(A195^2+Inputs!$C$6^2+(B195-Y195/1000)^2)</x:f>
        <x:v>403.7646490512893</x:v>
      </x:c>
      <x:c r="AB195" s="40" t="n">
        <x:f>(AA195-Z195)*1000</x:f>
        <x:v>2313.144746142541</x:v>
      </x:c>
      <x:c r="AC195" s="40" t="n">
        <x:f>AB195/Inputs!$C$12</x:f>
        <x:v>1299.5195203047983</x:v>
      </x:c>
      <x:c r="AD195" s="40" t="n">
        <x:f>2*AB195/Inputs!$C$21*1000000</x:f>
        <x:v>15.431640686187915</x:v>
      </x:c>
      <x:c r="AE195" s="40" t="n">
        <x:f>DEGREES(ATAN(H195/(B195-Y195/1000)))</x:f>
        <x:v>6.290575047681686</x:v>
      </x:c>
      <x:c r="AF195" s="40" t="n">
        <x:f>DEGREES((2*PI()/Inputs!$C$13)*Inputs!$C$15*SIN(RADIANS(AE195)))</x:f>
        <x:v>39.44549036113831</x:v>
      </x:c>
      <x:c r="AG195" s="40" t="n">
        <x:f>(Z195/AA195)^4</x:f>
        <x:v>0.9772804008504281</x:v>
      </x:c>
      <x:c r="AH195" s="40" t="n">
        <x:f>10*LOG10(AG195)</x:f>
        <x:v>-0.09980810825386949</x:v>
      </x:c>
      <x:c r="AI195" s="40" t="n">
        <x:f>AC195-F195</x:f>
        <x:v>-65.75399697756302</x:v>
      </x:c>
      <x:c r="AJ195" s="40" t="n">
        <x:f>AD195-G195</x:f>
        <x:v>-0.7808209412663913</x:v>
      </x:c>
      <x:c r="AK195" s="40" t="n">
        <x:f>Y195-X195</x:f>
        <x:v>117.92506773625904</x:v>
      </x:c>
      <x:c r="AL195" s="40" t="n">
        <x:f>1000*(AA196-AA194)/(A196-A194)*Inputs!$C$11</x:f>
        <x:v>622.0272578602817</x:v>
      </x:c>
      <x:c r="AM195" s="40" t="n">
        <x:f>-2*AL195/Inputs!$C$13</x:f>
        <x:v>-248.81090314411267</x:v>
      </x:c>
      <x:c r="AN195" s="40" t="n">
        <x:f>-2*AL195/Inputs!$C$14</x:f>
        <x:v>-37.35899446608299</x:v>
      </x:c>
      <x:c r="AO195" s="40" t="n">
        <x:f>ABS(AM195)</x:f>
        <x:v>248.81090314411267</x:v>
      </x:c>
      <x:c r="AP195" s="40" t="n">
        <x:f>ABS(AN195)</x:f>
        <x:v>37.35899446608299</x:v>
      </x:c>
      <x:c r="AQ195" s="40" t="n">
        <x:f>IF(Inputs!$C$27="ON",Inputs!$C$46/Inputs!$C$12,0)</x:f>
        <x:v>42.13483146067416</x:v>
      </x:c>
      <x:c r="AR195" s="40" t="n">
        <x:f>AC195-AQ195</x:f>
        <x:v>1257.3846888441242</x:v>
      </x:c>
      <x:c r="AS195" s="40" t="n">
        <x:f>AC195+AQ195</x:f>
        <x:v>1341.6543517654725</x:v>
      </x:c>
    </x:row>
    <x:row r="196">
      <x:c r="A196" s="40" t="n">
        <x:f>Inputs!$C$7+194*(Inputs!$C$8-Inputs!$C$7)/240</x:f>
        <x:v>37</x:v>
      </x:c>
      <x:c r="B196" s="40" t="n">
        <x:f>Inputs!$C$5+Inputs!$C$9*(A196/Inputs!$C$10)^2</x:f>
        <x:v>401.5211111111111</x:v>
      </x:c>
      <x:c r="C196" s="40" t="n">
        <x:f>B196</x:f>
        <x:v>401.5211111111111</x:v>
      </x:c>
      <x:c r="D196" s="40" t="n">
        <x:f>SQRT(A196^2+Inputs!$C$6^2+B196^2)</x:f>
        <x:v>403.9965379404893</x:v>
      </x:c>
      <x:c r="E196" s="40" t="n">
        <x:f>(D196-C196)*1000</x:f>
        <x:v>2475.4268293781934</x:v>
      </x:c>
      <x:c r="F196" s="40" t="n">
        <x:f>E196/Inputs!$C$12</x:f>
        <x:v>1390.689229987749</x:v>
      </x:c>
      <x:c r="G196" s="40" t="n">
        <x:f>2*E196/Inputs!$C$21*1000000</x:f>
        <x:v>16.514270211415347</x:v>
      </x:c>
      <x:c r="H196" s="40" t="n">
        <x:f>SQRT(A196^2+Inputs!$C$6^2)</x:f>
        <x:v>44.654227123532216</x:v>
      </x:c>
      <x:c r="I196" s="40" t="n">
        <x:f>DEGREES(ATAN(H196/B196))</x:f>
        <x:v>6.345938529407371</x:v>
      </x:c>
      <x:c r="J196" s="40" t="n">
        <x:f>DEGREES((2*PI()/Inputs!$C$13)*Inputs!$C$15*SIN(RADIANS(I196)))</x:f>
        <x:v>39.791236445792514</x:v>
      </x:c>
      <x:c r="K196" s="40" t="n">
        <x:f>(C196/D196)^4</x:f>
        <x:v>0.9757149609204623</x:v>
      </x:c>
      <x:c r="L196" s="40" t="n">
        <x:f>10*LOG10(K196)</x:f>
        <x:v>-0.106770357957541</x:v>
      </x:c>
      <x:c r="M196" s="40" t="n">
        <x:f>2*(Inputs!$C$9/(Inputs!$C$10^2))*A196</x:f>
        <x:v>0.08222222222222222</x:v>
      </x:c>
      <x:c r="N196" s="40" t="n">
        <x:f>M196*Inputs!$C$11</x:f>
        <x:v>0.3288888888888889</x:v>
      </x:c>
      <x:c r="O196" s="40" t="n">
        <x:f>1000*((A196*Inputs!$C$11)+(B196*N196))/D196</x:f>
        <x:v>693.2134456558613</x:v>
      </x:c>
      <x:c r="P196" s="40" t="n">
        <x:f>-2*O196/Inputs!$C$13</x:f>
        <x:v>-277.2853782623445</x:v>
      </x:c>
      <x:c r="Q196" s="40" t="n">
        <x:f>-2*O196/Inputs!$C$14</x:f>
        <x:v>-41.634441180532214</x:v>
      </x:c>
      <x:c r="R196" s="40" t="n">
        <x:f>F196-Inputs!$C$16/2</x:f>
        <x:v>1375.689229987749</x:v>
      </x:c>
      <x:c r="S196" s="40" t="n">
        <x:f>F196+Inputs!$C$16/2</x:f>
        <x:v>1405.689229987749</x:v>
      </x:c>
      <x:c r="T196" s="40" t="n">
        <x:f>F196-Inputs!$C$17/2</x:f>
        <x:v>1240.689229987749</x:v>
      </x:c>
      <x:c r="U196" s="40" t="n">
        <x:f>F196+Inputs!$C$17/2</x:f>
        <x:v>1540.689229987749</x:v>
      </x:c>
      <x:c r="V196" s="40" t="n">
        <x:f>ABS(P196)</x:f>
        <x:v>277.2853782623445</x:v>
      </x:c>
      <x:c r="W196" s="40" t="n">
        <x:f>ABS(Q196)</x:f>
        <x:v>41.634441180532214</x:v>
      </x:c>
      <x:c r="X196" s="40" t="n">
        <x:f>IF(Inputs!$C$27="ON",1,0)*(Inputs!$C$28*EXP(-(((A196)-Inputs!$C$29)^2)/(2*Inputs!$C$31^2))*EXP(-(((0)-Inputs!$C$30)^2)/(2*Inputs!$C$32^2))+-Inputs!$C$33*EXP(-(((((A196)-Inputs!$C$34)^2)+(((0)-Inputs!$C$35)^2))/(2*Inputs!$C$36^2)))+Inputs!$C$37*(0.55*SIN(2*PI()*(A196)/Inputs!$C$39)+0.35*COS(2*PI()*(0)/Inputs!$C$40)+0.2*SIN(2*PI()*((A196)+(0))/(0.5*(Inputs!$C$39+Inputs!$C$40))))+Inputs!$C$38*SIN(2*PI()*(A196)/Inputs!$C$39)*SIN(2*PI()*(0)/Inputs!$C$40)+-Inputs!$C$41*EXP(-(((0)-Inputs!$C$43)^2)/(2*Inputs!$C$44^2))*EXP(-(((A196)-Inputs!$C$42)^2)/(2*Inputs!$C$45^2)))</x:f>
        <x:v>32.254740616555885</x:v>
      </x:c>
      <x:c r="Y196" s="40" t="n">
        <x:f>IF(Inputs!$C$27="ON",1,0)*(Inputs!$C$28*EXP(-(((A196)-Inputs!$C$29)^2)/(2*Inputs!$C$31^2))*EXP(-(((Inputs!$C$6)-Inputs!$C$30)^2)/(2*Inputs!$C$32^2))+-Inputs!$C$33*EXP(-(((((A196)-Inputs!$C$34)^2)+(((Inputs!$C$6)-Inputs!$C$35)^2))/(2*Inputs!$C$36^2)))+Inputs!$C$37*(0.55*SIN(2*PI()*(A196)/Inputs!$C$39)+0.35*COS(2*PI()*(Inputs!$C$6)/Inputs!$C$40)+0.2*SIN(2*PI()*((A196)+(Inputs!$C$6))/(0.5*(Inputs!$C$39+Inputs!$C$40))))+Inputs!$C$38*SIN(2*PI()*(A196)/Inputs!$C$39)*SIN(2*PI()*(Inputs!$C$6)/Inputs!$C$40)+-Inputs!$C$41*EXP(-(((Inputs!$C$6)-Inputs!$C$43)^2)/(2*Inputs!$C$44^2))*EXP(-(((A196)-Inputs!$C$42)^2)/(2*Inputs!$C$45^2)))</x:f>
        <x:v>154.22688285713113</x:v>
      </x:c>
      <x:c r="Z196" s="40" t="n">
        <x:f>B196-X196/1000</x:f>
        <x:v>401.48885637049455</x:v>
      </x:c>
      <x:c r="AA196" s="40" t="n">
        <x:f>SQRT(A196^2+Inputs!$C$6^2+(B196-Y196/1000)^2)</x:f>
        <x:v>403.8432564189931</x:v>
      </x:c>
      <x:c r="AB196" s="40" t="n">
        <x:f>(AA196-Z196)*1000</x:f>
        <x:v>2354.400048498576</x:v>
      </x:c>
      <x:c r="AC196" s="40" t="n">
        <x:f>AB196/Inputs!$C$12</x:f>
        <x:v>1322.696656459874</x:v>
      </x:c>
      <x:c r="AD196" s="40" t="n">
        <x:f>2*AB196/Inputs!$C$21*1000000</x:f>
        <x:v>15.706866438238256</x:v>
      </x:c>
      <x:c r="AE196" s="40" t="n">
        <x:f>DEGREES(ATAN(H196/(B196-Y196/1000)))</x:f>
        <x:v>6.348357077968581</x:v>
      </x:c>
      <x:c r="AF196" s="40" t="n">
        <x:f>DEGREES((2*PI()/Inputs!$C$13)*Inputs!$C$15*SIN(RADIANS(AE196)))</x:f>
        <x:v>39.806339486805776</x:v>
      </x:c>
      <x:c r="AG196" s="40" t="n">
        <x:f>(Z196/AA196)^4</x:f>
        <x:v>0.9768832016574939</x:v>
      </x:c>
      <x:c r="AH196" s="40" t="n">
        <x:f>10*LOG10(AG196)</x:f>
        <x:v>-0.101573583978235</x:v>
      </x:c>
      <x:c r="AI196" s="40" t="n">
        <x:f>AC196-F196</x:f>
        <x:v>-67.99257352787504</x:v>
      </x:c>
      <x:c r="AJ196" s="40" t="n">
        <x:f>AD196-G196</x:f>
        <x:v>-0.8074037731770911</x:v>
      </x:c>
      <x:c r="AK196" s="40" t="n">
        <x:f>Y196-X196</x:f>
        <x:v>121.97214224057524</x:v>
      </x:c>
      <x:c r="AL196" s="40" t="n">
        <x:f>1000*(AA197-AA195)/(A197-A195)*Inputs!$C$11</x:f>
        <x:v>637.1175782123828</x:v>
      </x:c>
      <x:c r="AM196" s="40" t="n">
        <x:f>-2*AL196/Inputs!$C$13</x:f>
        <x:v>-254.84703128495312</x:v>
      </x:c>
      <x:c r="AN196" s="40" t="n">
        <x:f>-2*AL196/Inputs!$C$14</x:f>
        <x:v>-38.26532001275573</x:v>
      </x:c>
      <x:c r="AO196" s="40" t="n">
        <x:f>ABS(AM196)</x:f>
        <x:v>254.84703128495312</x:v>
      </x:c>
      <x:c r="AP196" s="40" t="n">
        <x:f>ABS(AN196)</x:f>
        <x:v>38.26532001275573</x:v>
      </x:c>
      <x:c r="AQ196" s="40" t="n">
        <x:f>IF(Inputs!$C$27="ON",Inputs!$C$46/Inputs!$C$12,0)</x:f>
        <x:v>42.13483146067416</x:v>
      </x:c>
      <x:c r="AR196" s="40" t="n">
        <x:f>AC196-AQ196</x:f>
        <x:v>1280.5618249991999</x:v>
      </x:c>
      <x:c r="AS196" s="40" t="n">
        <x:f>AC196+AQ196</x:f>
        <x:v>1364.8314879205482</x:v>
      </x:c>
    </x:row>
    <x:row r="197">
      <x:c r="A197" s="40" t="n">
        <x:f>Inputs!$C$7+195*(Inputs!$C$8-Inputs!$C$7)/240</x:f>
        <x:v>37.5</x:v>
      </x:c>
      <x:c r="B197" s="40" t="n">
        <x:f>Inputs!$C$5+Inputs!$C$9*(A197/Inputs!$C$10)^2</x:f>
        <x:v>401.5625</x:v>
      </x:c>
      <x:c r="C197" s="40" t="n">
        <x:f>B197</x:f>
        <x:v>401.5625</x:v>
      </x:c>
      <x:c r="D197" s="40" t="n">
        <x:f>SQRT(A197^2+Inputs!$C$6^2+B197^2)</x:f>
        <x:v>404.08376780842116</x:v>
      </x:c>
      <x:c r="E197" s="40" t="n">
        <x:f>(D197-C197)*1000</x:f>
        <x:v>2521.2678084211575</x:v>
      </x:c>
      <x:c r="F197" s="40" t="n">
        <x:f>E197/Inputs!$C$12</x:f>
        <x:v>1416.4425890006503</x:v>
      </x:c>
      <x:c r="G197" s="40" t="n">
        <x:f>2*E197/Inputs!$C$21*1000000</x:f>
        <x:v>16.820088305364624</x:v>
      </x:c>
      <x:c r="H197" s="40" t="n">
        <x:f>SQRT(A197^2+Inputs!$C$6^2)</x:f>
        <x:v>45.069390943299865</x:v>
      </x:c>
      <x:c r="I197" s="40" t="n">
        <x:f>DEGREES(ATAN(H197/B197))</x:f>
        <x:v>6.403796017933305</x:v>
      </x:c>
      <x:c r="J197" s="40" t="n">
        <x:f>DEGREES((2*PI()/Inputs!$C$13)*Inputs!$C$15*SIN(RADIANS(I197)))</x:f>
        <x:v>40.15251794840797</x:v>
      </x:c>
      <x:c r="K197" s="40" t="n">
        <x:f>(C197/D197)^4</x:f>
        <x:v>0.9752747429685318</x:v>
      </x:c>
      <x:c r="L197" s="40" t="n">
        <x:f>10*LOG10(K197)</x:f>
        <x:v>-0.10873022714825599</x:v>
      </x:c>
      <x:c r="M197" s="40" t="n">
        <x:f>2*(Inputs!$C$9/(Inputs!$C$10^2))*A197</x:f>
        <x:v>0.08333333333333333</x:v>
      </x:c>
      <x:c r="N197" s="40" t="n">
        <x:f>M197*Inputs!$C$11</x:f>
        <x:v>0.3333333333333333</x:v>
      </x:c>
      <x:c r="O197" s="40" t="n">
        <x:f>1000*((A197*Inputs!$C$11)+(B197*N197))/D197</x:f>
        <x:v>702.4636703576864</x:v>
      </x:c>
      <x:c r="P197" s="40" t="n">
        <x:f>-2*O197/Inputs!$C$13</x:f>
        <x:v>-280.98546814307457</x:v>
      </x:c>
      <x:c r="Q197" s="40" t="n">
        <x:f>-2*O197/Inputs!$C$14</x:f>
        <x:v>-42.19001023169288</x:v>
      </x:c>
      <x:c r="R197" s="40" t="n">
        <x:f>F197-Inputs!$C$16/2</x:f>
        <x:v>1401.4425890006503</x:v>
      </x:c>
      <x:c r="S197" s="40" t="n">
        <x:f>F197+Inputs!$C$16/2</x:f>
        <x:v>1431.4425890006503</x:v>
      </x:c>
      <x:c r="T197" s="40" t="n">
        <x:f>F197-Inputs!$C$17/2</x:f>
        <x:v>1266.4425890006503</x:v>
      </x:c>
      <x:c r="U197" s="40" t="n">
        <x:f>F197+Inputs!$C$17/2</x:f>
        <x:v>1566.4425890006503</x:v>
      </x:c>
      <x:c r="V197" s="40" t="n">
        <x:f>ABS(P197)</x:f>
        <x:v>280.98546814307457</x:v>
      </x:c>
      <x:c r="W197" s="40" t="n">
        <x:f>ABS(Q197)</x:f>
        <x:v>42.19001023169288</x:v>
      </x:c>
      <x:c r="X197" s="40" t="n">
        <x:f>IF(Inputs!$C$27="ON",1,0)*(Inputs!$C$28*EXP(-(((A197)-Inputs!$C$29)^2)/(2*Inputs!$C$31^2))*EXP(-(((0)-Inputs!$C$30)^2)/(2*Inputs!$C$32^2))+-Inputs!$C$33*EXP(-(((((A197)-Inputs!$C$34)^2)+(((0)-Inputs!$C$35)^2))/(2*Inputs!$C$36^2)))+Inputs!$C$37*(0.55*SIN(2*PI()*(A197)/Inputs!$C$39)+0.35*COS(2*PI()*(0)/Inputs!$C$40)+0.2*SIN(2*PI()*((A197)+(0))/(0.5*(Inputs!$C$39+Inputs!$C$40))))+Inputs!$C$38*SIN(2*PI()*(A197)/Inputs!$C$39)*SIN(2*PI()*(0)/Inputs!$C$40)+-Inputs!$C$41*EXP(-(((0)-Inputs!$C$43)^2)/(2*Inputs!$C$44^2))*EXP(-(((A197)-Inputs!$C$42)^2)/(2*Inputs!$C$45^2)))</x:f>
        <x:v>35.246895836170104</x:v>
      </x:c>
      <x:c r="Y197" s="40" t="n">
        <x:f>IF(Inputs!$C$27="ON",1,0)*(Inputs!$C$28*EXP(-(((A197)-Inputs!$C$29)^2)/(2*Inputs!$C$31^2))*EXP(-(((Inputs!$C$6)-Inputs!$C$30)^2)/(2*Inputs!$C$32^2))+-Inputs!$C$33*EXP(-(((((A197)-Inputs!$C$34)^2)+(((Inputs!$C$6)-Inputs!$C$35)^2))/(2*Inputs!$C$36^2)))+Inputs!$C$37*(0.55*SIN(2*PI()*(A197)/Inputs!$C$39)+0.35*COS(2*PI()*(Inputs!$C$6)/Inputs!$C$40)+0.2*SIN(2*PI()*((A197)+(Inputs!$C$6))/(0.5*(Inputs!$C$39+Inputs!$C$40))))+Inputs!$C$38*SIN(2*PI()*(A197)/Inputs!$C$39)*SIN(2*PI()*(Inputs!$C$6)/Inputs!$C$40)+-Inputs!$C$41*EXP(-(((Inputs!$C$6)-Inputs!$C$43)^2)/(2*Inputs!$C$44^2))*EXP(-(((A197)-Inputs!$C$42)^2)/(2*Inputs!$C$45^2)))</x:f>
        <x:v>160.84333784568236</x:v>
      </x:c>
      <x:c r="Z197" s="40" t="n">
        <x:f>B197-X197/1000</x:f>
        <x:v>401.52725310416383</x:v>
      </x:c>
      <x:c r="AA197" s="40" t="n">
        <x:f>SQRT(A197^2+Inputs!$C$6^2+(B197-Y197/1000)^2)</x:f>
        <x:v>403.9239284458424</x:v>
      </x:c>
      <x:c r="AB197" s="40" t="n">
        <x:f>(AA197-Z197)*1000</x:f>
        <x:v>2396.6753416785878</x:v>
      </x:c>
      <x:c r="AC197" s="40" t="n">
        <x:f>AB197/Inputs!$C$12</x:f>
        <x:v>1346.4468211677458</x:v>
      </x:c>
      <x:c r="AD197" s="40" t="n">
        <x:f>2*AB197/Inputs!$C$21*1000000</x:f>
        <x:v>15.988896836614803</x:v>
      </x:c>
      <x:c r="AE197" s="40" t="n">
        <x:f>DEGREES(ATAN(H197/(B197-Y197/1000)))</x:f>
        <x:v>6.4063407168928075</x:v>
      </x:c>
      <x:c r="AF197" s="40" t="n">
        <x:f>DEGREES((2*PI()/Inputs!$C$13)*Inputs!$C$15*SIN(RADIANS(AE197)))</x:f>
        <x:v>40.16840696221188</x:v>
      </x:c>
      <x:c r="AG197" s="40" t="n">
        <x:f>(Z197/AA197)^4</x:f>
        <x:v>0.976476475076299</x:v>
      </x:c>
      <x:c r="AH197" s="40" t="n">
        <x:f>10*LOG10(AG197)</x:f>
        <x:v>-0.10338215118183801</x:v>
      </x:c>
      <x:c r="AI197" s="40" t="n">
        <x:f>AC197-F197</x:f>
        <x:v>-69.99576783290445</x:v>
      </x:c>
      <x:c r="AJ197" s="40" t="n">
        <x:f>AD197-G197</x:f>
        <x:v>-0.8311914687498216</x:v>
      </x:c>
      <x:c r="AK197" s="40" t="n">
        <x:f>Y197-X197</x:f>
        <x:v>125.59644200951226</x:v>
      </x:c>
      <x:c r="AL197" s="40" t="n">
        <x:f>1000*(AA198-AA196)/(A198-A196)*Inputs!$C$11</x:f>
        <x:v>654.9213762068575</x:v>
      </x:c>
      <x:c r="AM197" s="40" t="n">
        <x:f>-2*AL197/Inputs!$C$13</x:f>
        <x:v>-261.968550482743</x:v>
      </x:c>
      <x:c r="AN197" s="40" t="n">
        <x:f>-2*AL197/Inputs!$C$14</x:f>
        <x:v>-39.334617189601055</x:v>
      </x:c>
      <x:c r="AO197" s="40" t="n">
        <x:f>ABS(AM197)</x:f>
        <x:v>261.968550482743</x:v>
      </x:c>
      <x:c r="AP197" s="40" t="n">
        <x:f>ABS(AN197)</x:f>
        <x:v>39.334617189601055</x:v>
      </x:c>
      <x:c r="AQ197" s="40" t="n">
        <x:f>IF(Inputs!$C$27="ON",Inputs!$C$46/Inputs!$C$12,0)</x:f>
        <x:v>42.13483146067416</x:v>
      </x:c>
      <x:c r="AR197" s="40" t="n">
        <x:f>AC197-AQ197</x:f>
        <x:v>1304.3119897070717</x:v>
      </x:c>
      <x:c r="AS197" s="40" t="n">
        <x:f>AC197+AQ197</x:f>
        <x:v>1388.58165262842</x:v>
      </x:c>
    </x:row>
    <x:row r="198">
      <x:c r="A198" s="40" t="n">
        <x:f>Inputs!$C$7+196*(Inputs!$C$8-Inputs!$C$7)/240</x:f>
        <x:v>38</x:v>
      </x:c>
      <x:c r="B198" s="40" t="n">
        <x:f>Inputs!$C$5+Inputs!$C$9*(A198/Inputs!$C$10)^2</x:f>
        <x:v>401.6044444444444</x:v>
      </x:c>
      <x:c r="C198" s="40" t="n">
        <x:f>B198</x:f>
        <x:v>401.6044444444444</x:v>
      </x:c>
      <x:c r="D198" s="40" t="n">
        <x:f>SQRT(A198^2+Inputs!$C$6^2+B198^2)</x:f>
        <x:v>404.1721536641668</x:v>
      </x:c>
      <x:c r="E198" s="40" t="n">
        <x:f>(D198-C198)*1000</x:f>
        <x:v>2567.70921972236</x:v>
      </x:c>
      <x:c r="F198" s="40" t="n">
        <x:f>E198/Inputs!$C$12</x:f>
        <x:v>1442.533269506944</x:v>
      </x:c>
      <x:c r="G198" s="40" t="n">
        <x:f>2*E198/Inputs!$C$21*1000000</x:f>
        <x:v>17.12991205217284</x:v>
      </x:c>
      <x:c r="H198" s="40" t="n">
        <x:f>SQRT(A198^2+Inputs!$C$6^2)</x:f>
        <x:v>45.48626166217664</x:v>
      </x:c>
      <x:c r="I198" s="40" t="n">
        <x:f>DEGREES(ATAN(H198/B198))</x:f>
        <x:v>6.4618600446971834</x:v>
      </x:c>
      <x:c r="J198" s="40" t="n">
        <x:f>DEGREES((2*PI()/Inputs!$C$13)*Inputs!$C$15*SIN(RADIANS(I198)))</x:f>
        <x:v>40.51504798123695</x:v>
      </x:c>
      <x:c r="K198" s="40" t="n">
        <x:f>(C198/D198)^4</x:f>
        <x:v>0.9748291053895243</x:v>
      </x:c>
      <x:c r="L198" s="40" t="n">
        <x:f>10*LOG10(K198)</x:f>
        <x:v>-0.11071512600401301</x:v>
      </x:c>
      <x:c r="M198" s="40" t="n">
        <x:f>2*(Inputs!$C$9/(Inputs!$C$10^2))*A198</x:f>
        <x:v>0.08444444444444445</x:v>
      </x:c>
      <x:c r="N198" s="40" t="n">
        <x:f>M198*Inputs!$C$11</x:f>
        <x:v>0.3377777777777778</x:v>
      </x:c>
      <x:c r="O198" s="40" t="n">
        <x:f>1000*((A198*Inputs!$C$11)+(B198*N198))/D198</x:f>
        <x:v>711.7092411792898</x:v>
      </x:c>
      <x:c r="P198" s="40" t="n">
        <x:f>-2*O198/Inputs!$C$13</x:f>
        <x:v>-284.68369647171596</x:v>
      </x:c>
      <x:c r="Q198" s="40" t="n">
        <x:f>-2*O198/Inputs!$C$14</x:f>
        <x:v>-42.74529977052792</x:v>
      </x:c>
      <x:c r="R198" s="40" t="n">
        <x:f>F198-Inputs!$C$16/2</x:f>
        <x:v>1427.533269506944</x:v>
      </x:c>
      <x:c r="S198" s="40" t="n">
        <x:f>F198+Inputs!$C$16/2</x:f>
        <x:v>1457.533269506944</x:v>
      </x:c>
      <x:c r="T198" s="40" t="n">
        <x:f>F198-Inputs!$C$17/2</x:f>
        <x:v>1292.533269506944</x:v>
      </x:c>
      <x:c r="U198" s="40" t="n">
        <x:f>F198+Inputs!$C$17/2</x:f>
        <x:v>1592.533269506944</x:v>
      </x:c>
      <x:c r="V198" s="40" t="n">
        <x:f>ABS(P198)</x:f>
        <x:v>284.68369647171596</x:v>
      </x:c>
      <x:c r="W198" s="40" t="n">
        <x:f>ABS(Q198)</x:f>
        <x:v>42.74529977052792</x:v>
      </x:c>
      <x:c r="X198" s="40" t="n">
        <x:f>IF(Inputs!$C$27="ON",1,0)*(Inputs!$C$28*EXP(-(((A198)-Inputs!$C$29)^2)/(2*Inputs!$C$31^2))*EXP(-(((0)-Inputs!$C$30)^2)/(2*Inputs!$C$32^2))+-Inputs!$C$33*EXP(-(((((A198)-Inputs!$C$34)^2)+(((0)-Inputs!$C$35)^2))/(2*Inputs!$C$36^2)))+Inputs!$C$37*(0.55*SIN(2*PI()*(A198)/Inputs!$C$39)+0.35*COS(2*PI()*(0)/Inputs!$C$40)+0.2*SIN(2*PI()*((A198)+(0))/(0.5*(Inputs!$C$39+Inputs!$C$40))))+Inputs!$C$38*SIN(2*PI()*(A198)/Inputs!$C$39)*SIN(2*PI()*(0)/Inputs!$C$40)+-Inputs!$C$41*EXP(-(((0)-Inputs!$C$43)^2)/(2*Inputs!$C$44^2))*EXP(-(((A198)-Inputs!$C$42)^2)/(2*Inputs!$C$45^2)))</x:f>
        <x:v>37.696440040073</x:v>
      </x:c>
      <x:c r="Y198" s="40" t="n">
        <x:f>IF(Inputs!$C$27="ON",1,0)*(Inputs!$C$28*EXP(-(((A198)-Inputs!$C$29)^2)/(2*Inputs!$C$31^2))*EXP(-(((Inputs!$C$6)-Inputs!$C$30)^2)/(2*Inputs!$C$32^2))+-Inputs!$C$33*EXP(-(((((A198)-Inputs!$C$34)^2)+(((Inputs!$C$6)-Inputs!$C$35)^2))/(2*Inputs!$C$36^2)))+Inputs!$C$37*(0.55*SIN(2*PI()*(A198)/Inputs!$C$39)+0.35*COS(2*PI()*(Inputs!$C$6)/Inputs!$C$40)+0.2*SIN(2*PI()*((A198)+(Inputs!$C$6))/(0.5*(Inputs!$C$39+Inputs!$C$40))))+Inputs!$C$38*SIN(2*PI()*(A198)/Inputs!$C$39)*SIN(2*PI()*(Inputs!$C$6)/Inputs!$C$40)+-Inputs!$C$41*EXP(-(((Inputs!$C$6)-Inputs!$C$43)^2)/(2*Inputs!$C$44^2))*EXP(-(((A198)-Inputs!$C$42)^2)/(2*Inputs!$C$45^2)))</x:f>
        <x:v>166.22335263672178</x:v>
      </x:c>
      <x:c r="Z198" s="40" t="n">
        <x:f>B198-X198/1000</x:f>
        <x:v>401.56674800440436</x:v>
      </x:c>
      <x:c r="AA198" s="40" t="n">
        <x:f>SQRT(A198^2+Inputs!$C$6^2+(B198-Y198/1000)^2)</x:f>
        <x:v>404.00698676304484</x:v>
      </x:c>
      <x:c r="AB198" s="40" t="n">
        <x:f>(AA198-Z198)*1000</x:f>
        <x:v>2440.2387586404757</x:v>
      </x:c>
      <x:c r="AC198" s="40" t="n">
        <x:f>AB198/Inputs!$C$12</x:f>
        <x:v>1370.9206509216156</x:v>
      </x:c>
      <x:c r="AD198" s="40" t="n">
        <x:f>2*AB198/Inputs!$C$21*1000000</x:f>
        <x:v>16.279520671867438</x:v>
      </x:c>
      <x:c r="AE198" s="40" t="n">
        <x:f>DEGREES(ATAN(H198/(B198-Y198/1000)))</x:f>
        <x:v>6.464513059365676</x:v>
      </x:c>
      <x:c r="AF198" s="40" t="n">
        <x:f>DEGREES((2*PI()/Inputs!$C$13)*Inputs!$C$15*SIN(RADIANS(AE198)))</x:f>
        <x:v>40.53161141984845</x:v>
      </x:c>
      <x:c r="AG198" s="40" t="n">
        <x:f>(Z198/AA198)^4</x:f>
        <x:v>0.9760576540946853</x:v>
      </x:c>
      <x:c r="AH198" s="40" t="n">
        <x:f>10*LOG10(AG198)</x:f>
        <x:v>-0.10524528526274698</x:v>
      </x:c>
      <x:c r="AI198" s="40" t="n">
        <x:f>AC198-F198</x:f>
        <x:v>-71.61261858532839</x:v>
      </x:c>
      <x:c r="AJ198" s="40" t="n">
        <x:f>AD198-G198</x:f>
        <x:v>-0.8503913803054033</x:v>
      </x:c>
      <x:c r="AK198" s="40" t="n">
        <x:f>Y198-X198</x:f>
        <x:v>128.5269125966488</x:v>
      </x:c>
      <x:c r="AL198" s="40" t="n">
        <x:f>1000*(AA199-AA197)/(A199-A197)*Inputs!$C$11</x:f>
        <x:v>675.1148576238393</x:v>
      </x:c>
      <x:c r="AM198" s="40" t="n">
        <x:f>-2*AL198/Inputs!$C$13</x:f>
        <x:v>-270.0459430495357</x:v>
      </x:c>
      <x:c r="AN198" s="40" t="n">
        <x:f>-2*AL198/Inputs!$C$14</x:f>
        <x:v>-40.54743889632669</x:v>
      </x:c>
      <x:c r="AO198" s="40" t="n">
        <x:f>ABS(AM198)</x:f>
        <x:v>270.0459430495357</x:v>
      </x:c>
      <x:c r="AP198" s="40" t="n">
        <x:f>ABS(AN198)</x:f>
        <x:v>40.54743889632669</x:v>
      </x:c>
      <x:c r="AQ198" s="40" t="n">
        <x:f>IF(Inputs!$C$27="ON",Inputs!$C$46/Inputs!$C$12,0)</x:f>
        <x:v>42.13483146067416</x:v>
      </x:c>
      <x:c r="AR198" s="40" t="n">
        <x:f>AC198-AQ198</x:f>
        <x:v>1328.7858194609414</x:v>
      </x:c>
      <x:c r="AS198" s="40" t="n">
        <x:f>AC198+AQ198</x:f>
        <x:v>1413.0554823822897</x:v>
      </x:c>
    </x:row>
    <x:row r="199">
      <x:c r="A199" s="40" t="n">
        <x:f>Inputs!$C$7+197*(Inputs!$C$8-Inputs!$C$7)/240</x:f>
        <x:v>38.5</x:v>
      </x:c>
      <x:c r="B199" s="40" t="n">
        <x:f>Inputs!$C$5+Inputs!$C$9*(A199/Inputs!$C$10)^2</x:f>
        <x:v>401.64694444444444</x:v>
      </x:c>
      <x:c r="C199" s="40" t="n">
        <x:f>B199</x:f>
        <x:v>401.64694444444444</x:v>
      </x:c>
      <x:c r="D199" s="40" t="n">
        <x:f>SQRT(A199^2+Inputs!$C$6^2+B199^2)</x:f>
        <x:v>404.26169492243343</x:v>
      </x:c>
      <x:c r="E199" s="40" t="n">
        <x:f>(D199-C199)*1000</x:f>
        <x:v>2614.7504779889914</x:v>
      </x:c>
      <x:c r="F199" s="40" t="n">
        <x:f>E199/Inputs!$C$12</x:f>
        <x:v>1468.9609426904447</x:v>
      </x:c>
      <x:c r="G199" s="40" t="n">
        <x:f>2*E199/Inputs!$C$21*1000000</x:f>
        <x:v>17.44373754718667</x:v>
      </x:c>
      <x:c r="H199" s="40" t="n">
        <x:f>SQRT(A199^2+Inputs!$C$6^2)</x:f>
        <x:v>45.90479277809671</x:v>
      </x:c>
      <x:c r="I199" s="40" t="n">
        <x:f>DEGREES(ATAN(H199/B199))</x:f>
        <x:v>6.520123486642501</x:v>
      </x:c>
      <x:c r="J199" s="40" t="n">
        <x:f>DEGREES((2*PI()/Inputs!$C$13)*Inputs!$C$15*SIN(RADIANS(I199)))</x:f>
        <x:v>40.87878126391779</x:v>
      </x:c>
      <x:c r="K199" s="40" t="n">
        <x:f>(C199/D199)^4</x:f>
        <x:v>0.9743780669908849</x:v>
      </x:c>
      <x:c r="L199" s="40" t="n">
        <x:f>10*LOG10(K199)</x:f>
        <x:v>-0.11272500462468801</x:v>
      </x:c>
      <x:c r="M199" s="40" t="n">
        <x:f>2*(Inputs!$C$9/(Inputs!$C$10^2))*A199</x:f>
        <x:v>0.08555555555555555</x:v>
      </x:c>
      <x:c r="N199" s="40" t="n">
        <x:f>M199*Inputs!$C$11</x:f>
        <x:v>0.3422222222222222</x:v>
      </x:c>
      <x:c r="O199" s="40" t="n">
        <x:f>1000*((A199*Inputs!$C$11)+(B199*N199))/D199</x:f>
        <x:v>720.9501012270401</x:v>
      </x:c>
      <x:c r="P199" s="40" t="n">
        <x:f>-2*O199/Inputs!$C$13</x:f>
        <x:v>-288.38004049081604</x:v>
      </x:c>
      <x:c r="Q199" s="40" t="n">
        <x:f>-2*O199/Inputs!$C$14</x:f>
        <x:v>-43.30030638000241</x:v>
      </x:c>
      <x:c r="R199" s="40" t="n">
        <x:f>F199-Inputs!$C$16/2</x:f>
        <x:v>1453.9609426904447</x:v>
      </x:c>
      <x:c r="S199" s="40" t="n">
        <x:f>F199+Inputs!$C$16/2</x:f>
        <x:v>1483.9609426904447</x:v>
      </x:c>
      <x:c r="T199" s="40" t="n">
        <x:f>F199-Inputs!$C$17/2</x:f>
        <x:v>1318.9609426904447</x:v>
      </x:c>
      <x:c r="U199" s="40" t="n">
        <x:f>F199+Inputs!$C$17/2</x:f>
        <x:v>1618.9609426904447</x:v>
      </x:c>
      <x:c r="V199" s="40" t="n">
        <x:f>ABS(P199)</x:f>
        <x:v>288.38004049081604</x:v>
      </x:c>
      <x:c r="W199" s="40" t="n">
        <x:f>ABS(Q199)</x:f>
        <x:v>43.30030638000241</x:v>
      </x:c>
      <x:c r="X199" s="40" t="n">
        <x:f>IF(Inputs!$C$27="ON",1,0)*(Inputs!$C$28*EXP(-(((A199)-Inputs!$C$29)^2)/(2*Inputs!$C$31^2))*EXP(-(((0)-Inputs!$C$30)^2)/(2*Inputs!$C$32^2))+-Inputs!$C$33*EXP(-(((((A199)-Inputs!$C$34)^2)+(((0)-Inputs!$C$35)^2))/(2*Inputs!$C$36^2)))+Inputs!$C$37*(0.55*SIN(2*PI()*(A199)/Inputs!$C$39)+0.35*COS(2*PI()*(0)/Inputs!$C$40)+0.2*SIN(2*PI()*((A199)+(0))/(0.5*(Inputs!$C$39+Inputs!$C$40))))+Inputs!$C$38*SIN(2*PI()*(A199)/Inputs!$C$39)*SIN(2*PI()*(0)/Inputs!$C$40)+-Inputs!$C$41*EXP(-(((0)-Inputs!$C$43)^2)/(2*Inputs!$C$44^2))*EXP(-(((A199)-Inputs!$C$42)^2)/(2*Inputs!$C$45^2)))</x:f>
        <x:v>39.5663774099726</x:v>
      </x:c>
      <x:c r="Y199" s="40" t="n">
        <x:f>IF(Inputs!$C$27="ON",1,0)*(Inputs!$C$28*EXP(-(((A199)-Inputs!$C$29)^2)/(2*Inputs!$C$31^2))*EXP(-(((Inputs!$C$6)-Inputs!$C$30)^2)/(2*Inputs!$C$32^2))+-Inputs!$C$33*EXP(-(((((A199)-Inputs!$C$34)^2)+(((Inputs!$C$6)-Inputs!$C$35)^2))/(2*Inputs!$C$36^2)))+Inputs!$C$37*(0.55*SIN(2*PI()*(A199)/Inputs!$C$39)+0.35*COS(2*PI()*(Inputs!$C$6)/Inputs!$C$40)+0.2*SIN(2*PI()*((A199)+(Inputs!$C$6))/(0.5*(Inputs!$C$39+Inputs!$C$40))))+Inputs!$C$38*SIN(2*PI()*(A199)/Inputs!$C$39)*SIN(2*PI()*(Inputs!$C$6)/Inputs!$C$40)+-Inputs!$C$41*EXP(-(((Inputs!$C$6)-Inputs!$C$43)^2)/(2*Inputs!$C$44^2))*EXP(-(((A199)-Inputs!$C$42)^2)/(2*Inputs!$C$45^2)))</x:f>
        <x:v>170.08834922907718</x:v>
      </x:c>
      <x:c r="Z199" s="40" t="n">
        <x:f>B199-X199/1000</x:f>
        <x:v>401.60737806703446</x:v>
      </x:c>
      <x:c r="AA199" s="40" t="n">
        <x:f>SQRT(A199^2+Inputs!$C$6^2+(B199-Y199/1000)^2)</x:f>
        <x:v>404.0927071602484</x:v>
      </x:c>
      <x:c r="AB199" s="40" t="n">
        <x:f>(AA199-Z199)*1000</x:f>
        <x:v>2485.3290932139203</x:v>
      </x:c>
      <x:c r="AC199" s="40" t="n">
        <x:f>AB199/Inputs!$C$12</x:f>
        <x:v>1396.2522995583822</x:v>
      </x:c>
      <x:c r="AD199" s="40" t="n">
        <x:f>2*AB199/Inputs!$C$21*1000000</x:f>
        <x:v>16.5803310049509</x:v>
      </x:c>
      <x:c r="AE199" s="40" t="n">
        <x:f>DEGREES(ATAN(H199/(B199-Y199/1000)))</x:f>
        <x:v>6.522861979577861</x:v>
      </x:c>
      <x:c r="AF199" s="40" t="n">
        <x:f>DEGREES((2*PI()/Inputs!$C$13)*Inputs!$C$15*SIN(RADIANS(AE199)))</x:f>
        <x:v>40.89587638502301</x:v>
      </x:c>
      <x:c r="AG199" s="40" t="n">
        <x:f>(Z199/AA199)^4</x:f>
        <x:v>0.9756244615042956</x:v>
      </x:c>
      <x:c r="AH199" s="40" t="n">
        <x:f>10*LOG10(AG199)</x:f>
        <x:v>-0.107173193021838</x:v>
      </x:c>
      <x:c r="AI199" s="40" t="n">
        <x:f>AC199-F199</x:f>
        <x:v>-72.70864313206243</x:v>
      </x:c>
      <x:c r="AJ199" s="40" t="n">
        <x:f>AD199-G199</x:f>
        <x:v>-0.8634065422357722</x:v>
      </x:c>
      <x:c r="AK199" s="40" t="n">
        <x:f>Y199-X199</x:f>
        <x:v>130.52197181910458</x:v>
      </x:c>
      <x:c r="AL199" s="40" t="n">
        <x:f>1000*(AA200-AA198)/(A200-A198)*Inputs!$C$11</x:f>
        <x:v>697.2950869451324</x:v>
      </x:c>
      <x:c r="AM199" s="40" t="n">
        <x:f>-2*AL199/Inputs!$C$13</x:f>
        <x:v>-278.91803477805297</x:v>
      </x:c>
      <x:c r="AN199" s="40" t="n">
        <x:f>-2*AL199/Inputs!$C$14</x:f>
        <x:v>-41.87958480150946</x:v>
      </x:c>
      <x:c r="AO199" s="40" t="n">
        <x:f>ABS(AM199)</x:f>
        <x:v>278.91803477805297</x:v>
      </x:c>
      <x:c r="AP199" s="40" t="n">
        <x:f>ABS(AN199)</x:f>
        <x:v>41.87958480150946</x:v>
      </x:c>
      <x:c r="AQ199" s="40" t="n">
        <x:f>IF(Inputs!$C$27="ON",Inputs!$C$46/Inputs!$C$12,0)</x:f>
        <x:v>42.13483146067416</x:v>
      </x:c>
      <x:c r="AR199" s="40" t="n">
        <x:f>AC199-AQ199</x:f>
        <x:v>1354.117468097708</x:v>
      </x:c>
      <x:c r="AS199" s="40" t="n">
        <x:f>AC199+AQ199</x:f>
        <x:v>1438.3871310190564</x:v>
      </x:c>
    </x:row>
    <x:row r="200">
      <x:c r="A200" s="40" t="n">
        <x:f>Inputs!$C$7+198*(Inputs!$C$8-Inputs!$C$7)/240</x:f>
        <x:v>39</x:v>
      </x:c>
      <x:c r="B200" s="40" t="n">
        <x:f>Inputs!$C$5+Inputs!$C$9*(A200/Inputs!$C$10)^2</x:f>
        <x:v>401.69</x:v>
      </x:c>
      <x:c r="C200" s="40" t="n">
        <x:f>B200</x:f>
        <x:v>401.69</x:v>
      </x:c>
      <x:c r="D200" s="40" t="n">
        <x:f>SQRT(A200^2+Inputs!$C$6^2+B200^2)</x:f>
        <x:v>404.3523909908287</x:v>
      </x:c>
      <x:c r="E200" s="40" t="n">
        <x:f>(D200-C200)*1000</x:f>
        <x:v>2662.390990828726</x:v>
      </x:c>
      <x:c r="F200" s="40" t="n">
        <x:f>E200/Inputs!$C$12</x:f>
        <x:v>1495.7252757464753</x:v>
      </x:c>
      <x:c r="G200" s="40" t="n">
        <x:f>2*E200/Inputs!$C$21*1000000</x:f>
        <x:v>17.76156083838991</x:v>
      </x:c>
      <x:c r="H200" s="40" t="n">
        <x:f>SQRT(A200^2+Inputs!$C$6^2)</x:f>
        <x:v>46.32493928760188</x:v>
      </x:c>
      <x:c r="I200" s="40" t="n">
        <x:f>DEGREES(ATAN(H200/B200))</x:f>
        <x:v>6.57857943618696</x:v>
      </x:c>
      <x:c r="J200" s="40" t="n">
        <x:f>DEGREES((2*PI()/Inputs!$C$13)*Inputs!$C$15*SIN(RADIANS(I200)))</x:f>
        <x:v>41.2436738723648</x:v>
      </x:c>
      <x:c r="K200" s="40" t="n">
        <x:f>(C200/D200)^4</x:f>
        <x:v>0.9739216467800008</x:v>
      </x:c>
      <x:c r="L200" s="40" t="n">
        <x:f>10*LOG10(K200)</x:f>
        <x:v>-0.114759812526585</x:v>
      </x:c>
      <x:c r="M200" s="40" t="n">
        <x:f>2*(Inputs!$C$9/(Inputs!$C$10^2))*A200</x:f>
        <x:v>0.08666666666666667</x:v>
      </x:c>
      <x:c r="N200" s="40" t="n">
        <x:f>M200*Inputs!$C$11</x:f>
        <x:v>0.3466666666666667</x:v>
      </x:c>
      <x:c r="O200" s="40" t="n">
        <x:f>1000*((A200*Inputs!$C$11)+(B200*N200))/D200</x:f>
        <x:v>730.186193804478</x:v>
      </x:c>
      <x:c r="P200" s="40" t="n">
        <x:f>-2*O200/Inputs!$C$13</x:f>
        <x:v>-292.0744775217912</x:v>
      </x:c>
      <x:c r="Q200" s="40" t="n">
        <x:f>-2*O200/Inputs!$C$14</x:f>
        <x:v>-43.855026654923606</x:v>
      </x:c>
      <x:c r="R200" s="40" t="n">
        <x:f>F200-Inputs!$C$16/2</x:f>
        <x:v>1480.7252757464753</x:v>
      </x:c>
      <x:c r="S200" s="40" t="n">
        <x:f>F200+Inputs!$C$16/2</x:f>
        <x:v>1510.7252757464753</x:v>
      </x:c>
      <x:c r="T200" s="40" t="n">
        <x:f>F200-Inputs!$C$17/2</x:f>
        <x:v>1345.7252757464753</x:v>
      </x:c>
      <x:c r="U200" s="40" t="n">
        <x:f>F200+Inputs!$C$17/2</x:f>
        <x:v>1645.7252757464753</x:v>
      </x:c>
      <x:c r="V200" s="40" t="n">
        <x:f>ABS(P200)</x:f>
        <x:v>292.0744775217912</x:v>
      </x:c>
      <x:c r="W200" s="40" t="n">
        <x:f>ABS(Q200)</x:f>
        <x:v>43.855026654923606</x:v>
      </x:c>
      <x:c r="X200" s="40" t="n">
        <x:f>IF(Inputs!$C$27="ON",1,0)*(Inputs!$C$28*EXP(-(((A200)-Inputs!$C$29)^2)/(2*Inputs!$C$31^2))*EXP(-(((0)-Inputs!$C$30)^2)/(2*Inputs!$C$32^2))+-Inputs!$C$33*EXP(-(((((A200)-Inputs!$C$34)^2)+(((0)-Inputs!$C$35)^2))/(2*Inputs!$C$36^2)))+Inputs!$C$37*(0.55*SIN(2*PI()*(A200)/Inputs!$C$39)+0.35*COS(2*PI()*(0)/Inputs!$C$40)+0.2*SIN(2*PI()*((A200)+(0))/(0.5*(Inputs!$C$39+Inputs!$C$40))))+Inputs!$C$38*SIN(2*PI()*(A200)/Inputs!$C$39)*SIN(2*PI()*(0)/Inputs!$C$40)+-Inputs!$C$41*EXP(-(((0)-Inputs!$C$43)^2)/(2*Inputs!$C$44^2))*EXP(-(((A200)-Inputs!$C$42)^2)/(2*Inputs!$C$45^2)))</x:f>
        <x:v>40.83576453984723</x:v>
      </x:c>
      <x:c r="Y200" s="40" t="n">
        <x:f>IF(Inputs!$C$27="ON",1,0)*(Inputs!$C$28*EXP(-(((A200)-Inputs!$C$29)^2)/(2*Inputs!$C$31^2))*EXP(-(((Inputs!$C$6)-Inputs!$C$30)^2)/(2*Inputs!$C$32^2))+-Inputs!$C$33*EXP(-(((((A200)-Inputs!$C$34)^2)+(((Inputs!$C$6)-Inputs!$C$35)^2))/(2*Inputs!$C$36^2)))+Inputs!$C$37*(0.55*SIN(2*PI()*(A200)/Inputs!$C$39)+0.35*COS(2*PI()*(Inputs!$C$6)/Inputs!$C$40)+0.2*SIN(2*PI()*((A200)+(Inputs!$C$6))/(0.5*(Inputs!$C$39+Inputs!$C$40))))+Inputs!$C$38*SIN(2*PI()*(A200)/Inputs!$C$39)*SIN(2*PI()*(Inputs!$C$6)/Inputs!$C$40)+-Inputs!$C$41*EXP(-(((Inputs!$C$6)-Inputs!$C$43)^2)/(2*Inputs!$C$44^2))*EXP(-(((A200)-Inputs!$C$42)^2)/(2*Inputs!$C$45^2)))</x:f>
        <x:v>172.21485765644678</x:v>
      </x:c>
      <x:c r="Z200" s="40" t="n">
        <x:f>B200-X200/1000</x:f>
        <x:v>401.64916423546015</x:v>
      </x:c>
      <x:c r="AA200" s="40" t="n">
        <x:f>SQRT(A200^2+Inputs!$C$6^2+(B200-Y200/1000)^2)</x:f>
        <x:v>404.1813105347811</x:v>
      </x:c>
      <x:c r="AB200" s="40" t="n">
        <x:f>(AA200-Z200)*1000</x:f>
        <x:v>2532.1462993209707</x:v>
      </x:c>
      <x:c r="AC200" s="40" t="n">
        <x:f>AB200/Inputs!$C$12</x:f>
        <x:v>1422.5541007421184</x:v>
      </x:c>
      <x:c r="AD200" s="40" t="n">
        <x:f>2*AB200/Inputs!$C$21*1000000</x:f>
        <x:v>16.892661784846975</x:v>
      </x:c>
      <x:c r="AE200" s="40" t="n">
        <x:f>DEGREES(ATAN(H200/(B200-Y200/1000)))</x:f>
        <x:v>6.581376303511749</x:v>
      </x:c>
      <x:c r="AF200" s="40" t="n">
        <x:f>DEGREES((2*PI()/Inputs!$C$13)*Inputs!$C$15*SIN(RADIANS(AE200)))</x:f>
        <x:v>41.261131350855884</x:v>
      </x:c>
      <x:c r="AG200" s="40" t="n">
        <x:f>(Z200/AA200)^4</x:f>
        <x:v>0.9751750010892152</x:v>
      </x:c>
      <x:c r="AH200" s="40" t="n">
        <x:f>10*LOG10(AG200)</x:f>
        <x:v>-0.109174405194592</x:v>
      </x:c>
      <x:c r="AI200" s="40" t="n">
        <x:f>AC200-F200</x:f>
        <x:v>-73.17117500435688</x:v>
      </x:c>
      <x:c r="AJ200" s="40" t="n">
        <x:f>AD200-G200</x:f>
        <x:v>-0.8688990535429362</x:v>
      </x:c>
      <x:c r="AK200" s="40" t="n">
        <x:f>Y200-X200</x:f>
        <x:v>131.37909311659956</x:v>
      </x:c>
      <x:c r="AL200" s="40" t="n">
        <x:f>1000*(AA201-AA199)/(A201-A199)*Inputs!$C$11</x:f>
        <x:v>720.9946675086485</x:v>
      </x:c>
      <x:c r="AM200" s="40" t="n">
        <x:f>-2*AL200/Inputs!$C$13</x:f>
        <x:v>-288.3978670034594</x:v>
      </x:c>
      <x:c r="AN200" s="40" t="n">
        <x:f>-2*AL200/Inputs!$C$14</x:f>
        <x:v>-43.302983033552465</x:v>
      </x:c>
      <x:c r="AO200" s="40" t="n">
        <x:f>ABS(AM200)</x:f>
        <x:v>288.3978670034594</x:v>
      </x:c>
      <x:c r="AP200" s="40" t="n">
        <x:f>ABS(AN200)</x:f>
        <x:v>43.302983033552465</x:v>
      </x:c>
      <x:c r="AQ200" s="40" t="n">
        <x:f>IF(Inputs!$C$27="ON",Inputs!$C$46/Inputs!$C$12,0)</x:f>
        <x:v>42.13483146067416</x:v>
      </x:c>
      <x:c r="AR200" s="40" t="n">
        <x:f>AC200-AQ200</x:f>
        <x:v>1380.4192692814443</x:v>
      </x:c>
      <x:c r="AS200" s="40" t="n">
        <x:f>AC200+AQ200</x:f>
        <x:v>1464.6889322027926</x:v>
      </x:c>
    </x:row>
    <x:row r="201">
      <x:c r="A201" s="40" t="n">
        <x:f>Inputs!$C$7+199*(Inputs!$C$8-Inputs!$C$7)/240</x:f>
        <x:v>39.5</x:v>
      </x:c>
      <x:c r="B201" s="40" t="n">
        <x:f>Inputs!$C$5+Inputs!$C$9*(A201/Inputs!$C$10)^2</x:f>
        <x:v>401.7336111111111</x:v>
      </x:c>
      <x:c r="C201" s="40" t="n">
        <x:f>B201</x:f>
        <x:v>401.7336111111111</x:v>
      </x:c>
      <x:c r="D201" s="40" t="n">
        <x:f>SQRT(A201^2+Inputs!$C$6^2+B201^2)</x:f>
        <x:v>404.4442412698856</x:v>
      </x:c>
      <x:c r="E201" s="40" t="n">
        <x:f>(D201-C201)*1000</x:f>
        <x:v>2710.6301587745065</x:v>
      </x:c>
      <x:c r="F201" s="40" t="n">
        <x:f>E201/Inputs!$C$12</x:f>
        <x:v>1522.82593189579</x:v>
      </x:c>
      <x:c r="G201" s="40" t="n">
        <x:f>2*E201/Inputs!$C$21*1000000</x:f>
        <x:v>18.08337792656883</x:v>
      </x:c>
      <x:c r="H201" s="40" t="n">
        <x:f>SQRT(A201^2+Inputs!$C$6^2)</x:f>
        <x:v>46.74665763453041</x:v>
      </x:c>
      <x:c r="I201" s="40" t="n">
        <x:f>DEGREES(ATAN(H201/B201))</x:f>
        <x:v>6.637221193908625</x:v>
      </x:c>
      <x:c r="J201" s="40" t="n">
        <x:f>DEGREES((2*PI()/Inputs!$C$13)*Inputs!$C$15*SIN(RADIANS(I201)))</x:f>
        <x:v>41.609683192895545</x:v>
      </x:c>
      <x:c r="K201" s="40" t="n">
        <x:f>(C201/D201)^4</x:f>
        <x:v>0.9734598639623986</x:v>
      </x:c>
      <x:c r="L201" s="40" t="n">
        <x:f>10*LOG10(K201)</x:f>
        <x:v>-0.116819498645356</x:v>
      </x:c>
      <x:c r="M201" s="40" t="n">
        <x:f>2*(Inputs!$C$9/(Inputs!$C$10^2))*A201</x:f>
        <x:v>0.08777777777777777</x:v>
      </x:c>
      <x:c r="N201" s="40" t="n">
        <x:f>M201*Inputs!$C$11</x:f>
        <x:v>0.3511111111111111</x:v>
      </x:c>
      <x:c r="O201" s="40" t="n">
        <x:f>1000*((A201*Inputs!$C$11)+(B201*N201))/D201</x:f>
        <x:v>739.4174624144125</x:v>
      </x:c>
      <x:c r="P201" s="40" t="n">
        <x:f>-2*O201/Inputs!$C$13</x:f>
        <x:v>-295.766984965765</x:v>
      </x:c>
      <x:c r="Q201" s="40" t="n">
        <x:f>-2*O201/Inputs!$C$14</x:f>
        <x:v>-44.40945720206682</x:v>
      </x:c>
      <x:c r="R201" s="40" t="n">
        <x:f>F201-Inputs!$C$16/2</x:f>
        <x:v>1507.82593189579</x:v>
      </x:c>
      <x:c r="S201" s="40" t="n">
        <x:f>F201+Inputs!$C$16/2</x:f>
        <x:v>1537.82593189579</x:v>
      </x:c>
      <x:c r="T201" s="40" t="n">
        <x:f>F201-Inputs!$C$17/2</x:f>
        <x:v>1372.82593189579</x:v>
      </x:c>
      <x:c r="U201" s="40" t="n">
        <x:f>F201+Inputs!$C$17/2</x:f>
        <x:v>1672.82593189579</x:v>
      </x:c>
      <x:c r="V201" s="40" t="n">
        <x:f>ABS(P201)</x:f>
        <x:v>295.766984965765</x:v>
      </x:c>
      <x:c r="W201" s="40" t="n">
        <x:f>ABS(Q201)</x:f>
        <x:v>44.40945720206682</x:v>
      </x:c>
      <x:c r="X201" s="40" t="n">
        <x:f>IF(Inputs!$C$27="ON",1,0)*(Inputs!$C$28*EXP(-(((A201)-Inputs!$C$29)^2)/(2*Inputs!$C$31^2))*EXP(-(((0)-Inputs!$C$30)^2)/(2*Inputs!$C$32^2))+-Inputs!$C$33*EXP(-(((((A201)-Inputs!$C$34)^2)+(((0)-Inputs!$C$35)^2))/(2*Inputs!$C$36^2)))+Inputs!$C$37*(0.55*SIN(2*PI()*(A201)/Inputs!$C$39)+0.35*COS(2*PI()*(0)/Inputs!$C$40)+0.2*SIN(2*PI()*((A201)+(0))/(0.5*(Inputs!$C$39+Inputs!$C$40))))+Inputs!$C$38*SIN(2*PI()*(A201)/Inputs!$C$39)*SIN(2*PI()*(0)/Inputs!$C$40)+-Inputs!$C$41*EXP(-(((0)-Inputs!$C$43)^2)/(2*Inputs!$C$44^2))*EXP(-(((A201)-Inputs!$C$42)^2)/(2*Inputs!$C$45^2)))</x:f>
        <x:v>41.498841439546396</x:v>
      </x:c>
      <x:c r="Y201" s="40" t="n">
        <x:f>IF(Inputs!$C$27="ON",1,0)*(Inputs!$C$28*EXP(-(((A201)-Inputs!$C$29)^2)/(2*Inputs!$C$31^2))*EXP(-(((Inputs!$C$6)-Inputs!$C$30)^2)/(2*Inputs!$C$32^2))+-Inputs!$C$33*EXP(-(((((A201)-Inputs!$C$34)^2)+(((Inputs!$C$6)-Inputs!$C$35)^2))/(2*Inputs!$C$36^2)))+Inputs!$C$37*(0.55*SIN(2*PI()*(A201)/Inputs!$C$39)+0.35*COS(2*PI()*(Inputs!$C$6)/Inputs!$C$40)+0.2*SIN(2*PI()*((A201)+(Inputs!$C$6))/(0.5*(Inputs!$C$39+Inputs!$C$40))))+Inputs!$C$38*SIN(2*PI()*(A201)/Inputs!$C$39)*SIN(2*PI()*(Inputs!$C$6)/Inputs!$C$40)+-Inputs!$C$41*EXP(-(((Inputs!$C$6)-Inputs!$C$43)^2)/(2*Inputs!$C$44^2))*EXP(-(((A201)-Inputs!$C$42)^2)/(2*Inputs!$C$45^2)))</x:f>
        <x:v>172.44165718966366</x:v>
      </x:c>
      <x:c r="Z201" s="40" t="n">
        <x:f>B201-X201/1000</x:f>
        <x:v>401.69211226967155</x:v>
      </x:c>
      <x:c r="AA201" s="40" t="n">
        <x:f>SQRT(A201^2+Inputs!$C$6^2+(B201-Y201/1000)^2)</x:f>
        <x:v>404.27295582712554</x:v>
      </x:c>
      <x:c r="AB201" s="40" t="n">
        <x:f>(AA201-Z201)*1000</x:f>
        <x:v>2580.8435574539885</x:v>
      </x:c>
      <x:c r="AC201" s="40" t="n">
        <x:f>AB201/Inputs!$C$12</x:f>
        <x:v>1449.912110929207</x:v>
      </x:c>
      <x:c r="AD201" s="40" t="n">
        <x:f>2*AB201/Inputs!$C$21*1000000</x:f>
        <x:v>17.217534921802393</x:v>
      </x:c>
      <x:c r="AE201" s="40" t="n">
        <x:f>DEGREES(ATAN(H201/(B201-Y201/1000)))</x:f>
        <x:v>6.640045957058267</x:v>
      </x:c>
      <x:c r="AF201" s="40" t="n">
        <x:f>DEGREES((2*PI()/Inputs!$C$13)*Inputs!$C$15*SIN(RADIANS(AE201)))</x:f>
        <x:v>41.627312700153134</x:v>
      </x:c>
      <x:c r="AG201" s="40" t="n">
        <x:f>(Z201/AA201)^4</x:f>
        <x:v>0.9747078333039635</x:v>
      </x:c>
      <x:c r="AH201" s="40" t="n">
        <x:f>10*LOG10(AG201)</x:f>
        <x:v>-0.11125543685004599</x:v>
      </x:c>
      <x:c r="AI201" s="40" t="n">
        <x:f>AC201-F201</x:f>
        <x:v>-72.91382096658299</x:v>
      </x:c>
      <x:c r="AJ201" s="40" t="n">
        <x:f>AD201-G201</x:f>
        <x:v>-0.865843004766436</x:v>
      </x:c>
      <x:c r="AK201" s="40" t="n">
        <x:f>Y201-X201</x:f>
        <x:v>130.94281575011726</x:v>
      </x:c>
      <x:c r="AL201" s="40" t="n">
        <x:f>1000*(AA202-AA200)/(A202-A200)*Inputs!$C$11</x:f>
        <x:v>745.6985445571718</x:v>
      </x:c>
      <x:c r="AM201" s="40" t="n">
        <x:f>-2*AL201/Inputs!$C$13</x:f>
        <x:v>-298.2794178228687</x:v>
      </x:c>
      <x:c r="AN201" s="40" t="n">
        <x:f>-2*AL201/Inputs!$C$14</x:f>
        <x:v>-44.78669937280311</x:v>
      </x:c>
      <x:c r="AO201" s="40" t="n">
        <x:f>ABS(AM201)</x:f>
        <x:v>298.2794178228687</x:v>
      </x:c>
      <x:c r="AP201" s="40" t="n">
        <x:f>ABS(AN201)</x:f>
        <x:v>44.78669937280311</x:v>
      </x:c>
      <x:c r="AQ201" s="40" t="n">
        <x:f>IF(Inputs!$C$27="ON",Inputs!$C$46/Inputs!$C$12,0)</x:f>
        <x:v>42.13483146067416</x:v>
      </x:c>
      <x:c r="AR201" s="40" t="n">
        <x:f>AC201-AQ201</x:f>
        <x:v>1407.777279468533</x:v>
      </x:c>
      <x:c r="AS201" s="40" t="n">
        <x:f>AC201+AQ201</x:f>
        <x:v>1492.0469423898812</x:v>
      </x:c>
    </x:row>
    <x:row r="202">
      <x:c r="A202" s="40" t="n">
        <x:f>Inputs!$C$7+200*(Inputs!$C$8-Inputs!$C$7)/240</x:f>
        <x:v>40</x:v>
      </x:c>
      <x:c r="B202" s="40" t="n">
        <x:f>Inputs!$C$5+Inputs!$C$9*(A202/Inputs!$C$10)^2</x:f>
        <x:v>401.77777777777777</x:v>
      </x:c>
      <x:c r="C202" s="40" t="n">
        <x:f>B202</x:f>
        <x:v>401.77777777777777</x:v>
      </x:c>
      <x:c r="D202" s="40" t="n">
        <x:f>SQRT(A202^2+Inputs!$C$6^2+B202^2)</x:f>
        <x:v>404.5372451530877</x:v>
      </x:c>
      <x:c r="E202" s="40" t="n">
        <x:f>(D202-C202)*1000</x:f>
        <x:v>2759.467375309953</x:v>
      </x:c>
      <x:c r="F202" s="40" t="n">
        <x:f>E202/Inputs!$C$12</x:f>
        <x:v>1550.26257039885</x:v>
      </x:c>
      <x:c r="G202" s="40" t="n">
        <x:f>2*E202/Inputs!$C$21*1000000</x:f>
        <x:v>18.40918476548168</x:v>
      </x:c>
      <x:c r="H202" s="40" t="n">
        <x:f>SQRT(A202^2+Inputs!$C$6^2)</x:f>
        <x:v>47.16990566028302</x:v>
      </x:c>
      <x:c r="I202" s="40" t="n">
        <x:f>DEGREES(ATAN(H202/B202))</x:f>
        <x:v>6.696042261456512</x:v>
      </x:c>
      <x:c r="J202" s="40" t="n">
        <x:f>DEGREES((2*PI()/Inputs!$C$13)*Inputs!$C$15*SIN(RADIANS(I202)))</x:f>
        <x:v>41.976767877765525</x:v>
      </x:c>
      <x:c r="K202" s="40" t="n">
        <x:f>(C202/D202)^4</x:f>
        <x:v>0.9729927379399279</x:v>
      </x:c>
      <x:c r="L202" s="40" t="n">
        <x:f>10*LOG10(K202)</x:f>
        <x:v>-0.11890401133895</x:v>
      </x:c>
      <x:c r="M202" s="40" t="n">
        <x:f>2*(Inputs!$C$9/(Inputs!$C$10^2))*A202</x:f>
        <x:v>0.08888888888888889</x:v>
      </x:c>
      <x:c r="N202" s="40" t="n">
        <x:f>M202*Inputs!$C$11</x:f>
        <x:v>0.35555555555555557</x:v>
      </x:c>
      <x:c r="O202" s="40" t="n">
        <x:f>1000*((A202*Inputs!$C$11)+(B202*N202))/D202</x:f>
        <x:v>748.6438507610001</x:v>
      </x:c>
      <x:c r="P202" s="40" t="n">
        <x:f>-2*O202/Inputs!$C$13</x:f>
        <x:v>-299.4575403044</x:v>
      </x:c>
      <x:c r="Q202" s="40" t="n">
        <x:f>-2*O202/Inputs!$C$14</x:f>
        <x:v>-44.96359464030031</x:v>
      </x:c>
      <x:c r="R202" s="40" t="n">
        <x:f>F202-Inputs!$C$16/2</x:f>
        <x:v>1535.26257039885</x:v>
      </x:c>
      <x:c r="S202" s="40" t="n">
        <x:f>F202+Inputs!$C$16/2</x:f>
        <x:v>1565.26257039885</x:v>
      </x:c>
      <x:c r="T202" s="40" t="n">
        <x:f>F202-Inputs!$C$17/2</x:f>
        <x:v>1400.26257039885</x:v>
      </x:c>
      <x:c r="U202" s="40" t="n">
        <x:f>F202+Inputs!$C$17/2</x:f>
        <x:v>1700.26257039885</x:v>
      </x:c>
      <x:c r="V202" s="40" t="n">
        <x:f>ABS(P202)</x:f>
        <x:v>299.4575403044</x:v>
      </x:c>
      <x:c r="W202" s="40" t="n">
        <x:f>ABS(Q202)</x:f>
        <x:v>44.96359464030031</x:v>
      </x:c>
      <x:c r="X202" s="40" t="n">
        <x:f>IF(Inputs!$C$27="ON",1,0)*(Inputs!$C$28*EXP(-(((A202)-Inputs!$C$29)^2)/(2*Inputs!$C$31^2))*EXP(-(((0)-Inputs!$C$30)^2)/(2*Inputs!$C$32^2))+-Inputs!$C$33*EXP(-(((((A202)-Inputs!$C$34)^2)+(((0)-Inputs!$C$35)^2))/(2*Inputs!$C$36^2)))+Inputs!$C$37*(0.55*SIN(2*PI()*(A202)/Inputs!$C$39)+0.35*COS(2*PI()*(0)/Inputs!$C$40)+0.2*SIN(2*PI()*((A202)+(0))/(0.5*(Inputs!$C$39+Inputs!$C$40))))+Inputs!$C$38*SIN(2*PI()*(A202)/Inputs!$C$39)*SIN(2*PI()*(0)/Inputs!$C$40)+-Inputs!$C$41*EXP(-(((0)-Inputs!$C$43)^2)/(2*Inputs!$C$44^2))*EXP(-(((A202)-Inputs!$C$42)^2)/(2*Inputs!$C$45^2)))</x:f>
        <x:v>41.56383572941411</x:v>
      </x:c>
      <x:c r="Y202" s="40" t="n">
        <x:f>IF(Inputs!$C$27="ON",1,0)*(Inputs!$C$28*EXP(-(((A202)-Inputs!$C$29)^2)/(2*Inputs!$C$31^2))*EXP(-(((Inputs!$C$6)-Inputs!$C$30)^2)/(2*Inputs!$C$32^2))+-Inputs!$C$33*EXP(-(((((A202)-Inputs!$C$34)^2)+(((Inputs!$C$6)-Inputs!$C$35)^2))/(2*Inputs!$C$36^2)))+Inputs!$C$37*(0.55*SIN(2*PI()*(A202)/Inputs!$C$39)+0.35*COS(2*PI()*(Inputs!$C$6)/Inputs!$C$40)+0.2*SIN(2*PI()*((A202)+(Inputs!$C$6))/(0.5*(Inputs!$C$39+Inputs!$C$40))))+Inputs!$C$38*SIN(2*PI()*(A202)/Inputs!$C$39)*SIN(2*PI()*(Inputs!$C$6)/Inputs!$C$40)+-Inputs!$C$41*EXP(-(((Inputs!$C$6)-Inputs!$C$43)^2)/(2*Inputs!$C$44^2))*EXP(-(((A202)-Inputs!$C$42)^2)/(2*Inputs!$C$45^2)))</x:f>
        <x:v>170.67469410517486</x:v>
      </x:c>
      <x:c r="Z202" s="40" t="n">
        <x:f>B202-X202/1000</x:f>
        <x:v>401.7362139420484</x:v>
      </x:c>
      <x:c r="AA202" s="40" t="n">
        <x:f>SQRT(A202^2+Inputs!$C$6^2+(B202-Y202/1000)^2)</x:f>
        <x:v>404.3677351709204</x:v>
      </x:c>
      <x:c r="AB202" s="40" t="n">
        <x:f>(AA202-Z202)*1000</x:f>
        <x:v>2631.5212288720318</x:v>
      </x:c>
      <x:c r="AC202" s="40" t="n">
        <x:f>AB202/Inputs!$C$12</x:f>
        <x:v>1478.382712849456</x:v>
      </x:c>
      <x:c r="AD202" s="40" t="n">
        <x:f>2*AB202/Inputs!$C$21*1000000</x:f>
        <x:v>17.555619954068572</x:v>
      </x:c>
      <x:c r="AE202" s="40" t="n">
        <x:f>DEGREES(ATAN(H202/(B202-Y202/1000)))</x:f>
        <x:v>6.698862083915005</x:v>
      </x:c>
      <x:c r="AF202" s="40" t="n">
        <x:f>DEGREES((2*PI()/Inputs!$C$13)*Inputs!$C$15*SIN(RADIANS(AE202)))</x:f>
        <x:v>41.99436443791489</x:v>
      </x:c>
      <x:c r="AG202" s="40" t="n">
        <x:f>(Z202/AA202)^4</x:f>
        <x:v>0.9742220323473267</x:v>
      </x:c>
      <x:c r="AH202" s="40" t="n">
        <x:f>10*LOG10(AG202)</x:f>
        <x:v>-0.11342052942580999</x:v>
      </x:c>
      <x:c r="AI202" s="40" t="n">
        <x:f>AC202-F202</x:f>
        <x:v>-71.87985754939382</x:v>
      </x:c>
      <x:c r="AJ202" s="40" t="n">
        <x:f>AD202-G202</x:f>
        <x:v>-0.8535648114131078</x:v>
      </x:c>
      <x:c r="AK202" s="40" t="n">
        <x:f>Y202-X202</x:f>
        <x:v>129.11085837576076</x:v>
      </x:c>
      <x:c r="AL202" s="40" t="n">
        <x:f>1000*(AA203-AA201)/(A203-A201)*Inputs!$C$11</x:f>
        <x:v>770.8623079415702</x:v>
      </x:c>
      <x:c r="AM202" s="40" t="n">
        <x:f>-2*AL202/Inputs!$C$13</x:f>
        <x:v>-308.3449231766281</x:v>
      </x:c>
      <x:c r="AN202" s="40" t="n">
        <x:f>-2*AL202/Inputs!$C$14</x:f>
        <x:v>-46.29803651300722</x:v>
      </x:c>
      <x:c r="AO202" s="40" t="n">
        <x:f>ABS(AM202)</x:f>
        <x:v>308.3449231766281</x:v>
      </x:c>
      <x:c r="AP202" s="40" t="n">
        <x:f>ABS(AN202)</x:f>
        <x:v>46.29803651300722</x:v>
      </x:c>
      <x:c r="AQ202" s="40" t="n">
        <x:f>IF(Inputs!$C$27="ON",Inputs!$C$46/Inputs!$C$12,0)</x:f>
        <x:v>42.13483146067416</x:v>
      </x:c>
      <x:c r="AR202" s="40" t="n">
        <x:f>AC202-AQ202</x:f>
        <x:v>1436.247881388782</x:v>
      </x:c>
      <x:c r="AS202" s="40" t="n">
        <x:f>AC202+AQ202</x:f>
        <x:v>1520.5175443101302</x:v>
      </x:c>
    </x:row>
    <x:row r="203">
      <x:c r="A203" s="40" t="n">
        <x:f>Inputs!$C$7+201*(Inputs!$C$8-Inputs!$C$7)/240</x:f>
        <x:v>40.5</x:v>
      </x:c>
      <x:c r="B203" s="40" t="n">
        <x:f>Inputs!$C$5+Inputs!$C$9*(A203/Inputs!$C$10)^2</x:f>
        <x:v>401.8225</x:v>
      </x:c>
      <x:c r="C203" s="40" t="n">
        <x:f>B203</x:f>
        <x:v>401.8225</x:v>
      </x:c>
      <x:c r="D203" s="40" t="n">
        <x:f>SQRT(A203^2+Inputs!$C$6^2+B203^2)</x:f>
        <x:v>404.6314020268941</x:v>
      </x:c>
      <x:c r="E203" s="40" t="n">
        <x:f>(D203-C203)*1000</x:f>
        <x:v>2808.9020268940885</x:v>
      </x:c>
      <x:c r="F203" s="40" t="n">
        <x:f>E203/Inputs!$C$12</x:f>
        <x:v>1578.0348465697127</x:v>
      </x:c>
      <x:c r="G203" s="40" t="n">
        <x:f>2*E203/Inputs!$C$21*1000000</x:f>
        <x:v>18.73897726202364</x:v>
      </x:c>
      <x:c r="H203" s="40" t="n">
        <x:f>SQRT(A203^2+Inputs!$C$6^2)</x:f>
        <x:v>47.59464255564905</x:v>
      </x:c>
      <x:c r="I203" s="40" t="n">
        <x:f>DEGREES(ATAN(H203/B203))</x:f>
        <x:v>6.755036334683316</x:v>
      </x:c>
      <x:c r="J203" s="40" t="n">
        <x:f>DEGREES((2*PI()/Inputs!$C$13)*Inputs!$C$15*SIN(RADIANS(I203)))</x:f>
        <x:v>42.34488780209607</x:v>
      </x:c>
      <x:c r="K203" s="40" t="n">
        <x:f>(C203/D203)^4</x:f>
        <x:v>0.9725202883089363</x:v>
      </x:c>
      <x:c r="L203" s="40" t="n">
        <x:f>10*LOG10(K203)</x:f>
        <x:v>-0.12101329839055901</x:v>
      </x:c>
      <x:c r="M203" s="40" t="n">
        <x:f>2*(Inputs!$C$9/(Inputs!$C$10^2))*A203</x:f>
        <x:v>0.09</x:v>
      </x:c>
      <x:c r="N203" s="40" t="n">
        <x:f>M203*Inputs!$C$11</x:f>
        <x:v>0.36</x:v>
      </x:c>
      <x:c r="O203" s="40" t="n">
        <x:f>1000*((A203*Inputs!$C$11)+(B203*N203))/D203</x:f>
        <x:v>757.8653027518064</x:v>
      </x:c>
      <x:c r="P203" s="40" t="n">
        <x:f>-2*O203/Inputs!$C$13</x:f>
        <x:v>-303.14612110072255</x:v>
      </x:c>
      <x:c r="Q203" s="40" t="n">
        <x:f>-2*O203/Inputs!$C$14</x:f>
        <x:v>-45.5174356007091</x:v>
      </x:c>
      <x:c r="R203" s="40" t="n">
        <x:f>F203-Inputs!$C$16/2</x:f>
        <x:v>1563.0348465697127</x:v>
      </x:c>
      <x:c r="S203" s="40" t="n">
        <x:f>F203+Inputs!$C$16/2</x:f>
        <x:v>1593.0348465697127</x:v>
      </x:c>
      <x:c r="T203" s="40" t="n">
        <x:f>F203-Inputs!$C$17/2</x:f>
        <x:v>1428.0348465697127</x:v>
      </x:c>
      <x:c r="U203" s="40" t="n">
        <x:f>F203+Inputs!$C$17/2</x:f>
        <x:v>1728.0348465697127</x:v>
      </x:c>
      <x:c r="V203" s="40" t="n">
        <x:f>ABS(P203)</x:f>
        <x:v>303.14612110072255</x:v>
      </x:c>
      <x:c r="W203" s="40" t="n">
        <x:f>ABS(Q203)</x:f>
        <x:v>45.5174356007091</x:v>
      </x:c>
      <x:c r="X203" s="40" t="n">
        <x:f>IF(Inputs!$C$27="ON",1,0)*(Inputs!$C$28*EXP(-(((A203)-Inputs!$C$29)^2)/(2*Inputs!$C$31^2))*EXP(-(((0)-Inputs!$C$30)^2)/(2*Inputs!$C$32^2))+-Inputs!$C$33*EXP(-(((((A203)-Inputs!$C$34)^2)+(((0)-Inputs!$C$35)^2))/(2*Inputs!$C$36^2)))+Inputs!$C$37*(0.55*SIN(2*PI()*(A203)/Inputs!$C$39)+0.35*COS(2*PI()*(0)/Inputs!$C$40)+0.2*SIN(2*PI()*((A203)+(0))/(0.5*(Inputs!$C$39+Inputs!$C$40))))+Inputs!$C$38*SIN(2*PI()*(A203)/Inputs!$C$39)*SIN(2*PI()*(0)/Inputs!$C$40)+-Inputs!$C$41*EXP(-(((0)-Inputs!$C$43)^2)/(2*Inputs!$C$44^2))*EXP(-(((A203)-Inputs!$C$42)^2)/(2*Inputs!$C$45^2)))</x:f>
        <x:v>41.05153624434281</x:v>
      </x:c>
      <x:c r="Y203" s="40" t="n">
        <x:f>IF(Inputs!$C$27="ON",1,0)*(Inputs!$C$28*EXP(-(((A203)-Inputs!$C$29)^2)/(2*Inputs!$C$31^2))*EXP(-(((Inputs!$C$6)-Inputs!$C$30)^2)/(2*Inputs!$C$32^2))+-Inputs!$C$33*EXP(-(((((A203)-Inputs!$C$34)^2)+(((Inputs!$C$6)-Inputs!$C$35)^2))/(2*Inputs!$C$36^2)))+Inputs!$C$37*(0.55*SIN(2*PI()*(A203)/Inputs!$C$39)+0.35*COS(2*PI()*(Inputs!$C$6)/Inputs!$C$40)+0.2*SIN(2*PI()*((A203)+(Inputs!$C$6))/(0.5*(Inputs!$C$39+Inputs!$C$40))))+Inputs!$C$38*SIN(2*PI()*(A203)/Inputs!$C$39)*SIN(2*PI()*(Inputs!$C$6)/Inputs!$C$40)+-Inputs!$C$41*EXP(-(((Inputs!$C$6)-Inputs!$C$43)^2)/(2*Inputs!$C$44^2))*EXP(-(((A203)-Inputs!$C$42)^2)/(2*Inputs!$C$45^2)))</x:f>
        <x:v>166.88962666254307</x:v>
      </x:c>
      <x:c r="Z203" s="40" t="n">
        <x:f>B203-X203/1000</x:f>
        <x:v>401.7814484637556</x:v>
      </x:c>
      <x:c r="AA203" s="40" t="n">
        <x:f>SQRT(A203^2+Inputs!$C$6^2+(B203-Y203/1000)^2)</x:f>
        <x:v>404.46567140411094</x:v>
      </x:c>
      <x:c r="AB203" s="40" t="n">
        <x:f>(AA203-Z203)*1000</x:f>
        <x:v>2684.222940355312</x:v>
      </x:c>
      <x:c r="AC203" s="40" t="n">
        <x:f>AB203/Inputs!$C$12</x:f>
        <x:v>1507.9904159299506</x:v>
      </x:c>
      <x:c r="AD203" s="40" t="n">
        <x:f>2*AB203/Inputs!$C$21*1000000</x:f>
        <x:v>17.907207928194858</x:v>
      </x:c>
      <x:c r="AE203" s="40" t="n">
        <x:f>DEGREES(ATAN(H203/(B203-Y203/1000)))</x:f>
        <x:v>6.7578171285328</x:v>
      </x:c>
      <x:c r="AF203" s="40" t="n">
        <x:f>DEGREES((2*PI()/Inputs!$C$13)*Inputs!$C$15*SIN(RADIANS(AE203)))</x:f>
        <x:v>42.36223870508559</x:v>
      </x:c>
      <x:c r="AG203" s="40" t="n">
        <x:f>(Z203/AA203)^4</x:f>
        <x:v>0.973717222316164</x:v>
      </x:c>
      <x:c r="AH203" s="40" t="n">
        <x:f>10*LOG10(AG203)</x:f>
        <x:v>-0.115671484791347</x:v>
      </x:c>
      <x:c r="AI203" s="40" t="n">
        <x:f>AC203-F203</x:f>
        <x:v>-70.04443063976214</x:v>
      </x:c>
      <x:c r="AJ203" s="40" t="n">
        <x:f>AD203-G203</x:f>
        <x:v>-0.831769333828781</x:v>
      </x:c>
      <x:c r="AK203" s="40" t="n">
        <x:f>Y203-X203</x:f>
        <x:v>125.83809041820025</x:v>
      </x:c>
      <x:c r="AL203" s="40" t="n">
        <x:f>1000*(AA204-AA202)/(A204-A202)*Inputs!$C$11</x:f>
        <x:v>795.9313234218826</x:v>
      </x:c>
      <x:c r="AM203" s="40" t="n">
        <x:f>-2*AL203/Inputs!$C$13</x:f>
        <x:v>-318.372529368753</x:v>
      </x:c>
      <x:c r="AN203" s="40" t="n">
        <x:f>-2*AL203/Inputs!$C$14</x:f>
        <x:v>-47.80368308840136</x:v>
      </x:c>
      <x:c r="AO203" s="40" t="n">
        <x:f>ABS(AM203)</x:f>
        <x:v>318.372529368753</x:v>
      </x:c>
      <x:c r="AP203" s="40" t="n">
        <x:f>ABS(AN203)</x:f>
        <x:v>47.80368308840136</x:v>
      </x:c>
      <x:c r="AQ203" s="40" t="n">
        <x:f>IF(Inputs!$C$27="ON",Inputs!$C$46/Inputs!$C$12,0)</x:f>
        <x:v>42.13483146067416</x:v>
      </x:c>
      <x:c r="AR203" s="40" t="n">
        <x:f>AC203-AQ203</x:f>
        <x:v>1465.8555844692764</x:v>
      </x:c>
      <x:c r="AS203" s="40" t="n">
        <x:f>AC203+AQ203</x:f>
        <x:v>1550.1252473906247</x:v>
      </x:c>
    </x:row>
    <x:row r="204">
      <x:c r="A204" s="40" t="n">
        <x:f>Inputs!$C$7+202*(Inputs!$C$8-Inputs!$C$7)/240</x:f>
        <x:v>41</x:v>
      </x:c>
      <x:c r="B204" s="40" t="n">
        <x:f>Inputs!$C$5+Inputs!$C$9*(A204/Inputs!$C$10)^2</x:f>
        <x:v>401.8677777777778</x:v>
      </x:c>
      <x:c r="C204" s="40" t="n">
        <x:f>B204</x:f>
        <x:v>401.8677777777778</x:v>
      </x:c>
      <x:c r="D204" s="40" t="n">
        <x:f>SQRT(A204^2+Inputs!$C$6^2+B204^2)</x:f>
        <x:v>404.7267112707653</x:v>
      </x:c>
      <x:c r="E204" s="40" t="n">
        <x:f>(D204-C204)*1000</x:f>
        <x:v>2858.9334929874894</x:v>
      </x:c>
      <x:c r="F204" s="40" t="n">
        <x:f>E204/Inputs!$C$12</x:f>
        <x:v>1606.1424117907243</x:v>
      </x:c>
      <x:c r="G204" s="40" t="n">
        <x:f>2*E204/Inputs!$C$21*1000000</x:f>
        <x:v>19.072751276401284</x:v>
      </x:c>
      <x:c r="H204" s="40" t="n">
        <x:f>SQRT(A204^2+Inputs!$C$6^2)</x:f>
        <x:v>48.02082881417188</x:v>
      </x:c>
      <x:c r="I204" s="40" t="n">
        <x:f>DEGREES(ATAN(H204/B204))</x:f>
        <x:v>6.814197296997338</x:v>
      </x:c>
      <x:c r="J204" s="40" t="n">
        <x:f>DEGREES((2*PI()/Inputs!$C$13)*Inputs!$C$15*SIN(RADIANS(I204)))</x:f>
        <x:v>42.71400402217685</x:v>
      </x:c>
      <x:c r="K204" s="40" t="n">
        <x:f>(C204/D204)^4</x:f>
        <x:v>0.9720425348584198</x:v>
      </x:c>
      <x:c r="L204" s="40" t="n">
        <x:f>10*LOG10(K204)</x:f>
        <x:v>-0.123147307011646</x:v>
      </x:c>
      <x:c r="M204" s="40" t="n">
        <x:f>2*(Inputs!$C$9/(Inputs!$C$10^2))*A204</x:f>
        <x:v>0.09111111111111111</x:v>
      </x:c>
      <x:c r="N204" s="40" t="n">
        <x:f>M204*Inputs!$C$11</x:f>
        <x:v>0.36444444444444446</x:v>
      </x:c>
      <x:c r="O204" s="40" t="n">
        <x:f>1000*((A204*Inputs!$C$11)+(B204*N204))/D204</x:f>
        <x:v>767.081762499848</x:v>
      </x:c>
      <x:c r="P204" s="40" t="n">
        <x:f>-2*O204/Inputs!$C$13</x:f>
        <x:v>-306.8327049999392</x:v>
      </x:c>
      <x:c r="Q204" s="40" t="n">
        <x:f>-2*O204/Inputs!$C$14</x:f>
        <x:v>-46.070976726717596</x:v>
      </x:c>
      <x:c r="R204" s="40" t="n">
        <x:f>F204-Inputs!$C$16/2</x:f>
        <x:v>1591.1424117907243</x:v>
      </x:c>
      <x:c r="S204" s="40" t="n">
        <x:f>F204+Inputs!$C$16/2</x:f>
        <x:v>1621.1424117907243</x:v>
      </x:c>
      <x:c r="T204" s="40" t="n">
        <x:f>F204-Inputs!$C$17/2</x:f>
        <x:v>1456.1424117907243</x:v>
      </x:c>
      <x:c r="U204" s="40" t="n">
        <x:f>F204+Inputs!$C$17/2</x:f>
        <x:v>1756.1424117907243</x:v>
      </x:c>
      <x:c r="V204" s="40" t="n">
        <x:f>ABS(P204)</x:f>
        <x:v>306.8327049999392</x:v>
      </x:c>
      <x:c r="W204" s="40" t="n">
        <x:f>ABS(Q204)</x:f>
        <x:v>46.070976726717596</x:v>
      </x:c>
      <x:c r="X204" s="40" t="n">
        <x:f>IF(Inputs!$C$27="ON",1,0)*(Inputs!$C$28*EXP(-(((A204)-Inputs!$C$29)^2)/(2*Inputs!$C$31^2))*EXP(-(((0)-Inputs!$C$30)^2)/(2*Inputs!$C$32^2))+-Inputs!$C$33*EXP(-(((((A204)-Inputs!$C$34)^2)+(((0)-Inputs!$C$35)^2))/(2*Inputs!$C$36^2)))+Inputs!$C$37*(0.55*SIN(2*PI()*(A204)/Inputs!$C$39)+0.35*COS(2*PI()*(0)/Inputs!$C$40)+0.2*SIN(2*PI()*((A204)+(0))/(0.5*(Inputs!$C$39+Inputs!$C$40))))+Inputs!$C$38*SIN(2*PI()*(A204)/Inputs!$C$39)*SIN(2*PI()*(0)/Inputs!$C$40)+-Inputs!$C$41*EXP(-(((0)-Inputs!$C$43)^2)/(2*Inputs!$C$44^2))*EXP(-(((A204)-Inputs!$C$42)^2)/(2*Inputs!$C$45^2)))</x:f>
        <x:v>39.99373077507672</x:v>
      </x:c>
      <x:c r="Y204" s="40" t="n">
        <x:f>IF(Inputs!$C$27="ON",1,0)*(Inputs!$C$28*EXP(-(((A204)-Inputs!$C$29)^2)/(2*Inputs!$C$31^2))*EXP(-(((Inputs!$C$6)-Inputs!$C$30)^2)/(2*Inputs!$C$32^2))+-Inputs!$C$33*EXP(-(((((A204)-Inputs!$C$34)^2)+(((Inputs!$C$6)-Inputs!$C$35)^2))/(2*Inputs!$C$36^2)))+Inputs!$C$37*(0.55*SIN(2*PI()*(A204)/Inputs!$C$39)+0.35*COS(2*PI()*(Inputs!$C$6)/Inputs!$C$40)+0.2*SIN(2*PI()*((A204)+(Inputs!$C$6))/(0.5*(Inputs!$C$39+Inputs!$C$40))))+Inputs!$C$38*SIN(2*PI()*(A204)/Inputs!$C$39)*SIN(2*PI()*(Inputs!$C$6)/Inputs!$C$40)+-Inputs!$C$41*EXP(-(((Inputs!$C$6)-Inputs!$C$43)^2)/(2*Inputs!$C$44^2))*EXP(-(((A204)-Inputs!$C$42)^2)/(2*Inputs!$C$45^2)))</x:f>
        <x:v>161.13193441060406</x:v>
      </x:c>
      <x:c r="Z204" s="40" t="n">
        <x:f>B204-X204/1000</x:f>
        <x:v>401.82778404700275</x:v>
      </x:c>
      <x:c r="AA204" s="40" t="n">
        <x:f>SQRT(A204^2+Inputs!$C$6^2+(B204-Y204/1000)^2)</x:f>
        <x:v>404.5667180017759</x:v>
      </x:c>
      <x:c r="AB204" s="40" t="n">
        <x:f>(AA204-Z204)*1000</x:f>
        <x:v>2738.933954773131</x:v>
      </x:c>
      <x:c r="AC204" s="40" t="n">
        <x:f>AB204/Inputs!$C$12</x:f>
        <x:v>1538.7269408837815</x:v>
      </x:c>
      <x:c r="AD204" s="40" t="n">
        <x:f>2*AB204/Inputs!$C$21*1000000</x:f>
        <x:v>18.272200528627916</x:v>
      </x:c>
      <x:c r="AE204" s="40" t="n">
        <x:f>DEGREES(ATAN(H204/(B204-Y204/1000)))</x:f>
        <x:v>6.816904880657793</x:v>
      </x:c>
      <x:c r="AF204" s="40" t="n">
        <x:f>DEGREES((2*PI()/Inputs!$C$13)*Inputs!$C$15*SIN(RADIANS(AE204)))</x:f>
        <x:v>42.73089605217104</x:v>
      </x:c>
      <x:c r="AG204" s="40" t="n">
        <x:f>(Z204/AA204)^4</x:f>
        <x:v>0.9731935910018842</x:v>
      </x:c>
      <x:c r="AH204" s="40" t="n">
        <x:f>10*LOG10(AG204)</x:f>
        <x:v>-0.118007597922685</x:v>
      </x:c>
      <x:c r="AI204" s="40" t="n">
        <x:f>AC204-F204</x:f>
        <x:v>-67.4154709069428</x:v>
      </x:c>
      <x:c r="AJ204" s="40" t="n">
        <x:f>AD204-G204</x:f>
        <x:v>-0.800550747773368</x:v>
      </x:c>
      <x:c r="AK204" s="40" t="n">
        <x:f>Y204-X204</x:f>
        <x:v>121.13820363552733</x:v>
      </x:c>
      <x:c r="AL204" s="40" t="n">
        <x:f>1000*(AA205-AA203)/(A205-A203)*Inputs!$C$11</x:f>
        <x:v>820.3599990861221</x:v>
      </x:c>
      <x:c r="AM204" s="40" t="n">
        <x:f>-2*AL204/Inputs!$C$13</x:f>
        <x:v>-328.14399963444885</x:v>
      </x:c>
      <x:c r="AN204" s="40" t="n">
        <x:f>-2*AL204/Inputs!$C$14</x:f>
        <x:v>-49.270870815983315</x:v>
      </x:c>
      <x:c r="AO204" s="40" t="n">
        <x:f>ABS(AM204)</x:f>
        <x:v>328.14399963444885</x:v>
      </x:c>
      <x:c r="AP204" s="40" t="n">
        <x:f>ABS(AN204)</x:f>
        <x:v>49.270870815983315</x:v>
      </x:c>
      <x:c r="AQ204" s="40" t="n">
        <x:f>IF(Inputs!$C$27="ON",Inputs!$C$46/Inputs!$C$12,0)</x:f>
        <x:v>42.13483146067416</x:v>
      </x:c>
      <x:c r="AR204" s="40" t="n">
        <x:f>AC204-AQ204</x:f>
        <x:v>1496.5921094231073</x:v>
      </x:c>
      <x:c r="AS204" s="40" t="n">
        <x:f>AC204+AQ204</x:f>
        <x:v>1580.8617723444556</x:v>
      </x:c>
    </x:row>
    <x:row r="205">
      <x:c r="A205" s="40" t="n">
        <x:f>Inputs!$C$7+203*(Inputs!$C$8-Inputs!$C$7)/240</x:f>
        <x:v>41.5</x:v>
      </x:c>
      <x:c r="B205" s="40" t="n">
        <x:f>Inputs!$C$5+Inputs!$C$9*(A205/Inputs!$C$10)^2</x:f>
        <x:v>401.9136111111111</x:v>
      </x:c>
      <x:c r="C205" s="40" t="n">
        <x:f>B205</x:f>
        <x:v>401.9136111111111</x:v>
      </x:c>
      <x:c r="D205" s="40" t="n">
        <x:f>SQRT(A205^2+Inputs!$C$6^2+B205^2)</x:f>
        <x:v>404.8231722571887</x:v>
      </x:c>
      <x:c r="E205" s="40" t="n">
        <x:f>(D205-C205)*1000</x:f>
        <x:v>2909.5611460775785</x:v>
      </x:c>
      <x:c r="F205" s="40" t="n">
        <x:f>E205/Inputs!$C$12</x:f>
        <x:v>1634.5849135267295</x:v>
      </x:c>
      <x:c r="G205" s="40" t="n">
        <x:f>2*E205/Inputs!$C$21*1000000</x:f>
        <x:v>19.410502622301316</x:v>
      </x:c>
      <x:c r="H205" s="40" t="n">
        <x:f>SQRT(A205^2+Inputs!$C$6^2)</x:f>
        <x:v>48.44842618702903</x:v>
      </x:c>
      <x:c r="I205" s="40" t="n">
        <x:f>DEGREES(ATAN(H205/B205))</x:f>
        <x:v>6.873519212930159</x:v>
      </x:c>
      <x:c r="J205" s="40" t="n">
        <x:f>DEGREES((2*PI()/Inputs!$C$13)*Inputs!$C$15*SIN(RADIANS(I205)))</x:f>
        <x:v>43.0840787351217</x:v>
      </x:c>
      <x:c r="K205" s="40" t="n">
        <x:f>(C205/D205)^4</x:f>
        <x:v>0.9715594975681711</x:v>
      </x:c>
      <x:c r="L205" s="40" t="n">
        <x:f>10*LOG10(K205)</x:f>
        <x:v>-0.125305983844946</x:v>
      </x:c>
      <x:c r="M205" s="40" t="n">
        <x:f>2*(Inputs!$C$9/(Inputs!$C$10^2))*A205</x:f>
        <x:v>0.09222222222222222</x:v>
      </x:c>
      <x:c r="N205" s="40" t="n">
        <x:f>M205*Inputs!$C$11</x:f>
        <x:v>0.3688888888888889</x:v>
      </x:c>
      <x:c r="O205" s="40" t="n">
        <x:f>1000*((A205*Inputs!$C$11)+(B205*N205))/D205</x:f>
        <x:v>776.2931743256163</x:v>
      </x:c>
      <x:c r="P205" s="40" t="n">
        <x:f>-2*O205/Inputs!$C$13</x:f>
        <x:v>-310.51726973024654</x:v>
      </x:c>
      <x:c r="Q205" s="40" t="n">
        <x:f>-2*O205/Inputs!$C$14</x:f>
        <x:v>-46.624214674211196</x:v>
      </x:c>
      <x:c r="R205" s="40" t="n">
        <x:f>F205-Inputs!$C$16/2</x:f>
        <x:v>1619.5849135267295</x:v>
      </x:c>
      <x:c r="S205" s="40" t="n">
        <x:f>F205+Inputs!$C$16/2</x:f>
        <x:v>1649.5849135267295</x:v>
      </x:c>
      <x:c r="T205" s="40" t="n">
        <x:f>F205-Inputs!$C$17/2</x:f>
        <x:v>1484.5849135267295</x:v>
      </x:c>
      <x:c r="U205" s="40" t="n">
        <x:f>F205+Inputs!$C$17/2</x:f>
        <x:v>1784.5849135267295</x:v>
      </x:c>
      <x:c r="V205" s="40" t="n">
        <x:f>ABS(P205)</x:f>
        <x:v>310.51726973024654</x:v>
      </x:c>
      <x:c r="W205" s="40" t="n">
        <x:f>ABS(Q205)</x:f>
        <x:v>46.624214674211196</x:v>
      </x:c>
      <x:c r="X205" s="40" t="n">
        <x:f>IF(Inputs!$C$27="ON",1,0)*(Inputs!$C$28*EXP(-(((A205)-Inputs!$C$29)^2)/(2*Inputs!$C$31^2))*EXP(-(((0)-Inputs!$C$30)^2)/(2*Inputs!$C$32^2))+-Inputs!$C$33*EXP(-(((((A205)-Inputs!$C$34)^2)+(((0)-Inputs!$C$35)^2))/(2*Inputs!$C$36^2)))+Inputs!$C$37*(0.55*SIN(2*PI()*(A205)/Inputs!$C$39)+0.35*COS(2*PI()*(0)/Inputs!$C$40)+0.2*SIN(2*PI()*((A205)+(0))/(0.5*(Inputs!$C$39+Inputs!$C$40))))+Inputs!$C$38*SIN(2*PI()*(A205)/Inputs!$C$39)*SIN(2*PI()*(0)/Inputs!$C$40)+-Inputs!$C$41*EXP(-(((0)-Inputs!$C$43)^2)/(2*Inputs!$C$44^2))*EXP(-(((A205)-Inputs!$C$42)^2)/(2*Inputs!$C$45^2)))</x:f>
        <x:v>38.43159605988062</x:v>
      </x:c>
      <x:c r="Y205" s="40" t="n">
        <x:f>IF(Inputs!$C$27="ON",1,0)*(Inputs!$C$28*EXP(-(((A205)-Inputs!$C$29)^2)/(2*Inputs!$C$31^2))*EXP(-(((Inputs!$C$6)-Inputs!$C$30)^2)/(2*Inputs!$C$32^2))+-Inputs!$C$33*EXP(-(((((A205)-Inputs!$C$34)^2)+(((Inputs!$C$6)-Inputs!$C$35)^2))/(2*Inputs!$C$36^2)))+Inputs!$C$37*(0.55*SIN(2*PI()*(A205)/Inputs!$C$39)+0.35*COS(2*PI()*(Inputs!$C$6)/Inputs!$C$40)+0.2*SIN(2*PI()*((A205)+(Inputs!$C$6))/(0.5*(Inputs!$C$39+Inputs!$C$40))))+Inputs!$C$38*SIN(2*PI()*(A205)/Inputs!$C$39)*SIN(2*PI()*(Inputs!$C$6)/Inputs!$C$40)+-Inputs!$C$41*EXP(-(((Inputs!$C$6)-Inputs!$C$43)^2)/(2*Inputs!$C$44^2))*EXP(-(((A205)-Inputs!$C$42)^2)/(2*Inputs!$C$45^2)))</x:f>
        <x:v>153.51461670069205</x:v>
      </x:c>
      <x:c r="Z205" s="40" t="n">
        <x:f>B205-X205/1000</x:f>
        <x:v>401.87517951505123</x:v>
      </x:c>
      <x:c r="AA205" s="40" t="n">
        <x:f>SQRT(A205^2+Inputs!$C$6^2+(B205-Y205/1000)^2)</x:f>
        <x:v>404.67076140388247</x:v>
      </x:c>
      <x:c r="AB205" s="40" t="n">
        <x:f>(AA205-Z205)*1000</x:f>
        <x:v>2795.5818888312365</x:v>
      </x:c>
      <x:c r="AC205" s="40" t="n">
        <x:f>AB205/Inputs!$C$12</x:f>
        <x:v>1570.5516229388968</x:v>
      </x:c>
      <x:c r="AD205" s="40" t="n">
        <x:f>2*AB205/Inputs!$C$21*1000000</x:f>
        <x:v>18.650114866006646</x:v>
      </x:c>
      <x:c r="AE205" s="40" t="n">
        <x:f>DEGREES(ATAN(H205/(B205-Y205/1000)))</x:f>
        <x:v>6.876120479434581</x:v>
      </x:c>
      <x:c r="AF205" s="40" t="n">
        <x:f>DEGREES((2*PI()/Inputs!$C$13)*Inputs!$C$15*SIN(RADIANS(AE205)))</x:f>
        <x:v>43.100305460228185</x:v>
      </x:c>
      <x:c r="AG205" s="40" t="n">
        <x:f>(Z205/AA205)^4</x:f>
        <x:v>0.9726518808325914</x:v>
      </x:c>
      <x:c r="AH205" s="40" t="n">
        <x:f>10*LOG10(AG205)</x:f>
        <x:v>-0.120425690693133</x:v>
      </x:c>
      <x:c r="AI205" s="40" t="n">
        <x:f>AC205-F205</x:f>
        <x:v>-64.03329058783265</x:v>
      </x:c>
      <x:c r="AJ205" s="40" t="n">
        <x:f>AD205-G205</x:f>
        <x:v>-0.7603877562946693</x:v>
      </x:c>
      <x:c r="AK205" s="40" t="n">
        <x:f>Y205-X205</x:f>
        <x:v>115.08302064081143</x:v>
      </x:c>
      <x:c r="AL205" s="40" t="n">
        <x:f>1000*(AA206-AA204)/(A206-A204)*Inputs!$C$11</x:f>
        <x:v>843.6304969643516</x:v>
      </x:c>
      <x:c r="AM205" s="40" t="n">
        <x:f>-2*AL205/Inputs!$C$13</x:f>
        <x:v>-337.4521987857406</x:v>
      </x:c>
      <x:c r="AN205" s="40" t="n">
        <x:f>-2*AL205/Inputs!$C$14</x:f>
        <x:v>-50.66849831617728</x:v>
      </x:c>
      <x:c r="AO205" s="40" t="n">
        <x:f>ABS(AM205)</x:f>
        <x:v>337.4521987857406</x:v>
      </x:c>
      <x:c r="AP205" s="40" t="n">
        <x:f>ABS(AN205)</x:f>
        <x:v>50.66849831617728</x:v>
      </x:c>
      <x:c r="AQ205" s="40" t="n">
        <x:f>IF(Inputs!$C$27="ON",Inputs!$C$46/Inputs!$C$12,0)</x:f>
        <x:v>42.13483146067416</x:v>
      </x:c>
      <x:c r="AR205" s="40" t="n">
        <x:f>AC205-AQ205</x:f>
        <x:v>1528.4167914782226</x:v>
      </x:c>
      <x:c r="AS205" s="40" t="n">
        <x:f>AC205+AQ205</x:f>
        <x:v>1612.686454399571</x:v>
      </x:c>
    </x:row>
    <x:row r="206">
      <x:c r="A206" s="40" t="n">
        <x:f>Inputs!$C$7+204*(Inputs!$C$8-Inputs!$C$7)/240</x:f>
        <x:v>42</x:v>
      </x:c>
      <x:c r="B206" s="40" t="n">
        <x:f>Inputs!$C$5+Inputs!$C$9*(A206/Inputs!$C$10)^2</x:f>
        <x:v>401.96</x:v>
      </x:c>
      <x:c r="C206" s="40" t="n">
        <x:f>B206</x:f>
        <x:v>401.96</x:v>
      </x:c>
      <x:c r="D206" s="40" t="n">
        <x:f>SQRT(A206^2+Inputs!$C$6^2+B206^2)</x:f>
        <x:v>404.920784351705</x:v>
      </x:c>
      <x:c r="E206" s="40" t="n">
        <x:f>(D206-C206)*1000</x:f>
        <x:v>2960.7843517050014</x:v>
      </x:c>
      <x:c r="F206" s="40" t="n">
        <x:f>E206/Inputs!$C$12</x:f>
        <x:v>1663.3619953398884</x:v>
      </x:c>
      <x:c r="G206" s="40" t="n">
        <x:f>2*E206/Inputs!$C$21*1000000</x:f>
        <x:v>19.75222706706652</x:v>
      </x:c>
      <x:c r="H206" s="40" t="n">
        <x:f>SQRT(A206^2+Inputs!$C$6^2)</x:f>
        <x:v>48.877397639399746</x:v>
      </x:c>
      <x:c r="I206" s="40" t="n">
        <x:f>DEGREES(ATAN(H206/B206))</x:f>
        <x:v>6.932996321916247</x:v>
      </x:c>
      <x:c r="J206" s="40" t="n">
        <x:f>DEGREES((2*PI()/Inputs!$C$13)*Inputs!$C$15*SIN(RADIANS(I206)))</x:f>
        <x:v>43.45507523985368</x:v>
      </x:c>
      <x:c r="K206" s="40" t="n">
        <x:f>(C206/D206)^4</x:f>
        <x:v>0.971071196606904</x:v>
      </x:c>
      <x:c r="L206" s="40" t="n">
        <x:f>10*LOG10(K206)</x:f>
        <x:v>-0.12748927496753</x:v>
      </x:c>
      <x:c r="M206" s="40" t="n">
        <x:f>2*(Inputs!$C$9/(Inputs!$C$10^2))*A206</x:f>
        <x:v>0.09333333333333334</x:v>
      </x:c>
      <x:c r="N206" s="40" t="n">
        <x:f>M206*Inputs!$C$11</x:f>
        <x:v>0.37333333333333335</x:v>
      </x:c>
      <x:c r="O206" s="40" t="n">
        <x:f>1000*((A206*Inputs!$C$11)+(B206*N206))/D206</x:f>
        <x:v>785.4994827590834</x:v>
      </x:c>
      <x:c r="P206" s="40" t="n">
        <x:f>-2*O206/Inputs!$C$13</x:f>
        <x:v>-314.1997931036334</x:v>
      </x:c>
      <x:c r="Q206" s="40" t="n">
        <x:f>-2*O206/Inputs!$C$14</x:f>
        <x:v>-47.17714611165667</x:v>
      </x:c>
      <x:c r="R206" s="40" t="n">
        <x:f>F206-Inputs!$C$16/2</x:f>
        <x:v>1648.3619953398884</x:v>
      </x:c>
      <x:c r="S206" s="40" t="n">
        <x:f>F206+Inputs!$C$16/2</x:f>
        <x:v>1678.3619953398884</x:v>
      </x:c>
      <x:c r="T206" s="40" t="n">
        <x:f>F206-Inputs!$C$17/2</x:f>
        <x:v>1513.3619953398884</x:v>
      </x:c>
      <x:c r="U206" s="40" t="n">
        <x:f>F206+Inputs!$C$17/2</x:f>
        <x:v>1813.3619953398884</x:v>
      </x:c>
      <x:c r="V206" s="40" t="n">
        <x:f>ABS(P206)</x:f>
        <x:v>314.1997931036334</x:v>
      </x:c>
      <x:c r="W206" s="40" t="n">
        <x:f>ABS(Q206)</x:f>
        <x:v>47.17714611165667</x:v>
      </x:c>
      <x:c r="X206" s="40" t="n">
        <x:f>IF(Inputs!$C$27="ON",1,0)*(Inputs!$C$28*EXP(-(((A206)-Inputs!$C$29)^2)/(2*Inputs!$C$31^2))*EXP(-(((0)-Inputs!$C$30)^2)/(2*Inputs!$C$32^2))+-Inputs!$C$33*EXP(-(((((A206)-Inputs!$C$34)^2)+(((0)-Inputs!$C$35)^2))/(2*Inputs!$C$36^2)))+Inputs!$C$37*(0.55*SIN(2*PI()*(A206)/Inputs!$C$39)+0.35*COS(2*PI()*(0)/Inputs!$C$40)+0.2*SIN(2*PI()*((A206)+(0))/(0.5*(Inputs!$C$39+Inputs!$C$40))))+Inputs!$C$38*SIN(2*PI()*(A206)/Inputs!$C$39)*SIN(2*PI()*(0)/Inputs!$C$40)+-Inputs!$C$41*EXP(-(((0)-Inputs!$C$43)^2)/(2*Inputs!$C$44^2))*EXP(-(((A206)-Inputs!$C$42)^2)/(2*Inputs!$C$45^2)))</x:f>
        <x:v>36.41411707136549</x:v>
      </x:c>
      <x:c r="Y206" s="40" t="n">
        <x:f>IF(Inputs!$C$27="ON",1,0)*(Inputs!$C$28*EXP(-(((A206)-Inputs!$C$29)^2)/(2*Inputs!$C$31^2))*EXP(-(((Inputs!$C$6)-Inputs!$C$30)^2)/(2*Inputs!$C$32^2))+-Inputs!$C$33*EXP(-(((((A206)-Inputs!$C$34)^2)+(((Inputs!$C$6)-Inputs!$C$35)^2))/(2*Inputs!$C$36^2)))+Inputs!$C$37*(0.55*SIN(2*PI()*(A206)/Inputs!$C$39)+0.35*COS(2*PI()*(Inputs!$C$6)/Inputs!$C$40)+0.2*SIN(2*PI()*((A206)+(Inputs!$C$6))/(0.5*(Inputs!$C$39+Inputs!$C$40))))+Inputs!$C$38*SIN(2*PI()*(A206)/Inputs!$C$39)*SIN(2*PI()*(Inputs!$C$6)/Inputs!$C$40)+-Inputs!$C$41*EXP(-(((Inputs!$C$6)-Inputs!$C$43)^2)/(2*Inputs!$C$44^2))*EXP(-(((A206)-Inputs!$C$42)^2)/(2*Inputs!$C$45^2)))</x:f>
        <x:v>144.2135910586973</x:v>
      </x:c>
      <x:c r="Z206" s="40" t="n">
        <x:f>B206-X206/1000</x:f>
        <x:v>401.9235858829286</x:v>
      </x:c>
      <x:c r="AA206" s="40" t="n">
        <x:f>SQRT(A206^2+Inputs!$C$6^2+(B206-Y206/1000)^2)</x:f>
        <x:v>404.77762562601697</x:v>
      </x:c>
      <x:c r="AB206" s="40" t="n">
        <x:f>(AA206-Z206)*1000</x:f>
        <x:v>2854.0397430883786</x:v>
      </x:c>
      <x:c r="AC206" s="40" t="n">
        <x:f>AB206/Inputs!$C$12</x:f>
        <x:v>1603.3931140945947</x:v>
      </x:c>
      <x:c r="AD206" s="40" t="n">
        <x:f>2*AB206/Inputs!$C$21*1000000</x:f>
        <x:v>19.040103691256828</x:v>
      </x:c>
      <x:c r="AE206" s="40" t="n">
        <x:f>DEGREES(ATAN(H206/(B206-Y206/1000)))</x:f>
        <x:v>6.935460376537899</x:v>
      </x:c>
      <x:c r="AF206" s="40" t="n">
        <x:f>DEGREES((2*PI()/Inputs!$C$13)*Inputs!$C$15*SIN(RADIANS(AE206)))</x:f>
        <x:v>43.470444106120425</x:v>
      </x:c>
      <x:c r="AG206" s="40" t="n">
        <x:f>(Z206/AA206)^4</x:f>
        <x:v>0.9720933574237923</x:v>
      </x:c>
      <x:c r="AH206" s="40" t="n">
        <x:f>10*LOG10(AG206)</x:f>
        <x:v>-0.122920245109337</x:v>
      </x:c>
      <x:c r="AI206" s="40" t="n">
        <x:f>AC206-F206</x:f>
        <x:v>-59.96888124529369</x:v>
      </x:c>
      <x:c r="AJ206" s="40" t="n">
        <x:f>AD206-G206</x:f>
        <x:v>-0.7121233758096928</x:v>
      </x:c>
      <x:c r="AK206" s="40" t="n">
        <x:f>Y206-X206</x:f>
        <x:v>107.7994739873318</x:v>
      </x:c>
      <x:c r="AL206" s="40" t="n">
        <x:f>1000*(AA207-AA205)/(A207-A205)*Inputs!$C$11</x:f>
        <x:v>865.2702289841727</x:v>
      </x:c>
      <x:c r="AM206" s="40" t="n">
        <x:f>-2*AL206/Inputs!$C$13</x:f>
        <x:v>-346.1080915936691</x:v>
      </x:c>
      <x:c r="AN206" s="40" t="n">
        <x:f>-2*AL206/Inputs!$C$14</x:f>
        <x:v>-51.96818192097134</x:v>
      </x:c>
      <x:c r="AO206" s="40" t="n">
        <x:f>ABS(AM206)</x:f>
        <x:v>346.1080915936691</x:v>
      </x:c>
      <x:c r="AP206" s="40" t="n">
        <x:f>ABS(AN206)</x:f>
        <x:v>51.96818192097134</x:v>
      </x:c>
      <x:c r="AQ206" s="40" t="n">
        <x:f>IF(Inputs!$C$27="ON",Inputs!$C$46/Inputs!$C$12,0)</x:f>
        <x:v>42.13483146067416</x:v>
      </x:c>
      <x:c r="AR206" s="40" t="n">
        <x:f>AC206-AQ206</x:f>
        <x:v>1561.2582826339205</x:v>
      </x:c>
      <x:c r="AS206" s="40" t="n">
        <x:f>AC206+AQ206</x:f>
        <x:v>1645.5279455552688</x:v>
      </x:c>
    </x:row>
    <x:row r="207">
      <x:c r="A207" s="40" t="n">
        <x:f>Inputs!$C$7+205*(Inputs!$C$8-Inputs!$C$7)/240</x:f>
        <x:v>42.5</x:v>
      </x:c>
      <x:c r="B207" s="40" t="n">
        <x:f>Inputs!$C$5+Inputs!$C$9*(A207/Inputs!$C$10)^2</x:f>
        <x:v>402.00694444444446</x:v>
      </x:c>
      <x:c r="C207" s="40" t="n">
        <x:f>B207</x:f>
        <x:v>402.00694444444446</x:v>
      </x:c>
      <x:c r="D207" s="40" t="n">
        <x:f>SQRT(A207^2+Inputs!$C$6^2+B207^2)</x:f>
        <x:v>405.0195469129344</x:v>
      </x:c>
      <x:c r="E207" s="40" t="n">
        <x:f>(D207-C207)*1000</x:f>
        <x:v>3012.602468489945</x:v>
      </x:c>
      <x:c r="F207" s="40" t="n">
        <x:f>E207/Inputs!$C$12</x:f>
        <x:v>1692.4732969044633</x:v>
      </x:c>
      <x:c r="G207" s="40" t="n">
        <x:f>2*E207/Inputs!$C$21*1000000</x:f>
        <x:v>20.097920331871354</x:v>
      </x:c>
      <x:c r="H207" s="40" t="n">
        <x:f>SQRT(A207^2+Inputs!$C$6^2)</x:f>
        <x:v>49.30770730829005</x:v>
      </x:c>
      <x:c r="I207" s="40" t="n">
        <x:f>DEGREES(ATAN(H207/B207))</x:f>
        <x:v>6.992623032280269</x:v>
      </x:c>
      <x:c r="J207" s="40" t="n">
        <x:f>DEGREES((2*PI()/Inputs!$C$13)*Inputs!$C$15*SIN(RADIANS(I207)))</x:f>
        <x:v>43.82695789939304</x:v>
      </x:c>
      <x:c r="K207" s="40" t="n">
        <x:f>(C207/D207)^4</x:f>
        <x:v>0.9705776523303707</x:v>
      </x:c>
      <x:c r="L207" s="40" t="n">
        <x:f>10*LOG10(K207)</x:f>
        <x:v>-0.12969712589389099</x:v>
      </x:c>
      <x:c r="M207" s="40" t="n">
        <x:f>2*(Inputs!$C$9/(Inputs!$C$10^2))*A207</x:f>
        <x:v>0.09444444444444444</x:v>
      </x:c>
      <x:c r="N207" s="40" t="n">
        <x:f>M207*Inputs!$C$11</x:f>
        <x:v>0.37777777777777777</x:v>
      </x:c>
      <x:c r="O207" s="40" t="n">
        <x:f>1000*((A207*Inputs!$C$11)+(B207*N207))/D207</x:f>
        <x:v>794.7006325416879</x:v>
      </x:c>
      <x:c r="P207" s="40" t="n">
        <x:f>-2*O207/Inputs!$C$13</x:f>
        <x:v>-317.88025301667517</x:v>
      </x:c>
      <x:c r="Q207" s="40" t="n">
        <x:f>-2*O207/Inputs!$C$14</x:f>
        <x:v>-47.7297677202215</x:v>
      </x:c>
      <x:c r="R207" s="40" t="n">
        <x:f>F207-Inputs!$C$16/2</x:f>
        <x:v>1677.4732969044633</x:v>
      </x:c>
      <x:c r="S207" s="40" t="n">
        <x:f>F207+Inputs!$C$16/2</x:f>
        <x:v>1707.4732969044633</x:v>
      </x:c>
      <x:c r="T207" s="40" t="n">
        <x:f>F207-Inputs!$C$17/2</x:f>
        <x:v>1542.4732969044633</x:v>
      </x:c>
      <x:c r="U207" s="40" t="n">
        <x:f>F207+Inputs!$C$17/2</x:f>
        <x:v>1842.4732969044633</x:v>
      </x:c>
      <x:c r="V207" s="40" t="n">
        <x:f>ABS(P207)</x:f>
        <x:v>317.88025301667517</x:v>
      </x:c>
      <x:c r="W207" s="40" t="n">
        <x:f>ABS(Q207)</x:f>
        <x:v>47.7297677202215</x:v>
      </x:c>
      <x:c r="X207" s="40" t="n">
        <x:f>IF(Inputs!$C$27="ON",1,0)*(Inputs!$C$28*EXP(-(((A207)-Inputs!$C$29)^2)/(2*Inputs!$C$31^2))*EXP(-(((0)-Inputs!$C$30)^2)/(2*Inputs!$C$32^2))+-Inputs!$C$33*EXP(-(((((A207)-Inputs!$C$34)^2)+(((0)-Inputs!$C$35)^2))/(2*Inputs!$C$36^2)))+Inputs!$C$37*(0.55*SIN(2*PI()*(A207)/Inputs!$C$39)+0.35*COS(2*PI()*(0)/Inputs!$C$40)+0.2*SIN(2*PI()*((A207)+(0))/(0.5*(Inputs!$C$39+Inputs!$C$40))))+Inputs!$C$38*SIN(2*PI()*(A207)/Inputs!$C$39)*SIN(2*PI()*(0)/Inputs!$C$40)+-Inputs!$C$41*EXP(-(((0)-Inputs!$C$43)^2)/(2*Inputs!$C$44^2))*EXP(-(((A207)-Inputs!$C$42)^2)/(2*Inputs!$C$45^2)))</x:f>
        <x:v>33.99659800476828</x:v>
      </x:c>
      <x:c r="Y207" s="40" t="n">
        <x:f>IF(Inputs!$C$27="ON",1,0)*(Inputs!$C$28*EXP(-(((A207)-Inputs!$C$29)^2)/(2*Inputs!$C$31^2))*EXP(-(((Inputs!$C$6)-Inputs!$C$30)^2)/(2*Inputs!$C$32^2))+-Inputs!$C$33*EXP(-(((((A207)-Inputs!$C$34)^2)+(((Inputs!$C$6)-Inputs!$C$35)^2))/(2*Inputs!$C$36^2)))+Inputs!$C$37*(0.55*SIN(2*PI()*(A207)/Inputs!$C$39)+0.35*COS(2*PI()*(Inputs!$C$6)/Inputs!$C$40)+0.2*SIN(2*PI()*((A207)+(Inputs!$C$6))/(0.5*(Inputs!$C$39+Inputs!$C$40))))+Inputs!$C$38*SIN(2*PI()*(A207)/Inputs!$C$39)*SIN(2*PI()*(Inputs!$C$6)/Inputs!$C$40)+-Inputs!$C$41*EXP(-(((Inputs!$C$6)-Inputs!$C$43)^2)/(2*Inputs!$C$44^2))*EXP(-(((A207)-Inputs!$C$42)^2)/(2*Inputs!$C$45^2)))</x:f>
        <x:v>133.4609827023121</x:v>
      </x:c>
      <x:c r="Z207" s="40" t="n">
        <x:f>B207-X207/1000</x:f>
        <x:v>401.9729478464397</x:v>
      </x:c>
      <x:c r="AA207" s="40" t="n">
        <x:f>SQRT(A207^2+Inputs!$C$6^2+(B207-Y207/1000)^2)</x:f>
        <x:v>404.8870789611285</x:v>
      </x:c>
      <x:c r="AB207" s="40" t="n">
        <x:f>(AA207-Z207)*1000</x:f>
        <x:v>2914.1311146888143</x:v>
      </x:c>
      <x:c r="AC207" s="40" t="n">
        <x:f>AB207/Inputs!$C$12</x:f>
        <x:v>1637.1523116229293</x:v>
      </x:c>
      <x:c r="AD207" s="40" t="n">
        <x:f>2*AB207/Inputs!$C$21*1000000</x:f>
        <x:v>19.440990171199132</x:v>
      </x:c>
      <x:c r="AE207" s="40" t="n">
        <x:f>DEGREES(ATAN(H207/(B207-Y207/1000)))</x:f>
        <x:v>6.99492225932499</x:v>
      </x:c>
      <x:c r="AF207" s="40" t="n">
        <x:f>DEGREES((2*PI()/Inputs!$C$13)*Inputs!$C$15*SIN(RADIANS(AE207)))</x:f>
        <x:v>43.84129687845285</x:v>
      </x:c>
      <x:c r="AG207" s="40" t="n">
        <x:f>(Z207/AA207)^4</x:f>
        <x:v>0.9715197571366739</x:v>
      </x:c>
      <x:c r="AH207" s="40" t="n">
        <x:f>10*LOG10(AG207)</x:f>
        <x:v>-0.125483630228316</x:v>
      </x:c>
      <x:c r="AI207" s="40" t="n">
        <x:f>AC207-F207</x:f>
        <x:v>-55.32098528153392</x:v>
      </x:c>
      <x:c r="AJ207" s="40" t="n">
        <x:f>AD207-G207</x:f>
        <x:v>-0.6569301606722213</x:v>
      </x:c>
      <x:c r="AK207" s="40" t="n">
        <x:f>Y207-X207</x:f>
        <x:v>99.4643846975438</x:v>
      </x:c>
      <x:c r="AL207" s="40" t="n">
        <x:f>1000*(AA208-AA206)/(A208-A206)*Inputs!$C$11</x:f>
        <x:v>884.8675295992052</x:v>
      </x:c>
      <x:c r="AM207" s="40" t="n">
        <x:f>-2*AL207/Inputs!$C$13</x:f>
        <x:v>-353.9470118396821</x:v>
      </x:c>
      <x:c r="AN207" s="40" t="n">
        <x:f>-2*AL207/Inputs!$C$14</x:f>
        <x:v>-53.14519697292524</x:v>
      </x:c>
      <x:c r="AO207" s="40" t="n">
        <x:f>ABS(AM207)</x:f>
        <x:v>353.9470118396821</x:v>
      </x:c>
      <x:c r="AP207" s="40" t="n">
        <x:f>ABS(AN207)</x:f>
        <x:v>53.14519697292524</x:v>
      </x:c>
      <x:c r="AQ207" s="40" t="n">
        <x:f>IF(Inputs!$C$27="ON",Inputs!$C$46/Inputs!$C$12,0)</x:f>
        <x:v>42.13483146067416</x:v>
      </x:c>
      <x:c r="AR207" s="40" t="n">
        <x:f>AC207-AQ207</x:f>
        <x:v>1595.0174801622552</x:v>
      </x:c>
      <x:c r="AS207" s="40" t="n">
        <x:f>AC207+AQ207</x:f>
        <x:v>1679.2871430836035</x:v>
      </x:c>
    </x:row>
    <x:row r="208">
      <x:c r="A208" s="40" t="n">
        <x:f>Inputs!$C$7+206*(Inputs!$C$8-Inputs!$C$7)/240</x:f>
        <x:v>43</x:v>
      </x:c>
      <x:c r="B208" s="40" t="n">
        <x:f>Inputs!$C$5+Inputs!$C$9*(A208/Inputs!$C$10)^2</x:f>
        <x:v>402.05444444444447</x:v>
      </x:c>
      <x:c r="C208" s="40" t="n">
        <x:f>B208</x:f>
        <x:v>402.05444444444447</x:v>
      </x:c>
      <x:c r="D208" s="40" t="n">
        <x:f>SQRT(A208^2+Inputs!$C$6^2+B208^2)</x:f>
        <x:v>405.1194592926028</x:v>
      </x:c>
      <x:c r="E208" s="40" t="n">
        <x:f>(D208-C208)*1000</x:f>
        <x:v>3065.0148481583415</x:v>
      </x:c>
      <x:c r="F208" s="40" t="n">
        <x:f>E208/Inputs!$C$12</x:f>
        <x:v>1721.9184540215401</x:v>
      </x:c>
      <x:c r="G208" s="40" t="n">
        <x:f>2*E208/Inputs!$C$21*1000000</x:f>
        <x:v>20.44757809189677</x:v>
      </x:c>
      <x:c r="H208" s="40" t="n">
        <x:f>SQRT(A208^2+Inputs!$C$6^2)</x:f>
        <x:v>49.73932046178355</x:v>
      </x:c>
      <x:c r="I208" s="40" t="n">
        <x:f>DEGREES(ATAN(H208/B208))</x:f>
        <x:v>7.05239391542762</x:v>
      </x:c>
      <x:c r="J208" s="40" t="n">
        <x:f>DEGREES((2*PI()/Inputs!$C$13)*Inputs!$C$15*SIN(RADIANS(I208)))</x:f>
        <x:v>44.1996921044198</x:v>
      </x:c>
      <x:c r="K208" s="40" t="n">
        <x:f>(C208/D208)^4</x:f>
        <x:v>0.9700788852794662</x:v>
      </x:c>
      <x:c r="L208" s="40" t="n">
        <x:f>10*LOG10(K208)</x:f>
        <x:v>-0.131929481579036</x:v>
      </x:c>
      <x:c r="M208" s="40" t="n">
        <x:f>2*(Inputs!$C$9/(Inputs!$C$10^2))*A208</x:f>
        <x:v>0.09555555555555556</x:v>
      </x:c>
      <x:c r="N208" s="40" t="n">
        <x:f>M208*Inputs!$C$11</x:f>
        <x:v>0.38222222222222224</x:v>
      </x:c>
      <x:c r="O208" s="40" t="n">
        <x:f>1000*((A208*Inputs!$C$11)+(B208*N208))/D208</x:f>
        <x:v>803.8965686283021</x:v>
      </x:c>
      <x:c r="P208" s="40" t="n">
        <x:f>-2*O208/Inputs!$C$13</x:f>
        <x:v>-321.55862745132083</x:v>
      </x:c>
      <x:c r="Q208" s="40" t="n">
        <x:f>-2*O208/Inputs!$C$14</x:f>
        <x:v>-48.282076193892024</x:v>
      </x:c>
      <x:c r="R208" s="40" t="n">
        <x:f>F208-Inputs!$C$16/2</x:f>
        <x:v>1706.9184540215401</x:v>
      </x:c>
      <x:c r="S208" s="40" t="n">
        <x:f>F208+Inputs!$C$16/2</x:f>
        <x:v>1736.9184540215401</x:v>
      </x:c>
      <x:c r="T208" s="40" t="n">
        <x:f>F208-Inputs!$C$17/2</x:f>
        <x:v>1571.9184540215401</x:v>
      </x:c>
      <x:c r="U208" s="40" t="n">
        <x:f>F208+Inputs!$C$17/2</x:f>
        <x:v>1871.9184540215401</x:v>
      </x:c>
      <x:c r="V208" s="40" t="n">
        <x:f>ABS(P208)</x:f>
        <x:v>321.55862745132083</x:v>
      </x:c>
      <x:c r="W208" s="40" t="n">
        <x:f>ABS(Q208)</x:f>
        <x:v>48.282076193892024</x:v>
      </x:c>
      <x:c r="X208" s="40" t="n">
        <x:f>IF(Inputs!$C$27="ON",1,0)*(Inputs!$C$28*EXP(-(((A208)-Inputs!$C$29)^2)/(2*Inputs!$C$31^2))*EXP(-(((0)-Inputs!$C$30)^2)/(2*Inputs!$C$32^2))+-Inputs!$C$33*EXP(-(((((A208)-Inputs!$C$34)^2)+(((0)-Inputs!$C$35)^2))/(2*Inputs!$C$36^2)))+Inputs!$C$37*(0.55*SIN(2*PI()*(A208)/Inputs!$C$39)+0.35*COS(2*PI()*(0)/Inputs!$C$40)+0.2*SIN(2*PI()*((A208)+(0))/(0.5*(Inputs!$C$39+Inputs!$C$40))))+Inputs!$C$38*SIN(2*PI()*(A208)/Inputs!$C$39)*SIN(2*PI()*(0)/Inputs!$C$40)+-Inputs!$C$41*EXP(-(((0)-Inputs!$C$43)^2)/(2*Inputs!$C$44^2))*EXP(-(((A208)-Inputs!$C$42)^2)/(2*Inputs!$C$45^2)))</x:f>
        <x:v>31.239310210976942</x:v>
      </x:c>
      <x:c r="Y208" s="40" t="n">
        <x:f>IF(Inputs!$C$27="ON",1,0)*(Inputs!$C$28*EXP(-(((A208)-Inputs!$C$29)^2)/(2*Inputs!$C$31^2))*EXP(-(((Inputs!$C$6)-Inputs!$C$30)^2)/(2*Inputs!$C$32^2))+-Inputs!$C$33*EXP(-(((((A208)-Inputs!$C$34)^2)+(((Inputs!$C$6)-Inputs!$C$35)^2))/(2*Inputs!$C$36^2)))+Inputs!$C$37*(0.55*SIN(2*PI()*(A208)/Inputs!$C$39)+0.35*COS(2*PI()*(Inputs!$C$6)/Inputs!$C$40)+0.2*SIN(2*PI()*((A208)+(Inputs!$C$6))/(0.5*(Inputs!$C$39+Inputs!$C$40))))+Inputs!$C$38*SIN(2*PI()*(A208)/Inputs!$C$39)*SIN(2*PI()*(Inputs!$C$6)/Inputs!$C$40)+-Inputs!$C$41*EXP(-(((Inputs!$C$6)-Inputs!$C$43)^2)/(2*Inputs!$C$44^2))*EXP(-(((A208)-Inputs!$C$42)^2)/(2*Inputs!$C$45^2)))</x:f>
        <x:v>121.53656906611579</x:v>
      </x:c>
      <x:c r="Z208" s="40" t="n">
        <x:f>B208-X208/1000</x:f>
        <x:v>402.0232051342335</x:v>
      </x:c>
      <x:c r="AA208" s="40" t="n">
        <x:f>SQRT(A208^2+Inputs!$C$6^2+(B208-Y208/1000)^2)</x:f>
        <x:v>404.9988425084168</x:v>
      </x:c>
      <x:c r="AB208" s="40" t="n">
        <x:f>(AA208-Z208)*1000</x:f>
        <x:v>2975.637374183293</x:v>
      </x:c>
      <x:c r="AC208" s="40" t="n">
        <x:f>AB208/Inputs!$C$12</x:f>
        <x:v>1671.706389990614</x:v>
      </x:c>
      <x:c r="AD208" s="40" t="n">
        <x:f>2*AB208/Inputs!$C$21*1000000</x:f>
        <x:v>19.851315767145106</x:v>
      </x:c>
      <x:c r="AE208" s="40" t="n">
        <x:f>DEGREES(ATAN(H208/(B208-Y208/1000)))</x:f>
        <x:v>7.0545049364879295</x:v>
      </x:c>
      <x:c r="AF208" s="40" t="n">
        <x:f>DEGREES((2*PI()/Inputs!$C$13)*Inputs!$C$15*SIN(RADIANS(AE208)))</x:f>
        <x:v>44.21285565987747</x:v>
      </x:c>
      <x:c r="AG208" s="40" t="n">
        <x:f>(Z208/AA208)^4</x:f>
        <x:v>0.9709332159135714</x:v>
      </x:c>
      <x:c r="AH208" s="40" t="n">
        <x:f>10*LOG10(AG208)</x:f>
        <x:v>-0.128106413151542</x:v>
      </x:c>
      <x:c r="AI208" s="40" t="n">
        <x:f>AC208-F208</x:f>
        <x:v>-50.21206403092606</x:v>
      </x:c>
      <x:c r="AJ208" s="40" t="n">
        <x:f>AD208-G208</x:f>
        <x:v>-0.5962623247516632</x:v>
      </x:c>
      <x:c r="AK208" s="40" t="n">
        <x:f>Y208-X208</x:f>
        <x:v>90.29725885513885</x:v>
      </x:c>
      <x:c r="AL208" s="40" t="n">
        <x:f>1000*(AA209-AA207)/(A209-A207)*Inputs!$C$11</x:f>
        <x:v>902.0849723822266</x:v>
      </x:c>
      <x:c r="AM208" s="40" t="n">
        <x:f>-2*AL208/Inputs!$C$13</x:f>
        <x:v>-360.83398895289065</x:v>
      </x:c>
      <x:c r="AN208" s="40" t="n">
        <x:f>-2*AL208/Inputs!$C$14</x:f>
        <x:v>-54.17927762055415</x:v>
      </x:c>
      <x:c r="AO208" s="40" t="n">
        <x:f>ABS(AM208)</x:f>
        <x:v>360.83398895289065</x:v>
      </x:c>
      <x:c r="AP208" s="40" t="n">
        <x:f>ABS(AN208)</x:f>
        <x:v>54.17927762055415</x:v>
      </x:c>
      <x:c r="AQ208" s="40" t="n">
        <x:f>IF(Inputs!$C$27="ON",Inputs!$C$46/Inputs!$C$12,0)</x:f>
        <x:v>42.13483146067416</x:v>
      </x:c>
      <x:c r="AR208" s="40" t="n">
        <x:f>AC208-AQ208</x:f>
        <x:v>1629.57155852994</x:v>
      </x:c>
      <x:c r="AS208" s="40" t="n">
        <x:f>AC208+AQ208</x:f>
        <x:v>1713.8412214512882</x:v>
      </x:c>
    </x:row>
    <x:row r="209">
      <x:c r="A209" s="40" t="n">
        <x:f>Inputs!$C$7+207*(Inputs!$C$8-Inputs!$C$7)/240</x:f>
        <x:v>43.5</x:v>
      </x:c>
      <x:c r="B209" s="40" t="n">
        <x:f>Inputs!$C$5+Inputs!$C$9*(A209/Inputs!$C$10)^2</x:f>
        <x:v>402.1025</x:v>
      </x:c>
      <x:c r="C209" s="40" t="n">
        <x:f>B209</x:f>
        <x:v>402.1025</x:v>
      </x:c>
      <x:c r="D209" s="40" t="n">
        <x:f>SQRT(A209^2+Inputs!$C$6^2+B209^2)</x:f>
        <x:v>405.2205208355693</x:v>
      </x:c>
      <x:c r="E209" s="40" t="n">
        <x:f>(D209-C209)*1000</x:f>
        <x:v>3118.0208355692685</x:v>
      </x:c>
      <x:c r="F209" s="40" t="n">
        <x:f>E209/Inputs!$C$12</x:f>
        <x:v>1751.6970986344204</x:v>
      </x:c>
      <x:c r="G209" s="40" t="n">
        <x:f>2*E209/Inputs!$C$21*1000000</x:f>
        <x:v>20.801195976512982</x:v>
      </x:c>
      <x:c r="H209" s="40" t="n">
        <x:f>SQRT(A209^2+Inputs!$C$6^2)</x:f>
        <x:v>50.172203459684724</x:v>
      </x:c>
      <x:c r="I209" s="40" t="n">
        <x:f>DEGREES(ATAN(H209/B209))</x:f>
        <x:v>7.1123037002334435</x:v>
      </x:c>
      <x:c r="J209" s="40" t="n">
        <x:f>DEGREES((2*PI()/Inputs!$C$13)*Inputs!$C$15*SIN(RADIANS(I209)))</x:f>
        <x:v>44.57324423808168</x:v>
      </x:c>
      <x:c r="K209" s="40" t="n">
        <x:f>(C209/D209)^4</x:f>
        <x:v>0.969574916178313</x:v>
      </x:c>
      <x:c r="L209" s="40" t="n">
        <x:f>10*LOG10(K209)</x:f>
        <x:v>-0.134186286421645</x:v>
      </x:c>
      <x:c r="M209" s="40" t="n">
        <x:f>2*(Inputs!$C$9/(Inputs!$C$10^2))*A209</x:f>
        <x:v>0.09666666666666666</x:v>
      </x:c>
      <x:c r="N209" s="40" t="n">
        <x:f>M209*Inputs!$C$11</x:f>
        <x:v>0.38666666666666666</x:v>
      </x:c>
      <x:c r="O209" s="40" t="n">
        <x:f>1000*((A209*Inputs!$C$11)+(B209*N209))/D209</x:f>
        <x:v>813.0872361891808</x:v>
      </x:c>
      <x:c r="P209" s="40" t="n">
        <x:f>-2*O209/Inputs!$C$13</x:f>
        <x:v>-325.2348944756723</x:v>
      </x:c>
      <x:c r="Q209" s="40" t="n">
        <x:f>-2*O209/Inputs!$C$14</x:f>
        <x:v>-48.834068239590444</x:v>
      </x:c>
      <x:c r="R209" s="40" t="n">
        <x:f>F209-Inputs!$C$16/2</x:f>
        <x:v>1736.6970986344204</x:v>
      </x:c>
      <x:c r="S209" s="40" t="n">
        <x:f>F209+Inputs!$C$16/2</x:f>
        <x:v>1766.6970986344204</x:v>
      </x:c>
      <x:c r="T209" s="40" t="n">
        <x:f>F209-Inputs!$C$17/2</x:f>
        <x:v>1601.6970986344204</x:v>
      </x:c>
      <x:c r="U209" s="40" t="n">
        <x:f>F209+Inputs!$C$17/2</x:f>
        <x:v>1901.6970986344204</x:v>
      </x:c>
      <x:c r="V209" s="40" t="n">
        <x:f>ABS(P209)</x:f>
        <x:v>325.2348944756723</x:v>
      </x:c>
      <x:c r="W209" s="40" t="n">
        <x:f>ABS(Q209)</x:f>
        <x:v>48.834068239590444</x:v>
      </x:c>
      <x:c r="X209" s="40" t="n">
        <x:f>IF(Inputs!$C$27="ON",1,0)*(Inputs!$C$28*EXP(-(((A209)-Inputs!$C$29)^2)/(2*Inputs!$C$31^2))*EXP(-(((0)-Inputs!$C$30)^2)/(2*Inputs!$C$32^2))+-Inputs!$C$33*EXP(-(((((A209)-Inputs!$C$34)^2)+(((0)-Inputs!$C$35)^2))/(2*Inputs!$C$36^2)))+Inputs!$C$37*(0.55*SIN(2*PI()*(A209)/Inputs!$C$39)+0.35*COS(2*PI()*(0)/Inputs!$C$40)+0.2*SIN(2*PI()*((A209)+(0))/(0.5*(Inputs!$C$39+Inputs!$C$40))))+Inputs!$C$38*SIN(2*PI()*(A209)/Inputs!$C$39)*SIN(2*PI()*(0)/Inputs!$C$40)+-Inputs!$C$41*EXP(-(((0)-Inputs!$C$43)^2)/(2*Inputs!$C$44^2))*EXP(-(((A209)-Inputs!$C$42)^2)/(2*Inputs!$C$45^2)))</x:f>
        <x:v>28.20630377988818</x:v>
      </x:c>
      <x:c r="Y209" s="40" t="n">
        <x:f>IF(Inputs!$C$27="ON",1,0)*(Inputs!$C$28*EXP(-(((A209)-Inputs!$C$29)^2)/(2*Inputs!$C$31^2))*EXP(-(((Inputs!$C$6)-Inputs!$C$30)^2)/(2*Inputs!$C$32^2))+-Inputs!$C$33*EXP(-(((((A209)-Inputs!$C$34)^2)+(((Inputs!$C$6)-Inputs!$C$35)^2))/(2*Inputs!$C$36^2)))+Inputs!$C$37*(0.55*SIN(2*PI()*(A209)/Inputs!$C$39)+0.35*COS(2*PI()*(Inputs!$C$6)/Inputs!$C$40)+0.2*SIN(2*PI()*((A209)+(Inputs!$C$6))/(0.5*(Inputs!$C$39+Inputs!$C$40))))+Inputs!$C$38*SIN(2*PI()*(A209)/Inputs!$C$39)*SIN(2*PI()*(Inputs!$C$6)/Inputs!$C$40)+-Inputs!$C$41*EXP(-(((Inputs!$C$6)-Inputs!$C$43)^2)/(2*Inputs!$C$44^2))*EXP(-(((A209)-Inputs!$C$42)^2)/(2*Inputs!$C$45^2)))</x:f>
        <x:v>108.75770513857424</x:v>
      </x:c>
      <x:c r="Z209" s="40" t="n">
        <x:f>B209-X209/1000</x:f>
        <x:v>402.07429369622014</x:v>
      </x:c>
      <x:c r="AA209" s="40" t="n">
        <x:f>SQRT(A209^2+Inputs!$C$6^2+(B209-Y209/1000)^2)</x:f>
        <x:v>405.11260020422407</x:v>
      </x:c>
      <x:c r="AB209" s="40" t="n">
        <x:f>(AA209-Z209)*1000</x:f>
        <x:v>3038.3065080039273</x:v>
      </x:c>
      <x:c r="AC209" s="40" t="n">
        <x:f>AB209/Inputs!$C$12</x:f>
        <x:v>1706.9137685415321</x:v>
      </x:c>
      <x:c r="AD209" s="40" t="n">
        <x:f>2*AB209/Inputs!$C$21*1000000</x:f>
        <x:v>20.269399225539736</x:v>
      </x:c>
      <x:c r="AE209" s="40" t="n">
        <x:f>DEGREES(ATAN(H209/(B209-Y209/1000)))</x:f>
        <x:v>7.114208190075862</x:v>
      </x:c>
      <x:c r="AF209" s="40" t="n">
        <x:f>DEGREES((2*PI()/Inputs!$C$13)*Inputs!$C$15*SIN(RADIANS(AE209)))</x:f>
        <x:v>44.58511840012171</x:v>
      </x:c>
      <x:c r="AG209" s="40" t="n">
        <x:f>(Z209/AA209)^4</x:f>
        <x:v>0.970336182427022</x:v>
      </x:c>
      <x:c r="AH209" s="40" t="n">
        <x:f>10*LOG10(AG209)</x:f>
        <x:v>-0.130777741068384</x:v>
      </x:c>
      <x:c r="AI209" s="40" t="n">
        <x:f>AC209-F209</x:f>
        <x:v>-44.783330092888264</x:v>
      </x:c>
      <x:c r="AJ209" s="40" t="n">
        <x:f>AD209-G209</x:f>
        <x:v>-0.5317967509732462</x:v>
      </x:c>
      <x:c r="AK209" s="40" t="n">
        <x:f>Y209-X209</x:f>
        <x:v>80.55140135868606</x:v>
      </x:c>
      <x:c r="AL209" s="40" t="n">
        <x:f>1000*(AA210-AA208)/(A210-A208)*Inputs!$C$11</x:f>
        <x:v>916.6698914762037</x:v>
      </x:c>
      <x:c r="AM209" s="40" t="n">
        <x:f>-2*AL209/Inputs!$C$13</x:f>
        <x:v>-366.6679565904815</x:v>
      </x:c>
      <x:c r="AN209" s="40" t="n">
        <x:f>-2*AL209/Inputs!$C$14</x:f>
        <x:v>-55.05524873730953</x:v>
      </x:c>
      <x:c r="AO209" s="40" t="n">
        <x:f>ABS(AM209)</x:f>
        <x:v>366.6679565904815</x:v>
      </x:c>
      <x:c r="AP209" s="40" t="n">
        <x:f>ABS(AN209)</x:f>
        <x:v>55.05524873730953</x:v>
      </x:c>
      <x:c r="AQ209" s="40" t="n">
        <x:f>IF(Inputs!$C$27="ON",Inputs!$C$46/Inputs!$C$12,0)</x:f>
        <x:v>42.13483146067416</x:v>
      </x:c>
      <x:c r="AR209" s="40" t="n">
        <x:f>AC209-AQ209</x:f>
        <x:v>1664.778937080858</x:v>
      </x:c>
      <x:c r="AS209" s="40" t="n">
        <x:f>AC209+AQ209</x:f>
        <x:v>1749.0486000022063</x:v>
      </x:c>
    </x:row>
    <x:row r="210">
      <x:c r="A210" s="40" t="n">
        <x:f>Inputs!$C$7+208*(Inputs!$C$8-Inputs!$C$7)/240</x:f>
        <x:v>44</x:v>
      </x:c>
      <x:c r="B210" s="40" t="n">
        <x:f>Inputs!$C$5+Inputs!$C$9*(A210/Inputs!$C$10)^2</x:f>
        <x:v>402.1511111111111</x:v>
      </x:c>
      <x:c r="C210" s="40" t="n">
        <x:f>B210</x:f>
        <x:v>402.1511111111111</x:v>
      </x:c>
      <x:c r="D210" s="40" t="n">
        <x:f>SQRT(A210^2+Inputs!$C$6^2+B210^2)</x:f>
        <x:v>405.3227308798524</x:v>
      </x:c>
      <x:c r="E210" s="40" t="n">
        <x:f>(D210-C210)*1000</x:f>
        <x:v>3171.619768741266</x:v>
      </x:c>
      <x:c r="F210" s="40" t="n">
        <x:f>E210/Inputs!$C$12</x:f>
        <x:v>1781.8088588434077</x:v>
      </x:c>
      <x:c r="G210" s="40" t="n">
        <x:f>2*E210/Inputs!$C$21*1000000</x:f>
        <x:v>21.158769569455053</x:v>
      </x:c>
      <x:c r="H210" s="40" t="n">
        <x:f>SQRT(A210^2+Inputs!$C$6^2)</x:f>
        <x:v>50.60632371551998</x:v>
      </x:c>
      <x:c r="I210" s="40" t="n">
        <x:f>DEGREES(ATAN(H210/B210))</x:f>
        <x:v>7.172347267625263</x:v>
      </x:c>
      <x:c r="J210" s="40" t="n">
        <x:f>DEGREES((2*PI()/Inputs!$C$13)*Inputs!$C$15*SIN(RADIANS(I210)))</x:f>
        <x:v>44.94758164201636</x:v>
      </x:c>
      <x:c r="K210" s="40" t="n">
        <x:f>(C210/D210)^4</x:f>
        <x:v>0.9690657659323467</x:v>
      </x:c>
      <x:c r="L210" s="40" t="n">
        <x:f>10*LOG10(K210)</x:f>
        <x:v>-0.136467484267201</x:v>
      </x:c>
      <x:c r="M210" s="40" t="n">
        <x:f>2*(Inputs!$C$9/(Inputs!$C$10^2))*A210</x:f>
        <x:v>0.09777777777777778</x:v>
      </x:c>
      <x:c r="N210" s="40" t="n">
        <x:f>M210*Inputs!$C$11</x:f>
        <x:v>0.39111111111111113</x:v>
      </x:c>
      <x:c r="O210" s="40" t="n">
        <x:f>1000*((A210*Inputs!$C$11)+(B210*N210))/D210</x:f>
        <x:v>822.2725806118895</x:v>
      </x:c>
      <x:c r="P210" s="40" t="n">
        <x:f>-2*O210/Inputs!$C$13</x:f>
        <x:v>-328.9090322447558</x:v>
      </x:c>
      <x:c r="Q210" s="40" t="n">
        <x:f>-2*O210/Inputs!$C$14</x:f>
        <x:v>-49.38574057729066</x:v>
      </x:c>
      <x:c r="R210" s="40" t="n">
        <x:f>F210-Inputs!$C$16/2</x:f>
        <x:v>1766.8088588434077</x:v>
      </x:c>
      <x:c r="S210" s="40" t="n">
        <x:f>F210+Inputs!$C$16/2</x:f>
        <x:v>1796.8088588434077</x:v>
      </x:c>
      <x:c r="T210" s="40" t="n">
        <x:f>F210-Inputs!$C$17/2</x:f>
        <x:v>1631.8088588434077</x:v>
      </x:c>
      <x:c r="U210" s="40" t="n">
        <x:f>F210+Inputs!$C$17/2</x:f>
        <x:v>1931.8088588434077</x:v>
      </x:c>
      <x:c r="V210" s="40" t="n">
        <x:f>ABS(P210)</x:f>
        <x:v>328.9090322447558</x:v>
      </x:c>
      <x:c r="W210" s="40" t="n">
        <x:f>ABS(Q210)</x:f>
        <x:v>49.38574057729066</x:v>
      </x:c>
      <x:c r="X210" s="40" t="n">
        <x:f>IF(Inputs!$C$27="ON",1,0)*(Inputs!$C$28*EXP(-(((A210)-Inputs!$C$29)^2)/(2*Inputs!$C$31^2))*EXP(-(((0)-Inputs!$C$30)^2)/(2*Inputs!$C$32^2))+-Inputs!$C$33*EXP(-(((((A210)-Inputs!$C$34)^2)+(((0)-Inputs!$C$35)^2))/(2*Inputs!$C$36^2)))+Inputs!$C$37*(0.55*SIN(2*PI()*(A210)/Inputs!$C$39)+0.35*COS(2*PI()*(0)/Inputs!$C$40)+0.2*SIN(2*PI()*((A210)+(0))/(0.5*(Inputs!$C$39+Inputs!$C$40))))+Inputs!$C$38*SIN(2*PI()*(A210)/Inputs!$C$39)*SIN(2*PI()*(0)/Inputs!$C$40)+-Inputs!$C$41*EXP(-(((0)-Inputs!$C$43)^2)/(2*Inputs!$C$44^2))*EXP(-(((A210)-Inputs!$C$42)^2)/(2*Inputs!$C$45^2)))</x:f>
        <x:v>24.964390758878583</x:v>
      </x:c>
      <x:c r="Y210" s="40" t="n">
        <x:f>IF(Inputs!$C$27="ON",1,0)*(Inputs!$C$28*EXP(-(((A210)-Inputs!$C$29)^2)/(2*Inputs!$C$31^2))*EXP(-(((Inputs!$C$6)-Inputs!$C$30)^2)/(2*Inputs!$C$32^2))+-Inputs!$C$33*EXP(-(((((A210)-Inputs!$C$34)^2)+(((Inputs!$C$6)-Inputs!$C$35)^2))/(2*Inputs!$C$36^2)))+Inputs!$C$37*(0.55*SIN(2*PI()*(A210)/Inputs!$C$39)+0.35*COS(2*PI()*(Inputs!$C$6)/Inputs!$C$40)+0.2*SIN(2*PI()*((A210)+(Inputs!$C$6))/(0.5*(Inputs!$C$39+Inputs!$C$40))))+Inputs!$C$38*SIN(2*PI()*(A210)/Inputs!$C$39)*SIN(2*PI()*(Inputs!$C$6)/Inputs!$C$40)+-Inputs!$C$41*EXP(-(((Inputs!$C$6)-Inputs!$C$43)^2)/(2*Inputs!$C$44^2))*EXP(-(((A210)-Inputs!$C$42)^2)/(2*Inputs!$C$45^2)))</x:f>
        <x:v>95.4681045825794</x:v>
      </x:c>
      <x:c r="Z210" s="40" t="n">
        <x:f>B210-X210/1000</x:f>
        <x:v>402.1261467203522</x:v>
      </x:c>
      <x:c r="AA210" s="40" t="n">
        <x:f>SQRT(A210^2+Inputs!$C$6^2+(B210-Y210/1000)^2)</x:f>
        <x:v>405.2280099812858</x:v>
      </x:c>
      <x:c r="AB210" s="40" t="n">
        <x:f>(AA210-Z210)*1000</x:f>
        <x:v>3101.8632609336123</x:v>
      </x:c>
      <x:c r="AC210" s="40" t="n">
        <x:f>AB210/Inputs!$C$12</x:f>
        <x:v>1742.6198095132654</x:v>
      </x:c>
      <x:c r="AD210" s="40" t="n">
        <x:f>2*AB210/Inputs!$C$21*1000000</x:f>
        <x:v>20.693404241234195</x:v>
      </x:c>
      <x:c r="AE210" s="40" t="n">
        <x:f>DEGREES(ATAN(H210/(B210-Y210/1000)))</x:f>
        <x:v>7.174032598996766</x:v>
      </x:c>
      <x:c r="AF210" s="40" t="n">
        <x:f>DEGREES((2*PI()/Inputs!$C$13)*Inputs!$C$15*SIN(RADIANS(AE210)))</x:f>
        <x:v>44.958088011804875</x:v>
      </x:c>
      <x:c r="AG210" s="40" t="n">
        <x:f>(Z210/AA210)^4</x:f>
        <x:v>0.9697313192089403</x:v>
      </x:c>
      <x:c r="AH210" s="40" t="n">
        <x:f>10*LOG10(AG210)</x:f>
        <x:v>-0.133485778455836</x:v>
      </x:c>
      <x:c r="AI210" s="40" t="n">
        <x:f>AC210-F210</x:f>
        <x:v>-39.189049330142325</x:v>
      </x:c>
      <x:c r="AJ210" s="40" t="n">
        <x:f>AD210-G210</x:f>
        <x:v>-0.46536532822085874</x:v>
      </x:c>
      <x:c r="AK210" s="40" t="n">
        <x:f>Y210-X210</x:f>
        <x:v>70.50371382370082</x:v>
      </x:c>
      <x:c r="AL210" s="40" t="n">
        <x:f>1000*(AA211-AA209)/(A211-A209)*Inputs!$C$11</x:f>
        <x:v>928.4617772552792</x:v>
      </x:c>
      <x:c r="AM210" s="40" t="n">
        <x:f>-2*AL210/Inputs!$C$13</x:f>
        <x:v>-371.3847109021117</x:v>
      </x:c>
      <x:c r="AN210" s="40" t="n">
        <x:f>-2*AL210/Inputs!$C$14</x:f>
        <x:v>-55.76347010542218</x:v>
      </x:c>
      <x:c r="AO210" s="40" t="n">
        <x:f>ABS(AM210)</x:f>
        <x:v>371.3847109021117</x:v>
      </x:c>
      <x:c r="AP210" s="40" t="n">
        <x:f>ABS(AN210)</x:f>
        <x:v>55.76347010542218</x:v>
      </x:c>
      <x:c r="AQ210" s="40" t="n">
        <x:f>IF(Inputs!$C$27="ON",Inputs!$C$46/Inputs!$C$12,0)</x:f>
        <x:v>42.13483146067416</x:v>
      </x:c>
      <x:c r="AR210" s="40" t="n">
        <x:f>AC210-AQ210</x:f>
        <x:v>1700.4849780525913</x:v>
      </x:c>
      <x:c r="AS210" s="40" t="n">
        <x:f>AC210+AQ210</x:f>
        <x:v>1784.7546409739396</x:v>
      </x:c>
    </x:row>
    <x:row r="211">
      <x:c r="A211" s="40" t="n">
        <x:f>Inputs!$C$7+209*(Inputs!$C$8-Inputs!$C$7)/240</x:f>
        <x:v>44.5</x:v>
      </x:c>
      <x:c r="B211" s="40" t="n">
        <x:f>Inputs!$C$5+Inputs!$C$9*(A211/Inputs!$C$10)^2</x:f>
        <x:v>402.2002777777778</x:v>
      </x:c>
      <x:c r="C211" s="40" t="n">
        <x:f>B211</x:f>
        <x:v>402.2002777777778</x:v>
      </x:c>
      <x:c r="D211" s="40" t="n">
        <x:f>SQRT(A211^2+Inputs!$C$6^2+B211^2)</x:f>
        <x:v>405.4260887566581</x:v>
      </x:c>
      <x:c r="E211" s="40" t="n">
        <x:f>(D211-C211)*1000</x:f>
        <x:v>3225.810978880304</x:v>
      </x:c>
      <x:c r="F211" s="40" t="n">
        <x:f>E211/Inputs!$C$12</x:f>
        <x:v>1812.253358921519</x:v>
      </x:c>
      <x:c r="G211" s="40" t="n">
        <x:f>2*E211/Inputs!$C$21*1000000</x:f>
        <x:v>21.520294409009473</x:v>
      </x:c>
      <x:c r="H211" s="40" t="n">
        <x:f>SQRT(A211^2+Inputs!$C$6^2)</x:f>
        <x:v>51.041649659861115</x:v>
      </x:c>
      <x:c r="I211" s="40" t="n">
        <x:f>DEGREES(ATAN(H211/B211))</x:f>
        <x:v>7.232519645354166</x:v>
      </x:c>
      <x:c r="J211" s="40" t="n">
        <x:f>DEGREES((2*PI()/Inputs!$C$13)*Inputs!$C$15*SIN(RADIANS(I211)))</x:f>
        <x:v>45.32267258355667</x:v>
      </x:c>
      <x:c r="K211" s="40" t="n">
        <x:f>(C211/D211)^4</x:f>
        <x:v>0.9685514556263732</x:v>
      </x:c>
      <x:c r="L211" s="40" t="n">
        <x:f>10*LOG10(K211)</x:f>
        <x:v>-0.138773018411207</x:v>
      </x:c>
      <x:c r="M211" s="40" t="n">
        <x:f>2*(Inputs!$C$9/(Inputs!$C$10^2))*A211</x:f>
        <x:v>0.09888888888888889</x:v>
      </x:c>
      <x:c r="N211" s="40" t="n">
        <x:f>M211*Inputs!$C$11</x:f>
        <x:v>0.39555555555555555</x:v>
      </x:c>
      <x:c r="O211" s="40" t="n">
        <x:f>1000*((A211*Inputs!$C$11)+(B211*N211))/D211</x:f>
        <x:v>831.4525475032144</x:v>
      </x:c>
      <x:c r="P211" s="40" t="n">
        <x:f>-2*O211/Inputs!$C$13</x:f>
        <x:v>-332.58101900128577</x:v>
      </x:c>
      <x:c r="Q211" s="40" t="n">
        <x:f>-2*O211/Inputs!$C$14</x:f>
        <x:v>-49.937089940133</x:v>
      </x:c>
      <x:c r="R211" s="40" t="n">
        <x:f>F211-Inputs!$C$16/2</x:f>
        <x:v>1797.253358921519</x:v>
      </x:c>
      <x:c r="S211" s="40" t="n">
        <x:f>F211+Inputs!$C$16/2</x:f>
        <x:v>1827.253358921519</x:v>
      </x:c>
      <x:c r="T211" s="40" t="n">
        <x:f>F211-Inputs!$C$17/2</x:f>
        <x:v>1662.253358921519</x:v>
      </x:c>
      <x:c r="U211" s="40" t="n">
        <x:f>F211+Inputs!$C$17/2</x:f>
        <x:v>1962.253358921519</x:v>
      </x:c>
      <x:c r="V211" s="40" t="n">
        <x:f>ABS(P211)</x:f>
        <x:v>332.58101900128577</x:v>
      </x:c>
      <x:c r="W211" s="40" t="n">
        <x:f>ABS(Q211)</x:f>
        <x:v>49.937089940133</x:v>
      </x:c>
      <x:c r="X211" s="40" t="n">
        <x:f>IF(Inputs!$C$27="ON",1,0)*(Inputs!$C$28*EXP(-(((A211)-Inputs!$C$29)^2)/(2*Inputs!$C$31^2))*EXP(-(((0)-Inputs!$C$30)^2)/(2*Inputs!$C$32^2))+-Inputs!$C$33*EXP(-(((((A211)-Inputs!$C$34)^2)+(((0)-Inputs!$C$35)^2))/(2*Inputs!$C$36^2)))+Inputs!$C$37*(0.55*SIN(2*PI()*(A211)/Inputs!$C$39)+0.35*COS(2*PI()*(0)/Inputs!$C$40)+0.2*SIN(2*PI()*((A211)+(0))/(0.5*(Inputs!$C$39+Inputs!$C$40))))+Inputs!$C$38*SIN(2*PI()*(A211)/Inputs!$C$39)*SIN(2*PI()*(0)/Inputs!$C$40)+-Inputs!$C$41*EXP(-(((0)-Inputs!$C$43)^2)/(2*Inputs!$C$44^2))*EXP(-(((A211)-Inputs!$C$42)^2)/(2*Inputs!$C$45^2)))</x:f>
        <x:v>21.58229025694802</x:v>
      </x:c>
      <x:c r="Y211" s="40" t="n">
        <x:f>IF(Inputs!$C$27="ON",1,0)*(Inputs!$C$28*EXP(-(((A211)-Inputs!$C$29)^2)/(2*Inputs!$C$31^2))*EXP(-(((Inputs!$C$6)-Inputs!$C$30)^2)/(2*Inputs!$C$32^2))+-Inputs!$C$33*EXP(-(((((A211)-Inputs!$C$34)^2)+(((Inputs!$C$6)-Inputs!$C$35)^2))/(2*Inputs!$C$36^2)))+Inputs!$C$37*(0.55*SIN(2*PI()*(A211)/Inputs!$C$39)+0.35*COS(2*PI()*(Inputs!$C$6)/Inputs!$C$40)+0.2*SIN(2*PI()*((A211)+(Inputs!$C$6))/(0.5*(Inputs!$C$39+Inputs!$C$40))))+Inputs!$C$38*SIN(2*PI()*(A211)/Inputs!$C$39)*SIN(2*PI()*(Inputs!$C$6)/Inputs!$C$40)+-Inputs!$C$41*EXP(-(((Inputs!$C$6)-Inputs!$C$43)^2)/(2*Inputs!$C$44^2))*EXP(-(((A211)-Inputs!$C$42)^2)/(2*Inputs!$C$45^2)))</x:f>
        <x:v>82.02588637952535</x:v>
      </x:c>
      <x:c r="Z211" s="40" t="n">
        <x:f>B211-X211/1000</x:f>
        <x:v>402.1786954875208</x:v>
      </x:c>
      <x:c r="AA211" s="40" t="n">
        <x:f>SQRT(A211^2+Inputs!$C$6^2+(B211-Y211/1000)^2)</x:f>
        <x:v>405.3447156485379</x:v>
      </x:c>
      <x:c r="AB211" s="40" t="n">
        <x:f>(AA211-Z211)*1000</x:f>
        <x:v>3166.020161017059</x:v>
      </x:c>
      <x:c r="AC211" s="40" t="n">
        <x:f>AB211/Inputs!$C$12</x:f>
        <x:v>1778.6630118073365</x:v>
      </x:c>
      <x:c r="AD211" s="40" t="n">
        <x:f>2*AB211/Inputs!$C$21*1000000</x:f>
        <x:v>21.121413007775256</x:v>
      </x:c>
      <x:c r="AE211" s="40" t="n">
        <x:f>DEGREES(ATAN(H211/(B211-Y211/1000)))</x:f>
        <x:v>7.233979340149654</x:v>
      </x:c>
      <x:c r="AF211" s="40" t="n">
        <x:f>DEGREES((2*PI()/Inputs!$C$13)*Inputs!$C$15*SIN(RADIANS(AE211)))</x:f>
        <x:v>45.331771127571336</x:v>
      </x:c>
      <x:c r="AG211" s="40" t="n">
        <x:f>(Z211/AA211)^4</x:f>
        <x:v>0.9691213958943212</x:v>
      </x:c>
      <x:c r="AH211" s="40" t="n">
        <x:f>10*LOG10(AG211)</x:f>
        <x:v>-0.136218181351605</x:v>
      </x:c>
      <x:c r="AI211" s="40" t="n">
        <x:f>AC211-F211</x:f>
        <x:v>-33.59034711418258</x:v>
      </x:c>
      <x:c r="AJ211" s="40" t="n">
        <x:f>AD211-G211</x:f>
        <x:v>-0.3988814012342168</x:v>
      </x:c>
      <x:c r="AK211" s="40" t="n">
        <x:f>Y211-X211</x:f>
        <x:v>60.443596122577326</x:v>
      </x:c>
      <x:c r="AL211" s="40" t="n">
        <x:f>1000*(AA212-AA210)/(A212-A210)*Inputs!$C$11</x:f>
        <x:v>937.3963345024094</x:v>
      </x:c>
      <x:c r="AM211" s="40" t="n">
        <x:f>-2*AL211/Inputs!$C$13</x:f>
        <x:v>-374.9585338009638</x:v>
      </x:c>
      <x:c r="AN211" s="40" t="n">
        <x:f>-2*AL211/Inputs!$C$14</x:f>
        <x:v>-56.30008015029487</x:v>
      </x:c>
      <x:c r="AO211" s="40" t="n">
        <x:f>ABS(AM211)</x:f>
        <x:v>374.9585338009638</x:v>
      </x:c>
      <x:c r="AP211" s="40" t="n">
        <x:f>ABS(AN211)</x:f>
        <x:v>56.30008015029487</x:v>
      </x:c>
      <x:c r="AQ211" s="40" t="n">
        <x:f>IF(Inputs!$C$27="ON",Inputs!$C$46/Inputs!$C$12,0)</x:f>
        <x:v>42.13483146067416</x:v>
      </x:c>
      <x:c r="AR211" s="40" t="n">
        <x:f>AC211-AQ211</x:f>
        <x:v>1736.5281803466623</x:v>
      </x:c>
      <x:c r="AS211" s="40" t="n">
        <x:f>AC211+AQ211</x:f>
        <x:v>1820.7978432680106</x:v>
      </x:c>
    </x:row>
    <x:row r="212">
      <x:c r="A212" s="40" t="n">
        <x:f>Inputs!$C$7+210*(Inputs!$C$8-Inputs!$C$7)/240</x:f>
        <x:v>45</x:v>
      </x:c>
      <x:c r="B212" s="40" t="n">
        <x:f>Inputs!$C$5+Inputs!$C$9*(A212/Inputs!$C$10)^2</x:f>
        <x:v>402.25</x:v>
      </x:c>
      <x:c r="C212" s="40" t="n">
        <x:f>B212</x:f>
        <x:v>402.25</x:v>
      </x:c>
      <x:c r="D212" s="40" t="n">
        <x:f>SQRT(A212^2+Inputs!$C$6^2+B212^2)</x:f>
        <x:v>405.5305937904069</x:v>
      </x:c>
      <x:c r="E212" s="40" t="n">
        <x:f>(D212-C212)*1000</x:f>
        <x:v>3280.593790406897</x:v>
      </x:c>
      <x:c r="F212" s="40" t="n">
        <x:f>E212/Inputs!$C$12</x:f>
        <x:v>1843.0302193297173</x:v>
      </x:c>
      <x:c r="G212" s="40" t="n">
        <x:f>2*E212/Inputs!$C$21*1000000</x:f>
        <x:v>21.885765988195054</x:v>
      </x:c>
      <x:c r="H212" s="40" t="n">
        <x:f>SQRT(A212^2+Inputs!$C$6^2)</x:f>
        <x:v>51.478150704935004</x:v>
      </x:c>
      <x:c r="I212" s="40" t="n">
        <x:f>DEGREES(ATAN(H212/B212))</x:f>
        <x:v>7.292816002949435</x:v>
      </x:c>
      <x:c r="J212" s="40" t="n">
        <x:f>DEGREES((2*PI()/Inputs!$C$13)*Inputs!$C$15*SIN(RADIANS(I212)))</x:f>
        <x:v>45.69848622408668</x:v>
      </x:c>
      <x:c r="K212" s="40" t="n">
        <x:f>(C212/D212)^4</x:f>
        <x:v>0.9680320065226272</x:v>
      </x:c>
      <x:c r="L212" s="40" t="n">
        <x:f>10*LOG10(K212)</x:f>
        <x:v>-0.141102831602387</x:v>
      </x:c>
      <x:c r="M212" s="40" t="n">
        <x:f>2*(Inputs!$C$9/(Inputs!$C$10^2))*A212</x:f>
        <x:v>0.1</x:v>
      </x:c>
      <x:c r="N212" s="40" t="n">
        <x:f>M212*Inputs!$C$11</x:f>
        <x:v>0.4</x:v>
      </x:c>
      <x:c r="O212" s="40" t="n">
        <x:f>1000*((A212*Inputs!$C$11)+(B212*N212))/D212</x:f>
        <x:v>840.6270826910525</x:v>
      </x:c>
      <x:c r="P212" s="40" t="n">
        <x:f>-2*O212/Inputs!$C$13</x:f>
        <x:v>-336.250833076421</x:v>
      </x:c>
      <x:c r="Q212" s="40" t="n">
        <x:f>-2*O212/Inputs!$C$14</x:f>
        <x:v>-50.48811307453769</x:v>
      </x:c>
      <x:c r="R212" s="40" t="n">
        <x:f>F212-Inputs!$C$16/2</x:f>
        <x:v>1828.0302193297173</x:v>
      </x:c>
      <x:c r="S212" s="40" t="n">
        <x:f>F212+Inputs!$C$16/2</x:f>
        <x:v>1858.0302193297173</x:v>
      </x:c>
      <x:c r="T212" s="40" t="n">
        <x:f>F212-Inputs!$C$17/2</x:f>
        <x:v>1693.0302193297173</x:v>
      </x:c>
      <x:c r="U212" s="40" t="n">
        <x:f>F212+Inputs!$C$17/2</x:f>
        <x:v>1993.0302193297173</x:v>
      </x:c>
      <x:c r="V212" s="40" t="n">
        <x:f>ABS(P212)</x:f>
        <x:v>336.250833076421</x:v>
      </x:c>
      <x:c r="W212" s="40" t="n">
        <x:f>ABS(Q212)</x:f>
        <x:v>50.48811307453769</x:v>
      </x:c>
      <x:c r="X212" s="40" t="n">
        <x:f>IF(Inputs!$C$27="ON",1,0)*(Inputs!$C$28*EXP(-(((A212)-Inputs!$C$29)^2)/(2*Inputs!$C$31^2))*EXP(-(((0)-Inputs!$C$30)^2)/(2*Inputs!$C$32^2))+-Inputs!$C$33*EXP(-(((((A212)-Inputs!$C$34)^2)+(((0)-Inputs!$C$35)^2))/(2*Inputs!$C$36^2)))+Inputs!$C$37*(0.55*SIN(2*PI()*(A212)/Inputs!$C$39)+0.35*COS(2*PI()*(0)/Inputs!$C$40)+0.2*SIN(2*PI()*((A212)+(0))/(0.5*(Inputs!$C$39+Inputs!$C$40))))+Inputs!$C$38*SIN(2*PI()*(A212)/Inputs!$C$39)*SIN(2*PI()*(0)/Inputs!$C$40)+-Inputs!$C$41*EXP(-(((0)-Inputs!$C$43)^2)/(2*Inputs!$C$44^2))*EXP(-(((A212)-Inputs!$C$42)^2)/(2*Inputs!$C$45^2)))</x:f>
        <x:v>18.12991002345303</x:v>
      </x:c>
      <x:c r="Y212" s="40" t="n">
        <x:f>IF(Inputs!$C$27="ON",1,0)*(Inputs!$C$28*EXP(-(((A212)-Inputs!$C$29)^2)/(2*Inputs!$C$31^2))*EXP(-(((Inputs!$C$6)-Inputs!$C$30)^2)/(2*Inputs!$C$32^2))+-Inputs!$C$33*EXP(-(((((A212)-Inputs!$C$34)^2)+(((Inputs!$C$6)-Inputs!$C$35)^2))/(2*Inputs!$C$36^2)))+Inputs!$C$37*(0.55*SIN(2*PI()*(A212)/Inputs!$C$39)+0.35*COS(2*PI()*(Inputs!$C$6)/Inputs!$C$40)+0.2*SIN(2*PI()*((A212)+(Inputs!$C$6))/(0.5*(Inputs!$C$39+Inputs!$C$40))))+Inputs!$C$38*SIN(2*PI()*(A212)/Inputs!$C$39)*SIN(2*PI()*(Inputs!$C$6)/Inputs!$C$40)+-Inputs!$C$41*EXP(-(((Inputs!$C$6)-Inputs!$C$43)^2)/(2*Inputs!$C$44^2))*EXP(-(((A212)-Inputs!$C$42)^2)/(2*Inputs!$C$45^2)))</x:f>
        <x:v>68.79131604971116</x:v>
      </x:c>
      <x:c r="Z212" s="40" t="n">
        <x:f>B212-X212/1000</x:f>
        <x:v>402.23187008997655</x:v>
      </x:c>
      <x:c r="AA212" s="40" t="n">
        <x:f>SQRT(A212^2+Inputs!$C$6^2+(B212-Y212/1000)^2)</x:f>
        <x:v>405.4623590649114</x:v>
      </x:c>
      <x:c r="AB212" s="40" t="n">
        <x:f>(AA212-Z212)*1000</x:f>
        <x:v>3230.4889749348717</x:v>
      </x:c>
      <x:c r="AC212" s="40" t="n">
        <x:f>AB212/Inputs!$C$12</x:f>
        <x:v>1814.8814465926246</x:v>
      </x:c>
      <x:c r="AD212" s="40" t="n">
        <x:f>2*AB212/Inputs!$C$21*1000000</x:f>
        <x:v>21.551502639435125</x:v>
      </x:c>
      <x:c r="AE212" s="40" t="n">
        <x:f>DEGREES(ATAN(H212/(B212-Y212/1000)))</x:f>
        <x:v>7.294049974141839</x:v>
      </x:c>
      <x:c r="AF212" s="40" t="n">
        <x:f>DEGREES((2*PI()/Inputs!$C$13)*Inputs!$C$15*SIN(RADIANS(AE212)))</x:f>
        <x:v>45.70617676204501</x:v>
      </x:c>
      <x:c r="AG212" s="40" t="n">
        <x:f>(Z212/AA212)^4</x:f>
        <x:v>0.9685091790017182</x:v>
      </x:c>
      <x:c r="AH212" s="40" t="n">
        <x:f>10*LOG10(AG212)</x:f>
        <x:v>-0.138962589191552</x:v>
      </x:c>
      <x:c r="AI212" s="40" t="n">
        <x:f>AC212-F212</x:f>
        <x:v>-28.148772737092713</x:v>
      </x:c>
      <x:c r="AJ212" s="40" t="n">
        <x:f>AD212-G212</x:f>
        <x:v>-0.33426334875992936</x:v>
      </x:c>
      <x:c r="AK212" s="40" t="n">
        <x:f>Y212-X212</x:f>
        <x:v>50.66140602625813</x:v>
      </x:c>
      <x:c r="AL212" s="40" t="n">
        <x:f>1000*(AA213-AA211)/(A213-A211)*Inputs!$C$11</x:f>
        <x:v>943.5061162653255</x:v>
      </x:c>
      <x:c r="AM212" s="40" t="n">
        <x:f>-2*AL212/Inputs!$C$13</x:f>
        <x:v>-377.4024465061302</x:v>
      </x:c>
      <x:c r="AN212" s="40" t="n">
        <x:f>-2*AL212/Inputs!$C$14</x:f>
        <x:v>-56.667034009929466</x:v>
      </x:c>
      <x:c r="AO212" s="40" t="n">
        <x:f>ABS(AM212)</x:f>
        <x:v>377.4024465061302</x:v>
      </x:c>
      <x:c r="AP212" s="40" t="n">
        <x:f>ABS(AN212)</x:f>
        <x:v>56.667034009929466</x:v>
      </x:c>
      <x:c r="AQ212" s="40" t="n">
        <x:f>IF(Inputs!$C$27="ON",Inputs!$C$46/Inputs!$C$12,0)</x:f>
        <x:v>42.13483146067416</x:v>
      </x:c>
      <x:c r="AR212" s="40" t="n">
        <x:f>AC212-AQ212</x:f>
        <x:v>1772.7466151319504</x:v>
      </x:c>
      <x:c r="AS212" s="40" t="n">
        <x:f>AC212+AQ212</x:f>
        <x:v>1857.0162780532987</x:v>
      </x:c>
    </x:row>
    <x:row r="213">
      <x:c r="A213" s="40" t="n">
        <x:f>Inputs!$C$7+211*(Inputs!$C$8-Inputs!$C$7)/240</x:f>
        <x:v>45.5</x:v>
      </x:c>
      <x:c r="B213" s="40" t="n">
        <x:f>Inputs!$C$5+Inputs!$C$9*(A213/Inputs!$C$10)^2</x:f>
        <x:v>402.30027777777775</x:v>
      </x:c>
      <x:c r="C213" s="40" t="n">
        <x:f>B213</x:f>
        <x:v>402.30027777777775</x:v>
      </x:c>
      <x:c r="D213" s="40" t="n">
        <x:f>SQRT(A213^2+Inputs!$C$6^2+B213^2)</x:f>
        <x:v>405.63624529876165</x:v>
      </x:c>
      <x:c r="E213" s="40" t="n">
        <x:f>(D213-C213)*1000</x:f>
        <x:v>3335.9675209838997</x:v>
      </x:c>
      <x:c r="F213" s="40" t="n">
        <x:f>E213/Inputs!$C$12</x:f>
        <x:v>1874.139056732528</x:v>
      </x:c>
      <x:c r="G213" s="40" t="n">
        <x:f>2*E213/Inputs!$C$21*1000000</x:f>
        <x:v>22.255179754948337</x:v>
      </x:c>
      <x:c r="H213" s="40" t="n">
        <x:f>SQRT(A213^2+Inputs!$C$6^2)</x:f>
        <x:v>51.915797210483056</x:v>
      </x:c>
      <x:c r="I213" s="40" t="n">
        <x:f>DEGREES(ATAN(H213/B213))</x:f>
        <x:v>7.353231646851434</x:v>
      </x:c>
      <x:c r="J213" s="40" t="n">
        <x:f>DEGREES((2*PI()/Inputs!$C$13)*Inputs!$C$15*SIN(RADIANS(I213)))</x:f>
        <x:v>46.07499258851599</x:v>
      </x:c>
      <x:c r="K213" s="40" t="n">
        <x:f>(C213/D213)^4</x:f>
        <x:v>0.9675074400588148</x:v>
      </x:c>
      <x:c r="L213" s="40" t="n">
        <x:f>10*LOG10(K213)</x:f>
        <x:v>-0.143456866045915</x:v>
      </x:c>
      <x:c r="M213" s="40" t="n">
        <x:f>2*(Inputs!$C$9/(Inputs!$C$10^2))*A213</x:f>
        <x:v>0.10111111111111111</x:v>
      </x:c>
      <x:c r="N213" s="40" t="n">
        <x:f>M213*Inputs!$C$11</x:f>
        <x:v>0.40444444444444444</x:v>
      </x:c>
      <x:c r="O213" s="40" t="n">
        <x:f>1000*((A213*Inputs!$C$11)+(B213*N213))/D213</x:f>
        <x:v>849.796132226282</x:v>
      </x:c>
      <x:c r="P213" s="40" t="n">
        <x:f>-2*O213/Inputs!$C$13</x:f>
        <x:v>-339.9184528905128</x:v>
      </x:c>
      <x:c r="Q213" s="40" t="n">
        <x:f>-2*O213/Inputs!$C$14</x:f>
        <x:v>-51.03880674031724</x:v>
      </x:c>
      <x:c r="R213" s="40" t="n">
        <x:f>F213-Inputs!$C$16/2</x:f>
        <x:v>1859.139056732528</x:v>
      </x:c>
      <x:c r="S213" s="40" t="n">
        <x:f>F213+Inputs!$C$16/2</x:f>
        <x:v>1889.139056732528</x:v>
      </x:c>
      <x:c r="T213" s="40" t="n">
        <x:f>F213-Inputs!$C$17/2</x:f>
        <x:v>1724.139056732528</x:v>
      </x:c>
      <x:c r="U213" s="40" t="n">
        <x:f>F213+Inputs!$C$17/2</x:f>
        <x:v>2024.139056732528</x:v>
      </x:c>
      <x:c r="V213" s="40" t="n">
        <x:f>ABS(P213)</x:f>
        <x:v>339.9184528905128</x:v>
      </x:c>
      <x:c r="W213" s="40" t="n">
        <x:f>ABS(Q213)</x:f>
        <x:v>51.03880674031724</x:v>
      </x:c>
      <x:c r="X213" s="40" t="n">
        <x:f>IF(Inputs!$C$27="ON",1,0)*(Inputs!$C$28*EXP(-(((A213)-Inputs!$C$29)^2)/(2*Inputs!$C$31^2))*EXP(-(((0)-Inputs!$C$30)^2)/(2*Inputs!$C$32^2))+-Inputs!$C$33*EXP(-(((((A213)-Inputs!$C$34)^2)+(((0)-Inputs!$C$35)^2))/(2*Inputs!$C$36^2)))+Inputs!$C$37*(0.55*SIN(2*PI()*(A213)/Inputs!$C$39)+0.35*COS(2*PI()*(0)/Inputs!$C$40)+0.2*SIN(2*PI()*((A213)+(0))/(0.5*(Inputs!$C$39+Inputs!$C$40))))+Inputs!$C$38*SIN(2*PI()*(A213)/Inputs!$C$39)*SIN(2*PI()*(0)/Inputs!$C$40)+-Inputs!$C$41*EXP(-(((0)-Inputs!$C$43)^2)/(2*Inputs!$C$44^2))*EXP(-(((A213)-Inputs!$C$42)^2)/(2*Inputs!$C$45^2)))</x:f>
        <x:v>14.677726446671002</x:v>
      </x:c>
      <x:c r="Y213" s="40" t="n">
        <x:f>IF(Inputs!$C$27="ON",1,0)*(Inputs!$C$28*EXP(-(((A213)-Inputs!$C$29)^2)/(2*Inputs!$C$31^2))*EXP(-(((Inputs!$C$6)-Inputs!$C$30)^2)/(2*Inputs!$C$32^2))+-Inputs!$C$33*EXP(-(((((A213)-Inputs!$C$34)^2)+(((Inputs!$C$6)-Inputs!$C$35)^2))/(2*Inputs!$C$36^2)))+Inputs!$C$37*(0.55*SIN(2*PI()*(A213)/Inputs!$C$39)+0.35*COS(2*PI()*(Inputs!$C$6)/Inputs!$C$40)+0.2*SIN(2*PI()*((A213)+(Inputs!$C$6))/(0.5*(Inputs!$C$39+Inputs!$C$40))))+Inputs!$C$38*SIN(2*PI()*(A213)/Inputs!$C$39)*SIN(2*PI()*(Inputs!$C$6)/Inputs!$C$40)+-Inputs!$C$41*EXP(-(((Inputs!$C$6)-Inputs!$C$43)^2)/(2*Inputs!$C$44^2))*EXP(-(((A213)-Inputs!$C$42)^2)/(2*Inputs!$C$45^2)))</x:f>
        <x:v>56.11467390361598</x:v>
      </x:c>
      <x:c r="Z213" s="40" t="n">
        <x:f>B213-X213/1000</x:f>
        <x:v>402.2856000513311</x:v>
      </x:c>
      <x:c r="AA213" s="40" t="n">
        <x:f>SQRT(A213^2+Inputs!$C$6^2+(B213-Y213/1000)^2)</x:f>
        <x:v>405.5805921776042</x:v>
      </x:c>
      <x:c r="AB213" s="40" t="n">
        <x:f>(AA213-Z213)*1000</x:f>
        <x:v>3294.9921262731436</x:v>
      </x:c>
      <x:c r="AC213" s="40" t="n">
        <x:f>AB213/Inputs!$C$12</x:f>
        <x:v>1851.1191720635638</x:v>
      </x:c>
      <x:c r="AD213" s="40" t="n">
        <x:f>2*AB213/Inputs!$C$21*1000000</x:f>
        <x:v>21.981821345706727</x:v>
      </x:c>
      <x:c r="AE213" s="40" t="n">
        <x:f>DEGREES(ATAN(H213/(B213-Y213/1000)))</x:f>
        <x:v>7.354246223083647</x:v>
      </x:c>
      <x:c r="AF213" s="40" t="n">
        <x:f>DEGREES((2*PI()/Inputs!$C$13)*Inputs!$C$15*SIN(RADIANS(AE213)))</x:f>
        <x:v>46.081314925418475</x:v>
      </x:c>
      <x:c r="AG213" s="40" t="n">
        <x:f>(Z213/AA213)^4</x:f>
        <x:v>0.9678973227715495</x:v>
      </x:c>
      <x:c r="AH213" s="40" t="n">
        <x:f>10*LOG10(AG213)</x:f>
        <x:v>-0.141707114094567</x:v>
      </x:c>
      <x:c r="AI213" s="40" t="n">
        <x:f>AC213-F213</x:f>
        <x:v>-23.019884668964096</x:v>
      </x:c>
      <x:c r="AJ213" s="40" t="n">
        <x:f>AD213-G213</x:f>
        <x:v>-0.2733584092416095</x:v>
      </x:c>
      <x:c r="AK213" s="40" t="n">
        <x:f>Y213-X213</x:f>
        <x:v>41.43694745694498</x:v>
      </x:c>
      <x:c r="AL213" s="40" t="n">
        <x:f>1000*(AA214-AA212)/(A214-A212)*Inputs!$C$11</x:f>
        <x:v>946.917772410643</x:v>
      </x:c>
      <x:c r="AM213" s="40" t="n">
        <x:f>-2*AL213/Inputs!$C$13</x:f>
        <x:v>-378.7671089642572</x:v>
      </x:c>
      <x:c r="AN213" s="40" t="n">
        <x:f>-2*AL213/Inputs!$C$14</x:f>
        <x:v>-56.871938282921505</x:v>
      </x:c>
      <x:c r="AO213" s="40" t="n">
        <x:f>ABS(AM213)</x:f>
        <x:v>378.7671089642572</x:v>
      </x:c>
      <x:c r="AP213" s="40" t="n">
        <x:f>ABS(AN213)</x:f>
        <x:v>56.871938282921505</x:v>
      </x:c>
      <x:c r="AQ213" s="40" t="n">
        <x:f>IF(Inputs!$C$27="ON",Inputs!$C$46/Inputs!$C$12,0)</x:f>
        <x:v>42.13483146067416</x:v>
      </x:c>
      <x:c r="AR213" s="40" t="n">
        <x:f>AC213-AQ213</x:f>
        <x:v>1808.9843406028897</x:v>
      </x:c>
      <x:c r="AS213" s="40" t="n">
        <x:f>AC213+AQ213</x:f>
        <x:v>1893.254003524238</x:v>
      </x:c>
    </x:row>
    <x:row r="214">
      <x:c r="A214" s="40" t="n">
        <x:f>Inputs!$C$7+212*(Inputs!$C$8-Inputs!$C$7)/240</x:f>
        <x:v>46</x:v>
      </x:c>
      <x:c r="B214" s="40" t="n">
        <x:f>Inputs!$C$5+Inputs!$C$9*(A214/Inputs!$C$10)^2</x:f>
        <x:v>402.3511111111111</x:v>
      </x:c>
      <x:c r="C214" s="40" t="n">
        <x:f>B214</x:f>
        <x:v>402.3511111111111</x:v>
      </x:c>
      <x:c r="D214" s="40" t="n">
        <x:f>SQRT(A214^2+Inputs!$C$6^2+B214^2)</x:f>
        <x:v>405.74304259265574</x:v>
      </x:c>
      <x:c r="E214" s="40" t="n">
        <x:f>(D214-C214)*1000</x:f>
        <x:v>3391.9314815446455</x:v>
      </x:c>
      <x:c r="F214" s="40" t="n">
        <x:f>E214/Inputs!$C$12</x:f>
        <x:v>1905.5794840138458</x:v>
      </x:c>
      <x:c r="G214" s="40" t="n">
        <x:f>2*E214/Inputs!$C$21*1000000</x:f>
        <x:v>22.62853111231134</x:v>
      </x:c>
      <x:c r="H214" s="40" t="n">
        <x:f>SQRT(A214^2+Inputs!$C$6^2)</x:f>
        <x:v>52.354560450833695</x:v>
      </x:c>
      <x:c r="I214" s="40" t="n">
        <x:f>DEGREES(ATAN(H214/B214))</x:f>
        <x:v>7.413762015717533</x:v>
      </x:c>
      <x:c r="J214" s="40" t="n">
        <x:f>DEGREES((2*PI()/Inputs!$C$13)*Inputs!$C$15*SIN(RADIANS(I214)))</x:f>
        <x:v>46.45216253583958</x:v>
      </x:c>
      <x:c r="K214" s="40" t="n">
        <x:f>(C214/D214)^4</x:f>
        <x:v>0.9669777778461417</x:v>
      </x:c>
      <x:c r="L214" s="40" t="n">
        <x:f>10*LOG10(K214)</x:f>
        <x:v>-0.145835063406698</x:v>
      </x:c>
      <x:c r="M214" s="40" t="n">
        <x:f>2*(Inputs!$C$9/(Inputs!$C$10^2))*A214</x:f>
        <x:v>0.10222222222222223</x:v>
      </x:c>
      <x:c r="N214" s="40" t="n">
        <x:f>M214*Inputs!$C$11</x:f>
        <x:v>0.4088888888888889</x:v>
      </x:c>
      <x:c r="O214" s="40" t="n">
        <x:f>1000*((A214*Inputs!$C$11)+(B214*N214))/D214</x:f>
        <x:v>858.9596423846123</x:v>
      </x:c>
      <x:c r="P214" s="40" t="n">
        <x:f>-2*O214/Inputs!$C$13</x:f>
        <x:v>-343.58385695384493</x:v>
      </x:c>
      <x:c r="Q214" s="40" t="n">
        <x:f>-2*O214/Inputs!$C$14</x:f>
        <x:v>-51.58916771078753</x:v>
      </x:c>
      <x:c r="R214" s="40" t="n">
        <x:f>F214-Inputs!$C$16/2</x:f>
        <x:v>1890.5794840138458</x:v>
      </x:c>
      <x:c r="S214" s="40" t="n">
        <x:f>F214+Inputs!$C$16/2</x:f>
        <x:v>1920.5794840138458</x:v>
      </x:c>
      <x:c r="T214" s="40" t="n">
        <x:f>F214-Inputs!$C$17/2</x:f>
        <x:v>1755.5794840138458</x:v>
      </x:c>
      <x:c r="U214" s="40" t="n">
        <x:f>F214+Inputs!$C$17/2</x:f>
        <x:v>2055.579484013846</x:v>
      </x:c>
      <x:c r="V214" s="40" t="n">
        <x:f>ABS(P214)</x:f>
        <x:v>343.58385695384493</x:v>
      </x:c>
      <x:c r="W214" s="40" t="n">
        <x:f>ABS(Q214)</x:f>
        <x:v>51.58916771078753</x:v>
      </x:c>
      <x:c r="X214" s="40" t="n">
        <x:f>IF(Inputs!$C$27="ON",1,0)*(Inputs!$C$28*EXP(-(((A214)-Inputs!$C$29)^2)/(2*Inputs!$C$31^2))*EXP(-(((0)-Inputs!$C$30)^2)/(2*Inputs!$C$32^2))+-Inputs!$C$33*EXP(-(((((A214)-Inputs!$C$34)^2)+(((0)-Inputs!$C$35)^2))/(2*Inputs!$C$36^2)))+Inputs!$C$37*(0.55*SIN(2*PI()*(A214)/Inputs!$C$39)+0.35*COS(2*PI()*(0)/Inputs!$C$40)+0.2*SIN(2*PI()*((A214)+(0))/(0.5*(Inputs!$C$39+Inputs!$C$40))))+Inputs!$C$38*SIN(2*PI()*(A214)/Inputs!$C$39)*SIN(2*PI()*(0)/Inputs!$C$40)+-Inputs!$C$41*EXP(-(((0)-Inputs!$C$43)^2)/(2*Inputs!$C$44^2))*EXP(-(((A214)-Inputs!$C$42)^2)/(2*Inputs!$C$45^2)))</x:f>
        <x:v>11.296216047250368</x:v>
      </x:c>
      <x:c r="Y214" s="40" t="n">
        <x:f>IF(Inputs!$C$27="ON",1,0)*(Inputs!$C$28*EXP(-(((A214)-Inputs!$C$29)^2)/(2*Inputs!$C$31^2))*EXP(-(((Inputs!$C$6)-Inputs!$C$30)^2)/(2*Inputs!$C$32^2))+-Inputs!$C$33*EXP(-(((((A214)-Inputs!$C$34)^2)+(((Inputs!$C$6)-Inputs!$C$35)^2))/(2*Inputs!$C$36^2)))+Inputs!$C$37*(0.55*SIN(2*PI()*(A214)/Inputs!$C$39)+0.35*COS(2*PI()*(Inputs!$C$6)/Inputs!$C$40)+0.2*SIN(2*PI()*((A214)+(Inputs!$C$6))/(0.5*(Inputs!$C$39+Inputs!$C$40))))+Inputs!$C$38*SIN(2*PI()*(A214)/Inputs!$C$39)*SIN(2*PI()*(Inputs!$C$6)/Inputs!$C$40)+-Inputs!$C$41*EXP(-(((Inputs!$C$6)-Inputs!$C$43)^2)/(2*Inputs!$C$44^2))*EXP(-(((A214)-Inputs!$C$42)^2)/(2*Inputs!$C$45^2)))</x:f>
        <x:v>44.32467042294173</x:v>
      </x:c>
      <x:c r="Z214" s="40" t="n">
        <x:f>B214-X214/1000</x:f>
        <x:v>402.33981489506385</x:v>
      </x:c>
      <x:c r="AA214" s="40" t="n">
        <x:f>SQRT(A214^2+Inputs!$C$6^2+(B214-Y214/1000)^2)</x:f>
        <x:v>405.6990885080141</x:v>
      </x:c>
      <x:c r="AB214" s="40" t="n">
        <x:f>(AA214-Z214)*1000</x:f>
        <x:v>3359.2736129502327</x:v>
      </x:c>
      <x:c r="AC214" s="40" t="n">
        <x:f>AB214/Inputs!$C$12</x:f>
        <x:v>1887.2323668259735</x:v>
      </x:c>
      <x:c r="AD214" s="40" t="n">
        <x:f>2*AB214/Inputs!$C$21*1000000</x:f>
        <x:v>22.41066126453543</x:v>
      </x:c>
      <x:c r="AE214" s="40" t="n">
        <x:f>DEGREES(ATAN(H214/(B214-Y214/1000)))</x:f>
        <x:v>7.414569748206718</x:v>
      </x:c>
      <x:c r="AF214" s="40" t="n">
        <x:f>DEGREES((2*PI()/Inputs!$C$13)*Inputs!$C$15*SIN(RADIANS(AE214)))</x:f>
        <x:v>46.457195237025566</x:v>
      </x:c>
      <x:c r="AG214" s="40" t="n">
        <x:f>(Z214/AA214)^4</x:f>
        <x:v>0.9672882654925916</x:v>
      </x:c>
      <x:c r="AH214" s="40" t="n">
        <x:f>10*LOG10(AG214)</x:f>
        <x:v>-0.144440807707749</x:v>
      </x:c>
      <x:c r="AI214" s="40" t="n">
        <x:f>AC214-F214</x:f>
        <x:v>-18.3471171878723</x:v>
      </x:c>
      <x:c r="AJ214" s="40" t="n">
        <x:f>AD214-G214</x:f>
        <x:v>-0.21786984777590845</x:v>
      </x:c>
      <x:c r="AK214" s="40" t="n">
        <x:f>Y214-X214</x:f>
        <x:v>33.02845437569136</x:v>
      </x:c>
      <x:c r="AL214" s="40" t="n">
        <x:f>1000*(AA215-AA213)/(A215-A213)*Inputs!$C$11</x:f>
        <x:v>947.8460740504033</x:v>
      </x:c>
      <x:c r="AM214" s="40" t="n">
        <x:f>-2*AL214/Inputs!$C$13</x:f>
        <x:v>-379.13842962016133</x:v>
      </x:c>
      <x:c r="AN214" s="40" t="n">
        <x:f>-2*AL214/Inputs!$C$14</x:f>
        <x:v>-56.92769213515936</x:v>
      </x:c>
      <x:c r="AO214" s="40" t="n">
        <x:f>ABS(AM214)</x:f>
        <x:v>379.13842962016133</x:v>
      </x:c>
      <x:c r="AP214" s="40" t="n">
        <x:f>ABS(AN214)</x:f>
        <x:v>56.92769213515936</x:v>
      </x:c>
      <x:c r="AQ214" s="40" t="n">
        <x:f>IF(Inputs!$C$27="ON",Inputs!$C$46/Inputs!$C$12,0)</x:f>
        <x:v>42.13483146067416</x:v>
      </x:c>
      <x:c r="AR214" s="40" t="n">
        <x:f>AC214-AQ214</x:f>
        <x:v>1845.0975353652993</x:v>
      </x:c>
      <x:c r="AS214" s="40" t="n">
        <x:f>AC214+AQ214</x:f>
        <x:v>1929.3671982866476</x:v>
      </x:c>
    </x:row>
    <x:row r="215">
      <x:c r="A215" s="40" t="n">
        <x:f>Inputs!$C$7+213*(Inputs!$C$8-Inputs!$C$7)/240</x:f>
        <x:v>46.5</x:v>
      </x:c>
      <x:c r="B215" s="40" t="n">
        <x:f>Inputs!$C$5+Inputs!$C$9*(A215/Inputs!$C$10)^2</x:f>
        <x:v>402.4025</x:v>
      </x:c>
      <x:c r="C215" s="40" t="n">
        <x:f>B215</x:f>
        <x:v>402.4025</x:v>
      </x:c>
      <x:c r="D215" s="40" t="n">
        <x:f>SQRT(A215^2+Inputs!$C$6^2+B215^2)</x:f>
        <x:v>405.85098497632106</x:v>
      </x:c>
      <x:c r="E215" s="40" t="n">
        <x:f>(D215-C215)*1000</x:f>
        <x:v>3448.484976321083</x:v>
      </x:c>
      <x:c r="F215" s="40" t="n">
        <x:f>E215/Inputs!$C$12</x:f>
        <x:v>1937.3511102927434</x:v>
      </x:c>
      <x:c r="G215" s="40" t="n">
        <x:f>2*E215/Inputs!$C$21*1000000</x:f>
        <x:v>23.005815418619257</x:v>
      </x:c>
      <x:c r="H215" s="40" t="n">
        <x:f>SQRT(A215^2+Inputs!$C$6^2)</x:f>
        <x:v>52.79441258315126</x:v>
      </x:c>
      <x:c r="I215" s="40" t="n">
        <x:f>DEGREES(ATAN(H215/B215))</x:f>
        <x:v>7.4744026758958535</x:v>
      </x:c>
      <x:c r="J215" s="40" t="n">
        <x:f>DEGREES((2*PI()/Inputs!$C$13)*Inputs!$C$15*SIN(RADIANS(I215)))</x:f>
        <x:v>46.82996773075058</x:v>
      </x:c>
      <x:c r="K215" s="40" t="n">
        <x:f>(C215/D215)^4</x:f>
        <x:v>0.9664430416673366</x:v>
      </x:c>
      <x:c r="L215" s="40" t="n">
        <x:f>10*LOG10(K215)</x:f>
        <x:v>-0.148237364812649</x:v>
      </x:c>
      <x:c r="M215" s="40" t="n">
        <x:f>2*(Inputs!$C$9/(Inputs!$C$10^2))*A215</x:f>
        <x:v>0.10333333333333333</x:v>
      </x:c>
      <x:c r="N215" s="40" t="n">
        <x:f>M215*Inputs!$C$11</x:f>
        <x:v>0.41333333333333333</x:v>
      </x:c>
      <x:c r="O215" s="40" t="n">
        <x:f>1000*((A215*Inputs!$C$11)+(B215*N215))/D215</x:f>
        <x:v>868.1175596684158</x:v>
      </x:c>
      <x:c r="P215" s="40" t="n">
        <x:f>-2*O215/Inputs!$C$13</x:f>
        <x:v>-347.2470238673663</x:v>
      </x:c>
      <x:c r="Q215" s="40" t="n">
        <x:f>-2*O215/Inputs!$C$14</x:f>
        <x:v>-52.13919277287783</x:v>
      </x:c>
      <x:c r="R215" s="40" t="n">
        <x:f>F215-Inputs!$C$16/2</x:f>
        <x:v>1922.3511102927434</x:v>
      </x:c>
      <x:c r="S215" s="40" t="n">
        <x:f>F215+Inputs!$C$16/2</x:f>
        <x:v>1952.3511102927434</x:v>
      </x:c>
      <x:c r="T215" s="40" t="n">
        <x:f>F215-Inputs!$C$17/2</x:f>
        <x:v>1787.3511102927434</x:v>
      </x:c>
      <x:c r="U215" s="40" t="n">
        <x:f>F215+Inputs!$C$17/2</x:f>
        <x:v>2087.351110292743</x:v>
      </x:c>
      <x:c r="V215" s="40" t="n">
        <x:f>ABS(P215)</x:f>
        <x:v>347.2470238673663</x:v>
      </x:c>
      <x:c r="W215" s="40" t="n">
        <x:f>ABS(Q215)</x:f>
        <x:v>52.13919277287783</x:v>
      </x:c>
      <x:c r="X215" s="40" t="n">
        <x:f>IF(Inputs!$C$27="ON",1,0)*(Inputs!$C$28*EXP(-(((A215)-Inputs!$C$29)^2)/(2*Inputs!$C$31^2))*EXP(-(((0)-Inputs!$C$30)^2)/(2*Inputs!$C$32^2))+-Inputs!$C$33*EXP(-(((((A215)-Inputs!$C$34)^2)+(((0)-Inputs!$C$35)^2))/(2*Inputs!$C$36^2)))+Inputs!$C$37*(0.55*SIN(2*PI()*(A215)/Inputs!$C$39)+0.35*COS(2*PI()*(0)/Inputs!$C$40)+0.2*SIN(2*PI()*((A215)+(0))/(0.5*(Inputs!$C$39+Inputs!$C$40))))+Inputs!$C$38*SIN(2*PI()*(A215)/Inputs!$C$39)*SIN(2*PI()*(0)/Inputs!$C$40)+-Inputs!$C$41*EXP(-(((0)-Inputs!$C$43)^2)/(2*Inputs!$C$44^2))*EXP(-(((A215)-Inputs!$C$42)^2)/(2*Inputs!$C$45^2)))</x:f>
        <x:v>8.055286971401584</x:v>
      </x:c>
      <x:c r="Y215" s="40" t="n">
        <x:f>IF(Inputs!$C$27="ON",1,0)*(Inputs!$C$28*EXP(-(((A215)-Inputs!$C$29)^2)/(2*Inputs!$C$31^2))*EXP(-(((Inputs!$C$6)-Inputs!$C$30)^2)/(2*Inputs!$C$32^2))+-Inputs!$C$33*EXP(-(((((A215)-Inputs!$C$34)^2)+(((Inputs!$C$6)-Inputs!$C$35)^2))/(2*Inputs!$C$36^2)))+Inputs!$C$37*(0.55*SIN(2*PI()*(A215)/Inputs!$C$39)+0.35*COS(2*PI()*(Inputs!$C$6)/Inputs!$C$40)+0.2*SIN(2*PI()*((A215)+(Inputs!$C$6))/(0.5*(Inputs!$C$39+Inputs!$C$40))))+Inputs!$C$38*SIN(2*PI()*(A215)/Inputs!$C$39)*SIN(2*PI()*(Inputs!$C$6)/Inputs!$C$40)+-Inputs!$C$41*EXP(-(((Inputs!$C$6)-Inputs!$C$43)^2)/(2*Inputs!$C$44^2))*EXP(-(((A215)-Inputs!$C$42)^2)/(2*Inputs!$C$45^2)))</x:f>
        <x:v>33.71780150403367</x:v>
      </x:c>
      <x:c r="Z215" s="40" t="n">
        <x:f>B215-X215/1000</x:f>
        <x:v>402.3944447130286</x:v>
      </x:c>
      <x:c r="AA215" s="40" t="n">
        <x:f>SQRT(A215^2+Inputs!$C$6^2+(B215-Y215/1000)^2)</x:f>
        <x:v>405.8175536961168</x:v>
      </x:c>
      <x:c r="AB215" s="40" t="n">
        <x:f>(AA215-Z215)*1000</x:f>
        <x:v>3423.108983088241</x:v>
      </x:c>
      <x:c r="AC215" s="40" t="n">
        <x:f>AB215/Inputs!$C$12</x:f>
        <x:v>1923.0949343192365</x:v>
      </x:c>
      <x:c r="AD215" s="40" t="n">
        <x:f>2*AB215/Inputs!$C$21*1000000</x:f>
        <x:v>22.83652501416991</x:v>
      </x:c>
      <x:c r="AE215" s="40" t="n">
        <x:f>DEGREES(ATAN(H215/(B215-Y215/1000)))</x:f>
        <x:v>7.475021935015807</x:v>
      </x:c>
      <x:c r="AF215" s="40" t="n">
        <x:f>DEGREES((2*PI()/Inputs!$C$13)*Inputs!$C$15*SIN(RADIANS(AE215)))</x:f>
        <x:v>46.83382558696923</x:v>
      </x:c>
      <x:c r="AG215" s="40" t="n">
        <x:f>(Z215/AA215)^4</x:f>
        <x:v>0.966684135474408</x:v>
      </x:c>
      <x:c r="AH215" s="40" t="n">
        <x:f>10*LOG10(AG215)</x:f>
        <x:v>-0.147154086776799</x:v>
      </x:c>
      <x:c r="AI215" s="40" t="n">
        <x:f>AC215-F215</x:f>
        <x:v>-14.25617597350697</x:v>
      </x:c>
      <x:c r="AJ215" s="40" t="n">
        <x:f>AD215-G215</x:f>
        <x:v>-0.1692904044493453</x:v>
      </x:c>
      <x:c r="AK215" s="40" t="n">
        <x:f>Y215-X215</x:f>
        <x:v>25.662514532632088</x:v>
      </x:c>
      <x:c r="AL215" s="40" t="n">
        <x:f>1000*(AA216-AA214)/(A216-A214)*Inputs!$C$11</x:f>
        <x:v>946.5849888879347</x:v>
      </x:c>
      <x:c r="AM215" s="40" t="n">
        <x:f>-2*AL215/Inputs!$C$13</x:f>
        <x:v>-378.6339955551739</x:v>
      </x:c>
      <x:c r="AN215" s="40" t="n">
        <x:f>-2*AL215/Inputs!$C$14</x:f>
        <x:v>-56.85195128456065</x:v>
      </x:c>
      <x:c r="AO215" s="40" t="n">
        <x:f>ABS(AM215)</x:f>
        <x:v>378.6339955551739</x:v>
      </x:c>
      <x:c r="AP215" s="40" t="n">
        <x:f>ABS(AN215)</x:f>
        <x:v>56.85195128456065</x:v>
      </x:c>
      <x:c r="AQ215" s="40" t="n">
        <x:f>IF(Inputs!$C$27="ON",Inputs!$C$46/Inputs!$C$12,0)</x:f>
        <x:v>42.13483146067416</x:v>
      </x:c>
      <x:c r="AR215" s="40" t="n">
        <x:f>AC215-AQ215</x:f>
        <x:v>1880.9601028585623</x:v>
      </x:c>
      <x:c r="AS215" s="40" t="n">
        <x:f>AC215+AQ215</x:f>
        <x:v>1965.2297657799106</x:v>
      </x:c>
    </x:row>
    <x:row r="216">
      <x:c r="A216" s="40" t="n">
        <x:f>Inputs!$C$7+214*(Inputs!$C$8-Inputs!$C$7)/240</x:f>
        <x:v>47</x:v>
      </x:c>
      <x:c r="B216" s="40" t="n">
        <x:f>Inputs!$C$5+Inputs!$C$9*(A216/Inputs!$C$10)^2</x:f>
        <x:v>402.45444444444445</x:v>
      </x:c>
      <x:c r="C216" s="40" t="n">
        <x:f>B216</x:f>
        <x:v>402.45444444444445</x:v>
      </x:c>
      <x:c r="D216" s="40" t="n">
        <x:f>SQRT(A216^2+Inputs!$C$6^2+B216^2)</x:f>
        <x:v>405.9600717473166</x:v>
      </x:c>
      <x:c r="E216" s="40" t="n">
        <x:f>(D216-C216)*1000</x:f>
        <x:v>3505.627302872142</x:v>
      </x:c>
      <x:c r="F216" s="40" t="n">
        <x:f>E216/Inputs!$C$12</x:f>
        <x:v>1969.4535409394057</x:v>
      </x:c>
      <x:c r="G216" s="40" t="n">
        <x:f>2*E216/Inputs!$C$21*1000000</x:f>
        <x:v>23.387027987689684</x:v>
      </x:c>
      <x:c r="H216" s="40" t="n">
        <x:f>SQRT(A216^2+Inputs!$C$6^2)</x:f>
        <x:v>53.23532661682466</x:v>
      </x:c>
      <x:c r="I216" s="40" t="n">
        <x:f>DEGREES(ATAN(H216/B216))</x:f>
        <x:v>7.535149317061624</x:v>
      </x:c>
      <x:c r="J216" s="40" t="n">
        <x:f>DEGREES((2*PI()/Inputs!$C$13)*Inputs!$C$15*SIN(RADIANS(I216)))</x:f>
        <x:v>47.20838061627316</x:v>
      </x:c>
      <x:c r="K216" s="40" t="n">
        <x:f>(C216/D216)^4</x:f>
        <x:v>0.9659032534746591</x:v>
      </x:c>
      <x:c r="L216" s="40" t="n">
        <x:f>10*LOG10(K216)</x:f>
        <x:v>-0.150663710858007</x:v>
      </x:c>
      <x:c r="M216" s="40" t="n">
        <x:f>2*(Inputs!$C$9/(Inputs!$C$10^2))*A216</x:f>
        <x:v>0.10444444444444445</x:v>
      </x:c>
      <x:c r="N216" s="40" t="n">
        <x:f>M216*Inputs!$C$11</x:f>
        <x:v>0.4177777777777778</x:v>
      </x:c>
      <x:c r="O216" s="40" t="n">
        <x:f>1000*((A216*Inputs!$C$11)+(B216*N216))/D216</x:f>
        <x:v>877.2698308085374</x:v>
      </x:c>
      <x:c r="P216" s="40" t="n">
        <x:f>-2*O216/Inputs!$C$13</x:f>
        <x:v>-350.90793232341497</x:v>
      </x:c>
      <x:c r="Q216" s="40" t="n">
        <x:f>-2*O216/Inputs!$C$14</x:f>
        <x:v>-52.68887872723949</x:v>
      </x:c>
      <x:c r="R216" s="40" t="n">
        <x:f>F216-Inputs!$C$16/2</x:f>
        <x:v>1954.4535409394057</x:v>
      </x:c>
      <x:c r="S216" s="40" t="n">
        <x:f>F216+Inputs!$C$16/2</x:f>
        <x:v>1984.4535409394057</x:v>
      </x:c>
      <x:c r="T216" s="40" t="n">
        <x:f>F216-Inputs!$C$17/2</x:f>
        <x:v>1819.4535409394057</x:v>
      </x:c>
      <x:c r="U216" s="40" t="n">
        <x:f>F216+Inputs!$C$17/2</x:f>
        <x:v>2119.4535409394057</x:v>
      </x:c>
      <x:c r="V216" s="40" t="n">
        <x:f>ABS(P216)</x:f>
        <x:v>350.90793232341497</x:v>
      </x:c>
      <x:c r="W216" s="40" t="n">
        <x:f>ABS(Q216)</x:f>
        <x:v>52.68887872723949</x:v>
      </x:c>
      <x:c r="X216" s="40" t="n">
        <x:f>IF(Inputs!$C$27="ON",1,0)*(Inputs!$C$28*EXP(-(((A216)-Inputs!$C$29)^2)/(2*Inputs!$C$31^2))*EXP(-(((0)-Inputs!$C$30)^2)/(2*Inputs!$C$32^2))+-Inputs!$C$33*EXP(-(((((A216)-Inputs!$C$34)^2)+(((0)-Inputs!$C$35)^2))/(2*Inputs!$C$36^2)))+Inputs!$C$37*(0.55*SIN(2*PI()*(A216)/Inputs!$C$39)+0.35*COS(2*PI()*(0)/Inputs!$C$40)+0.2*SIN(2*PI()*((A216)+(0))/(0.5*(Inputs!$C$39+Inputs!$C$40))))+Inputs!$C$38*SIN(2*PI()*(A216)/Inputs!$C$39)*SIN(2*PI()*(0)/Inputs!$C$40)+-Inputs!$C$41*EXP(-(((0)-Inputs!$C$43)^2)/(2*Inputs!$C$44^2))*EXP(-(((A216)-Inputs!$C$42)^2)/(2*Inputs!$C$45^2)))</x:f>
        <x:v>5.023658988682083</x:v>
      </x:c>
      <x:c r="Y216" s="40" t="n">
        <x:f>IF(Inputs!$C$27="ON",1,0)*(Inputs!$C$28*EXP(-(((A216)-Inputs!$C$29)^2)/(2*Inputs!$C$31^2))*EXP(-(((Inputs!$C$6)-Inputs!$C$30)^2)/(2*Inputs!$C$32^2))+-Inputs!$C$33*EXP(-(((((A216)-Inputs!$C$34)^2)+(((Inputs!$C$6)-Inputs!$C$35)^2))/(2*Inputs!$C$36^2)))+Inputs!$C$37*(0.55*SIN(2*PI()*(A216)/Inputs!$C$39)+0.35*COS(2*PI()*(Inputs!$C$6)/Inputs!$C$40)+0.2*SIN(2*PI()*((A216)+(Inputs!$C$6))/(0.5*(Inputs!$C$39+Inputs!$C$40))))+Inputs!$C$38*SIN(2*PI()*(A216)/Inputs!$C$39)*SIN(2*PI()*(Inputs!$C$6)/Inputs!$C$40)+-Inputs!$C$41*EXP(-(((Inputs!$C$6)-Inputs!$C$43)^2)/(2*Inputs!$C$44^2))*EXP(-(((A216)-Inputs!$C$42)^2)/(2*Inputs!$C$45^2)))</x:f>
        <x:v>24.548995220412312</x:v>
      </x:c>
      <x:c r="Z216" s="40" t="n">
        <x:f>B216-X216/1000</x:f>
        <x:v>402.44942078545574</x:v>
      </x:c>
      <x:c r="AA216" s="40" t="n">
        <x:f>SQRT(A216^2+Inputs!$C$6^2+(B216-Y216/1000)^2)</x:f>
        <x:v>405.93573475523607</x:v>
      </x:c>
      <x:c r="AB216" s="40" t="n">
        <x:f>(AA216-Z216)*1000</x:f>
        <x:v>3486.3139697803263</x:v>
      </x:c>
      <x:c r="AC216" s="40" t="n">
        <x:f>AB216/Inputs!$C$12</x:f>
        <x:v>1958.603353809172</x:v>
      </x:c>
      <x:c r="AD216" s="40" t="n">
        <x:f>2*AB216/Inputs!$C$21*1000000</x:f>
        <x:v>23.25818329812904</x:v>
      </x:c>
      <x:c r="AE216" s="40" t="n">
        <x:f>DEGREES(ATAN(H216/(B216-Y216/1000)))</x:f>
        <x:v>7.535603693362855</x:v>
      </x:c>
      <x:c r="AF216" s="40" t="n">
        <x:f>DEGREES((2*PI()/Inputs!$C$13)*Inputs!$C$15*SIN(RADIANS(AE216)))</x:f>
        <x:v>47.21121089182375</x:v>
      </x:c>
      <x:c r="AG216" s="40" t="n">
        <x:f>(Z216/AA216)^4</x:f>
        <x:v>0.9660866703840505</x:v>
      </x:c>
      <x:c r="AH216" s="40" t="n">
        <x:f>10*LOG10(AG216)</x:f>
        <x:v>-0.149839100430261</x:v>
      </x:c>
      <x:c r="AI216" s="40" t="n">
        <x:f>AC216-F216</x:f>
        <x:v>-10.850187130233735</x:v>
      </x:c>
      <x:c r="AJ216" s="40" t="n">
        <x:f>AD216-G216</x:f>
        <x:v>-0.1288446895606441</x:v>
      </x:c>
      <x:c r="AK216" s="40" t="n">
        <x:f>Y216-X216</x:f>
        <x:v>19.52533623173023</x:v>
      </x:c>
      <x:c r="AL216" s="40" t="n">
        <x:f>1000*(AA217-AA215)/(A217-A215)*Inputs!$C$11</x:f>
        <x:v>943.4961839463085</x:v>
      </x:c>
      <x:c r="AM216" s="40" t="n">
        <x:f>-2*AL216/Inputs!$C$13</x:f>
        <x:v>-377.3984735785234</x:v>
      </x:c>
      <x:c r="AN216" s="40" t="n">
        <x:f>-2*AL216/Inputs!$C$14</x:f>
        <x:v>-56.66643747425277</x:v>
      </x:c>
      <x:c r="AO216" s="40" t="n">
        <x:f>ABS(AM216)</x:f>
        <x:v>377.3984735785234</x:v>
      </x:c>
      <x:c r="AP216" s="40" t="n">
        <x:f>ABS(AN216)</x:f>
        <x:v>56.66643747425277</x:v>
      </x:c>
      <x:c r="AQ216" s="40" t="n">
        <x:f>IF(Inputs!$C$27="ON",Inputs!$C$46/Inputs!$C$12,0)</x:f>
        <x:v>42.13483146067416</x:v>
      </x:c>
      <x:c r="AR216" s="40" t="n">
        <x:f>AC216-AQ216</x:f>
        <x:v>1916.4685223484978</x:v>
      </x:c>
      <x:c r="AS216" s="40" t="n">
        <x:f>AC216+AQ216</x:f>
        <x:v>2000.738185269846</x:v>
      </x:c>
    </x:row>
    <x:row r="217">
      <x:c r="A217" s="40" t="n">
        <x:f>Inputs!$C$7+215*(Inputs!$C$8-Inputs!$C$7)/240</x:f>
        <x:v>47.5</x:v>
      </x:c>
      <x:c r="B217" s="40" t="n">
        <x:f>Inputs!$C$5+Inputs!$C$9*(A217/Inputs!$C$10)^2</x:f>
        <x:v>402.50694444444446</x:v>
      </x:c>
      <x:c r="C217" s="40" t="n">
        <x:f>B217</x:f>
        <x:v>402.50694444444446</x:v>
      </x:c>
      <x:c r="D217" s="40" t="n">
        <x:f>SQRT(A217^2+Inputs!$C$6^2+B217^2)</x:f>
        <x:v>406.07030219655695</x:v>
      </x:c>
      <x:c r="E217" s="40" t="n">
        <x:f>(D217-C217)*1000</x:f>
        <x:v>3563.357752112495</x:v>
      </x:c>
      <x:c r="F217" s="40" t="n">
        <x:f>E217/Inputs!$C$12</x:f>
        <x:v>2001.8863775912891</x:v>
      </x:c>
      <x:c r="G217" s="40" t="n">
        <x:f>2*E217/Inputs!$C$21*1000000</x:f>
        <x:v>23.772164089014506</x:v>
      </x:c>
      <x:c r="H217" s="40" t="n">
        <x:f>SQRT(A217^2+Inputs!$C$6^2)</x:f>
        <x:v>53.67727638395972</x:v>
      </x:c>
      <x:c r="I217" s="40" t="n">
        <x:f>DEGREES(ATAN(H217/B217))</x:f>
        <x:v>7.595997748011028</x:v>
      </x:c>
      <x:c r="J217" s="40" t="n">
        <x:f>DEGREES((2*PI()/Inputs!$C$13)*Inputs!$C$15*SIN(RADIANS(I217)))</x:f>
        <x:v>47.58737438738348</x:v>
      </x:c>
      <x:c r="K217" s="40" t="n">
        <x:f>(C217/D217)^4</x:f>
        <x:v>0.9653584353879024</x:v>
      </x:c>
      <x:c r="L217" s="40" t="n">
        <x:f>10*LOG10(K217)</x:f>
        <x:v>-0.153114041606665</x:v>
      </x:c>
      <x:c r="M217" s="40" t="n">
        <x:f>2*(Inputs!$C$9/(Inputs!$C$10^2))*A217</x:f>
        <x:v>0.10555555555555556</x:v>
      </x:c>
      <x:c r="N217" s="40" t="n">
        <x:f>M217*Inputs!$C$11</x:f>
        <x:v>0.4222222222222222</x:v>
      </x:c>
      <x:c r="O217" s="40" t="n">
        <x:f>1000*((A217*Inputs!$C$11)+(B217*N217))/D217</x:f>
        <x:v>886.416402766087</x:v>
      </x:c>
      <x:c r="P217" s="40" t="n">
        <x:f>-2*O217/Inputs!$C$13</x:f>
        <x:v>-354.5665611064348</x:v>
      </x:c>
      <x:c r="Q217" s="40" t="n">
        <x:f>-2*O217/Inputs!$C$14</x:f>
        <x:v>-53.23822238835358</x:v>
      </x:c>
      <x:c r="R217" s="40" t="n">
        <x:f>F217-Inputs!$C$16/2</x:f>
        <x:v>1986.8863775912891</x:v>
      </x:c>
      <x:c r="S217" s="40" t="n">
        <x:f>F217+Inputs!$C$16/2</x:f>
        <x:v>2016.8863775912891</x:v>
      </x:c>
      <x:c r="T217" s="40" t="n">
        <x:f>F217-Inputs!$C$17/2</x:f>
        <x:v>1851.8863775912891</x:v>
      </x:c>
      <x:c r="U217" s="40" t="n">
        <x:f>F217+Inputs!$C$17/2</x:f>
        <x:v>2151.886377591289</x:v>
      </x:c>
      <x:c r="V217" s="40" t="n">
        <x:f>ABS(P217)</x:f>
        <x:v>354.5665611064348</x:v>
      </x:c>
      <x:c r="W217" s="40" t="n">
        <x:f>ABS(Q217)</x:f>
        <x:v>53.23822238835358</x:v>
      </x:c>
      <x:c r="X217" s="40" t="n">
        <x:f>IF(Inputs!$C$27="ON",1,0)*(Inputs!$C$28*EXP(-(((A217)-Inputs!$C$29)^2)/(2*Inputs!$C$31^2))*EXP(-(((0)-Inputs!$C$30)^2)/(2*Inputs!$C$32^2))+-Inputs!$C$33*EXP(-(((((A217)-Inputs!$C$34)^2)+(((0)-Inputs!$C$35)^2))/(2*Inputs!$C$36^2)))+Inputs!$C$37*(0.55*SIN(2*PI()*(A217)/Inputs!$C$39)+0.35*COS(2*PI()*(0)/Inputs!$C$40)+0.2*SIN(2*PI()*((A217)+(0))/(0.5*(Inputs!$C$39+Inputs!$C$40))))+Inputs!$C$38*SIN(2*PI()*(A217)/Inputs!$C$39)*SIN(2*PI()*(0)/Inputs!$C$40)+-Inputs!$C$41*EXP(-(((0)-Inputs!$C$43)^2)/(2*Inputs!$C$44^2))*EXP(-(((A217)-Inputs!$C$42)^2)/(2*Inputs!$C$45^2)))</x:f>
        <x:v>2.2681450694340786</x:v>
      </x:c>
      <x:c r="Y217" s="40" t="n">
        <x:f>IF(Inputs!$C$27="ON",1,0)*(Inputs!$C$28*EXP(-(((A217)-Inputs!$C$29)^2)/(2*Inputs!$C$31^2))*EXP(-(((Inputs!$C$6)-Inputs!$C$30)^2)/(2*Inputs!$C$32^2))+-Inputs!$C$33*EXP(-(((((A217)-Inputs!$C$34)^2)+(((Inputs!$C$6)-Inputs!$C$35)^2))/(2*Inputs!$C$36^2)))+Inputs!$C$37*(0.55*SIN(2*PI()*(A217)/Inputs!$C$39)+0.35*COS(2*PI()*(Inputs!$C$6)/Inputs!$C$40)+0.2*SIN(2*PI()*((A217)+(Inputs!$C$6))/(0.5*(Inputs!$C$39+Inputs!$C$40))))+Inputs!$C$38*SIN(2*PI()*(A217)/Inputs!$C$39)*SIN(2*PI()*(Inputs!$C$6)/Inputs!$C$40)+-Inputs!$C$41*EXP(-(((Inputs!$C$6)-Inputs!$C$43)^2)/(2*Inputs!$C$44^2))*EXP(-(((A217)-Inputs!$C$42)^2)/(2*Inputs!$C$45^2)))</x:f>
        <x:v>17.02384877090261</x:v>
      </x:c>
      <x:c r="Z217" s="40" t="n">
        <x:f>B217-X217/1000</x:f>
        <x:v>402.50467629937503</x:v>
      </x:c>
      <x:c r="AA217" s="40" t="n">
        <x:f>SQRT(A217^2+Inputs!$C$6^2+(B217-Y217/1000)^2)</x:f>
        <x:v>406.0534277421034</x:v>
      </x:c>
      <x:c r="AB217" s="40" t="n">
        <x:f>(AA217-Z217)*1000</x:f>
        <x:v>3548.75144272836</x:v>
      </x:c>
      <x:c r="AC217" s="40" t="n">
        <x:f>AB217/Inputs!$C$12</x:f>
        <x:v>1993.6805858024493</x:v>
      </x:c>
      <x:c r="AD217" s="40" t="n">
        <x:f>2*AB217/Inputs!$C$21*1000000</x:f>
        <x:v>23.674721281536442</x:v>
      </x:c>
      <x:c r="AE217" s="40" t="n">
        <x:f>DEGREES(ATAN(H217/(B217-Y217/1000)))</x:f>
        <x:v>7.596315279241797</x:v>
      </x:c>
      <x:c r="AF217" s="40" t="n">
        <x:f>DEGREES((2*PI()/Inputs!$C$13)*Inputs!$C$15*SIN(RADIANS(AE217)))</x:f>
        <x:v>47.58935198670119</x:v>
      </x:c>
      <x:c r="AG217" s="40" t="n">
        <x:f>(Z217/AA217)^4</x:f>
        <x:v>0.9654971530803008</x:v>
      </x:c>
      <x:c r="AH217" s="40" t="n">
        <x:f>10*LOG10(AG217)</x:f>
        <x:v>-0.152490024680548</x:v>
      </x:c>
      <x:c r="AI217" s="40" t="n">
        <x:f>AC217-F217</x:f>
        <x:v>-8.20579178883986</x:v>
      </x:c>
      <x:c r="AJ217" s="40" t="n">
        <x:f>AD217-G217</x:f>
        <x:v>-0.097442807478064</x:v>
      </x:c>
      <x:c r="AK217" s="40" t="n">
        <x:f>Y217-X217</x:f>
        <x:v>14.755703701468532</x:v>
      </x:c>
      <x:c r="AL217" s="40" t="n">
        <x:f>1000*(AA218-AA216)/(A218-A216)*Inputs!$C$11</x:f>
        <x:v>938.9954175478579</x:v>
      </x:c>
      <x:c r="AM217" s="40" t="n">
        <x:f>-2*AL217/Inputs!$C$13</x:f>
        <x:v>-375.59816701914315</x:v>
      </x:c>
      <x:c r="AN217" s="40" t="n">
        <x:f>-2*AL217/Inputs!$C$14</x:f>
        <x:v>-56.396121174045525</x:v>
      </x:c>
      <x:c r="AO217" s="40" t="n">
        <x:f>ABS(AM217)</x:f>
        <x:v>375.59816701914315</x:v>
      </x:c>
      <x:c r="AP217" s="40" t="n">
        <x:f>ABS(AN217)</x:f>
        <x:v>56.396121174045525</x:v>
      </x:c>
      <x:c r="AQ217" s="40" t="n">
        <x:f>IF(Inputs!$C$27="ON",Inputs!$C$46/Inputs!$C$12,0)</x:f>
        <x:v>42.13483146067416</x:v>
      </x:c>
      <x:c r="AR217" s="40" t="n">
        <x:f>AC217-AQ217</x:f>
        <x:v>1951.5457543417751</x:v>
      </x:c>
      <x:c r="AS217" s="40" t="n">
        <x:f>AC217+AQ217</x:f>
        <x:v>2035.8154172631234</x:v>
      </x:c>
    </x:row>
    <x:row r="218">
      <x:c r="A218" s="40" t="n">
        <x:f>Inputs!$C$7+216*(Inputs!$C$8-Inputs!$C$7)/240</x:f>
        <x:v>48</x:v>
      </x:c>
      <x:c r="B218" s="40" t="n">
        <x:f>Inputs!$C$5+Inputs!$C$9*(A218/Inputs!$C$10)^2</x:f>
        <x:v>402.56</x:v>
      </x:c>
      <x:c r="C218" s="40" t="n">
        <x:f>B218</x:f>
        <x:v>402.56</x:v>
      </x:c>
      <x:c r="D218" s="40" t="n">
        <x:f>SQRT(A218^2+Inputs!$C$6^2+B218^2)</x:f>
        <x:v>406.18167560834155</x:v>
      </x:c>
      <x:c r="E218" s="40" t="n">
        <x:f>(D218-C218)*1000</x:f>
        <x:v>3621.6756083415476</x:v>
      </x:c>
      <x:c r="F218" s="40" t="n">
        <x:f>E218/Inputs!$C$12</x:f>
        <x:v>2034.6492181694086</x:v>
      </x:c>
      <x:c r="G218" s="40" t="n">
        <x:f>2*E218/Inputs!$C$21*1000000</x:f>
        <x:v>24.161218947953305</x:v>
      </x:c>
      <x:c r="H218" s="40" t="n">
        <x:f>SQRT(A218^2+Inputs!$C$6^2)</x:f>
        <x:v>54.120236510939236</x:v>
      </x:c>
      <x:c r="I218" s="40" t="n">
        <x:f>DEGREES(ATAN(H218/B218))</x:f>
        <x:v>7.656943892607386</x:v>
      </x:c>
      <x:c r="J218" s="40" t="n">
        <x:f>DEGREES((2*PI()/Inputs!$C$13)*Inputs!$C$15*SIN(RADIANS(I218)))</x:f>
        <x:v>47.96692296558639</x:v>
      </x:c>
      <x:c r="K218" s="40" t="n">
        <x:f>(C218/D218)^4</x:f>
        <x:v>0.964808609692378</x:v>
      </x:c>
      <x:c r="L218" s="40" t="n">
        <x:f>10*LOG10(K218)</x:f>
        <x:v>-0.15558829659555098</x:v>
      </x:c>
      <x:c r="M218" s="40" t="n">
        <x:f>2*(Inputs!$C$9/(Inputs!$C$10^2))*A218</x:f>
        <x:v>0.10666666666666666</x:v>
      </x:c>
      <x:c r="N218" s="40" t="n">
        <x:f>M218*Inputs!$C$11</x:f>
        <x:v>0.42666666666666664</x:v>
      </x:c>
      <x:c r="O218" s="40" t="n">
        <x:f>1000*((A218*Inputs!$C$11)+(B218*N218))/D218</x:f>
        <x:v>895.5572227342078</x:v>
      </x:c>
      <x:c r="P218" s="40" t="n">
        <x:f>-2*O218/Inputs!$C$13</x:f>
        <x:v>-358.22288909368314</x:v>
      </x:c>
      <x:c r="Q218" s="40" t="n">
        <x:f>-2*O218/Inputs!$C$14</x:f>
        <x:v>-53.78722058463711</x:v>
      </x:c>
      <x:c r="R218" s="40" t="n">
        <x:f>F218-Inputs!$C$16/2</x:f>
        <x:v>2019.6492181694086</x:v>
      </x:c>
      <x:c r="S218" s="40" t="n">
        <x:f>F218+Inputs!$C$16/2</x:f>
        <x:v>2049.6492181694084</x:v>
      </x:c>
      <x:c r="T218" s="40" t="n">
        <x:f>F218-Inputs!$C$17/2</x:f>
        <x:v>1884.6492181694086</x:v>
      </x:c>
      <x:c r="U218" s="40" t="n">
        <x:f>F218+Inputs!$C$17/2</x:f>
        <x:v>2184.6492181694084</x:v>
      </x:c>
      <x:c r="V218" s="40" t="n">
        <x:f>ABS(P218)</x:f>
        <x:v>358.22288909368314</x:v>
      </x:c>
      <x:c r="W218" s="40" t="n">
        <x:f>ABS(Q218)</x:f>
        <x:v>53.78722058463711</x:v>
      </x:c>
      <x:c r="X218" s="40" t="n">
        <x:f>IF(Inputs!$C$27="ON",1,0)*(Inputs!$C$28*EXP(-(((A218)-Inputs!$C$29)^2)/(2*Inputs!$C$31^2))*EXP(-(((0)-Inputs!$C$30)^2)/(2*Inputs!$C$32^2))+-Inputs!$C$33*EXP(-(((((A218)-Inputs!$C$34)^2)+(((0)-Inputs!$C$35)^2))/(2*Inputs!$C$36^2)))+Inputs!$C$37*(0.55*SIN(2*PI()*(A218)/Inputs!$C$39)+0.35*COS(2*PI()*(0)/Inputs!$C$40)+0.2*SIN(2*PI()*((A218)+(0))/(0.5*(Inputs!$C$39+Inputs!$C$40))))+Inputs!$C$38*SIN(2*PI()*(A218)/Inputs!$C$39)*SIN(2*PI()*(0)/Inputs!$C$40)+-Inputs!$C$41*EXP(-(((0)-Inputs!$C$43)^2)/(2*Inputs!$C$44^2))*EXP(-(((A218)-Inputs!$C$42)^2)/(2*Inputs!$C$45^2)))</x:f>
        <x:v>-0.14720351288510702</x:v>
      </x:c>
      <x:c r="Y218" s="40" t="n">
        <x:f>IF(Inputs!$C$27="ON",1,0)*(Inputs!$C$28*EXP(-(((A218)-Inputs!$C$29)^2)/(2*Inputs!$C$31^2))*EXP(-(((Inputs!$C$6)-Inputs!$C$30)^2)/(2*Inputs!$C$32^2))+-Inputs!$C$33*EXP(-(((((A218)-Inputs!$C$34)^2)+(((Inputs!$C$6)-Inputs!$C$35)^2))/(2*Inputs!$C$36^2)))+Inputs!$C$37*(0.55*SIN(2*PI()*(A218)/Inputs!$C$39)+0.35*COS(2*PI()*(Inputs!$C$6)/Inputs!$C$40)+0.2*SIN(2*PI()*((A218)+(Inputs!$C$6))/(0.5*(Inputs!$C$39+Inputs!$C$40))))+Inputs!$C$38*SIN(2*PI()*(A218)/Inputs!$C$39)*SIN(2*PI()*(Inputs!$C$6)/Inputs!$C$40)+-Inputs!$C$41*EXP(-(((Inputs!$C$6)-Inputs!$C$43)^2)/(2*Inputs!$C$44^2))*EXP(-(((A218)-Inputs!$C$42)^2)/(2*Inputs!$C$45^2)))</x:f>
        <x:v>11.292691586182919</x:v>
      </x:c>
      <x:c r="Z218" s="40" t="n">
        <x:f>B218-X218/1000</x:f>
        <x:v>402.5601472035129</x:v>
      </x:c>
      <x:c r="AA218" s="40" t="n">
        <x:f>SQRT(A218^2+Inputs!$C$6^2+(B218-Y218/1000)^2)</x:f>
        <x:v>406.17048360962303</x:v>
      </x:c>
      <x:c r="AB218" s="40" t="n">
        <x:f>(AA218-Z218)*1000</x:f>
        <x:v>3610.33640611015</x:v>
      </x:c>
      <x:c r="AC218" s="40" t="n">
        <x:f>AB218/Inputs!$C$12</x:f>
        <x:v>2028.278879837163</x:v>
      </x:c>
      <x:c r="AD218" s="40" t="n">
        <x:f>2*AB218/Inputs!$C$21*1000000</x:f>
        <x:v>24.085571933301605</x:v>
      </x:c>
      <x:c r="AE218" s="40" t="n">
        <x:f>DEGREES(ATAN(H218/(B218-Y218/1000)))</x:f>
        <x:v>7.657156144268934</x:v>
      </x:c>
      <x:c r="AF218" s="40" t="n">
        <x:f>DEGREES((2*PI()/Inputs!$C$13)*Inputs!$C$15*SIN(RADIANS(AE218)))</x:f>
        <x:v>47.96824469072899</x:v>
      </x:c>
      <x:c r="AG218" s="40" t="n">
        <x:f>(Z218/AA218)^4</x:f>
        <x:v>0.9649163663744114</x:v>
      </x:c>
      <x:c r="AH218" s="40" t="n">
        <x:f>10*LOG10(AG218)</x:f>
        <x:v>-0.155103272739568</x:v>
      </x:c>
      <x:c r="AI218" s="40" t="n">
        <x:f>AC218-F218</x:f>
        <x:v>-6.3703383322456375</x:v>
      </x:c>
      <x:c r="AJ218" s="40" t="n">
        <x:f>AD218-G218</x:f>
        <x:v>-0.07564701465170032</x:v>
      </x:c>
      <x:c r="AK218" s="40" t="n">
        <x:f>Y218-X218</x:f>
        <x:v>11.439895099068025</x:v>
      </x:c>
      <x:c r="AL218" s="40" t="n">
        <x:f>1000*(AA219-AA217)/(A219-A217)*Inputs!$C$11</x:f>
        <x:v>933.5373488504501</x:v>
      </x:c>
      <x:c r="AM218" s="40" t="n">
        <x:f>-2*AL218/Inputs!$C$13</x:f>
        <x:v>-373.41493954018006</x:v>
      </x:c>
      <x:c r="AN218" s="40" t="n">
        <x:f>-2*AL218/Inputs!$C$14</x:f>
        <x:v>-56.06830924026728</x:v>
      </x:c>
      <x:c r="AO218" s="40" t="n">
        <x:f>ABS(AM218)</x:f>
        <x:v>373.41493954018006</x:v>
      </x:c>
      <x:c r="AP218" s="40" t="n">
        <x:f>ABS(AN218)</x:f>
        <x:v>56.06830924026728</x:v>
      </x:c>
      <x:c r="AQ218" s="40" t="n">
        <x:f>IF(Inputs!$C$27="ON",Inputs!$C$46/Inputs!$C$12,0)</x:f>
        <x:v>42.13483146067416</x:v>
      </x:c>
      <x:c r="AR218" s="40" t="n">
        <x:f>AC218-AQ218</x:f>
        <x:v>1986.1440483764889</x:v>
      </x:c>
      <x:c r="AS218" s="40" t="n">
        <x:f>AC218+AQ218</x:f>
        <x:v>2070.4137112978374</x:v>
      </x:c>
    </x:row>
    <x:row r="219">
      <x:c r="A219" s="40" t="n">
        <x:f>Inputs!$C$7+217*(Inputs!$C$8-Inputs!$C$7)/240</x:f>
        <x:v>48.5</x:v>
      </x:c>
      <x:c r="B219" s="40" t="n">
        <x:f>Inputs!$C$5+Inputs!$C$9*(A219/Inputs!$C$10)^2</x:f>
        <x:v>402.6136111111111</x:v>
      </x:c>
      <x:c r="C219" s="40" t="n">
        <x:f>B219</x:f>
        <x:v>402.6136111111111</x:v>
      </x:c>
      <x:c r="D219" s="40" t="n">
        <x:f>SQRT(A219^2+Inputs!$C$6^2+B219^2)</x:f>
        <x:v>406.2941912603834</x:v>
      </x:c>
      <x:c r="E219" s="40" t="n">
        <x:f>(D219-C219)*1000</x:f>
        <x:v>3680.5801492723162</x:v>
      </x:c>
      <x:c r="F219" s="40" t="n">
        <x:f>E219/Inputs!$C$12</x:f>
        <x:v>2067.7416568945596</x:v>
      </x:c>
      <x:c r="G219" s="40" t="n">
        <x:f>2*E219/Inputs!$C$21*1000000</x:f>
        <x:v>24.554187745925994</x:v>
      </x:c>
      <x:c r="H219" s="40" t="n">
        <x:f>SQRT(A219^2+Inputs!$C$6^2)</x:f>
        <x:v>54.56418239101544</x:v>
      </x:c>
      <x:c r="I219" s="40" t="n">
        <x:f>DEGREES(ATAN(H219/B219))</x:f>
        <x:v>7.717983785874701</x:v>
      </x:c>
      <x:c r="J219" s="40" t="n">
        <x:f>DEGREES((2*PI()/Inputs!$C$13)*Inputs!$C$15*SIN(RADIANS(I219)))</x:f>
        <x:v>48.347000974416595</x:v>
      </x:c>
      <x:c r="K219" s="40" t="n">
        <x:f>(C219/D219)^4</x:f>
        <x:v>0.964253798836902</x:v>
      </x:c>
      <x:c r="L219" s="40" t="n">
        <x:f>10*LOG10(K219)</x:f>
        <x:v>-0.15808641483798297</x:v>
      </x:c>
      <x:c r="M219" s="40" t="n">
        <x:f>2*(Inputs!$C$9/(Inputs!$C$10^2))*A219</x:f>
        <x:v>0.10777777777777778</x:v>
      </x:c>
      <x:c r="N219" s="40" t="n">
        <x:f>M219*Inputs!$C$11</x:f>
        <x:v>0.4311111111111111</x:v>
      </x:c>
      <x:c r="O219" s="40" t="n">
        <x:f>1000*((A219*Inputs!$C$11)+(B219*N219))/D219</x:f>
        <x:v>904.6922381398286</x:v>
      </x:c>
      <x:c r="P219" s="40" t="n">
        <x:f>-2*O219/Inputs!$C$13</x:f>
        <x:v>-361.87689525593146</x:v>
      </x:c>
      <x:c r="Q219" s="40" t="n">
        <x:f>-2*O219/Inputs!$C$14</x:f>
        <x:v>-54.335870158548275</x:v>
      </x:c>
      <x:c r="R219" s="40" t="n">
        <x:f>F219-Inputs!$C$16/2</x:f>
        <x:v>2052.7416568945596</x:v>
      </x:c>
      <x:c r="S219" s="40" t="n">
        <x:f>F219+Inputs!$C$16/2</x:f>
        <x:v>2082.7416568945596</x:v>
      </x:c>
      <x:c r="T219" s="40" t="n">
        <x:f>F219-Inputs!$C$17/2</x:f>
        <x:v>1917.7416568945596</x:v>
      </x:c>
      <x:c r="U219" s="40" t="n">
        <x:f>F219+Inputs!$C$17/2</x:f>
        <x:v>2217.7416568945596</x:v>
      </x:c>
      <x:c r="V219" s="40" t="n">
        <x:f>ABS(P219)</x:f>
        <x:v>361.87689525593146</x:v>
      </x:c>
      <x:c r="W219" s="40" t="n">
        <x:f>ABS(Q219)</x:f>
        <x:v>54.335870158548275</x:v>
      </x:c>
      <x:c r="X219" s="40" t="n">
        <x:f>IF(Inputs!$C$27="ON",1,0)*(Inputs!$C$28*EXP(-(((A219)-Inputs!$C$29)^2)/(2*Inputs!$C$31^2))*EXP(-(((0)-Inputs!$C$30)^2)/(2*Inputs!$C$32^2))+-Inputs!$C$33*EXP(-(((((A219)-Inputs!$C$34)^2)+(((0)-Inputs!$C$35)^2))/(2*Inputs!$C$36^2)))+Inputs!$C$37*(0.55*SIN(2*PI()*(A219)/Inputs!$C$39)+0.35*COS(2*PI()*(0)/Inputs!$C$40)+0.2*SIN(2*PI()*((A219)+(0))/(0.5*(Inputs!$C$39+Inputs!$C$40))))+Inputs!$C$38*SIN(2*PI()*(A219)/Inputs!$C$39)*SIN(2*PI()*(0)/Inputs!$C$40)+-Inputs!$C$41*EXP(-(((0)-Inputs!$C$43)^2)/(2*Inputs!$C$44^2))*EXP(-(((A219)-Inputs!$C$42)^2)/(2*Inputs!$C$45^2)))</x:f>
        <x:v>-2.1621139655556783</x:v>
      </x:c>
      <x:c r="Y219" s="40" t="n">
        <x:f>IF(Inputs!$C$27="ON",1,0)*(Inputs!$C$28*EXP(-(((A219)-Inputs!$C$29)^2)/(2*Inputs!$C$31^2))*EXP(-(((Inputs!$C$6)-Inputs!$C$30)^2)/(2*Inputs!$C$32^2))+-Inputs!$C$33*EXP(-(((((A219)-Inputs!$C$34)^2)+(((Inputs!$C$6)-Inputs!$C$35)^2))/(2*Inputs!$C$36^2)))+Inputs!$C$37*(0.55*SIN(2*PI()*(A219)/Inputs!$C$39)+0.35*COS(2*PI()*(Inputs!$C$6)/Inputs!$C$40)+0.2*SIN(2*PI()*((A219)+(Inputs!$C$6))/(0.5*(Inputs!$C$39+Inputs!$C$40))))+Inputs!$C$38*SIN(2*PI()*(A219)/Inputs!$C$39)*SIN(2*PI()*(Inputs!$C$6)/Inputs!$C$40)+-Inputs!$C$41*EXP(-(((Inputs!$C$6)-Inputs!$C$43)^2)/(2*Inputs!$C$44^2))*EXP(-(((A219)-Inputs!$C$42)^2)/(2*Inputs!$C$45^2)))</x:f>
        <x:v>7.446640702770427</x:v>
      </x:c>
      <x:c r="Z219" s="40" t="n">
        <x:f>B219-X219/1000</x:f>
        <x:v>402.6157732250766</x:v>
      </x:c>
      <x:c r="AA219" s="40" t="n">
        <x:f>SQRT(A219^2+Inputs!$C$6^2+(B219-Y219/1000)^2)</x:f>
        <x:v>406.286812079316</x:v>
      </x:c>
      <x:c r="AB219" s="40" t="n">
        <x:f>(AA219-Z219)*1000</x:f>
        <x:v>3671.0388542393844</x:v>
      </x:c>
      <x:c r="AC219" s="40" t="n">
        <x:f>AB219/Inputs!$C$12</x:f>
        <x:v>2062.381378786171</x:v>
      </x:c>
      <x:c r="AD219" s="40" t="n">
        <x:f>2*AB219/Inputs!$C$21*1000000</x:f>
        <x:v>24.49053507703242</x:v>
      </x:c>
      <x:c r="AE219" s="40" t="n">
        <x:f>DEGREES(ATAN(H219/(B219-Y219/1000)))</x:f>
        <x:v>7.718124817770983</x:v>
      </x:c>
      <x:c r="AF219" s="40" t="n">
        <x:f>DEGREES((2*PI()/Inputs!$C$13)*Inputs!$C$15*SIN(RADIANS(AE219)))</x:f>
        <x:v>48.34787907644611</x:v>
      </x:c>
      <x:c r="AG219" s="40" t="n">
        <x:f>(Z219/AA219)^4</x:f>
        <x:v>0.964344568352848</x:v>
      </x:c>
      <x:c r="AH219" s="40" t="n">
        <x:f>10*LOG10(AG219)</x:f>
        <x:v>-0.15767761328966598</x:v>
      </x:c>
      <x:c r="AI219" s="40" t="n">
        <x:f>AC219-F219</x:f>
        <x:v>-5.360278108388684</x:v>
      </x:c>
      <x:c r="AJ219" s="40" t="n">
        <x:f>AD219-G219</x:f>
        <x:v>-0.06365266889357457</x:v>
      </x:c>
      <x:c r="AK219" s="40" t="n">
        <x:f>Y219-X219</x:f>
        <x:v>9.608754668326105</x:v>
      </x:c>
      <x:c r="AL219" s="40" t="n">
        <x:f>1000*(AA220-AA218)/(A220-A218)*Inputs!$C$11</x:f>
        <x:v>927.5993386411301</x:v>
      </x:c>
      <x:c r="AM219" s="40" t="n">
        <x:f>-2*AL219/Inputs!$C$13</x:f>
        <x:v>-371.03973545645204</x:v>
      </x:c>
      <x:c r="AN219" s="40" t="n">
        <x:f>-2*AL219/Inputs!$C$14</x:f>
        <x:v>-55.71167199045827</x:v>
      </x:c>
      <x:c r="AO219" s="40" t="n">
        <x:f>ABS(AM219)</x:f>
        <x:v>371.03973545645204</x:v>
      </x:c>
      <x:c r="AP219" s="40" t="n">
        <x:f>ABS(AN219)</x:f>
        <x:v>55.71167199045827</x:v>
      </x:c>
      <x:c r="AQ219" s="40" t="n">
        <x:f>IF(Inputs!$C$27="ON",Inputs!$C$46/Inputs!$C$12,0)</x:f>
        <x:v>42.13483146067416</x:v>
      </x:c>
      <x:c r="AR219" s="40" t="n">
        <x:f>AC219-AQ219</x:f>
        <x:v>2020.2465473254967</x:v>
      </x:c>
      <x:c r="AS219" s="40" t="n">
        <x:f>AC219+AQ219</x:f>
        <x:v>2104.5162102468453</x:v>
      </x:c>
    </x:row>
    <x:row r="220">
      <x:c r="A220" s="40" t="n">
        <x:f>Inputs!$C$7+218*(Inputs!$C$8-Inputs!$C$7)/240</x:f>
        <x:v>49</x:v>
      </x:c>
      <x:c r="B220" s="40" t="n">
        <x:f>Inputs!$C$5+Inputs!$C$9*(A220/Inputs!$C$10)^2</x:f>
        <x:v>402.66777777777776</x:v>
      </x:c>
      <x:c r="C220" s="40" t="n">
        <x:f>B220</x:f>
        <x:v>402.66777777777776</x:v>
      </x:c>
      <x:c r="D220" s="40" t="n">
        <x:f>SQRT(A220^2+Inputs!$C$6^2+B220^2)</x:f>
        <x:v>406.40784842383863</x:v>
      </x:c>
      <x:c r="E220" s="40" t="n">
        <x:f>(D220-C220)*1000</x:f>
        <x:v>3740.0706460608717</x:v>
      </x:c>
      <x:c r="F220" s="40" t="n">
        <x:f>E220/Inputs!$C$12</x:f>
        <x:v>2101.1632843038606</x:v>
      </x:c>
      <x:c r="G220" s="40" t="n">
        <x:f>2*E220/Inputs!$C$21*1000000</x:f>
        <x:v>24.951065620609253</x:v>
      </x:c>
      <x:c r="H220" s="40" t="n">
        <x:f>SQRT(A220^2+Inputs!$C$6^2)</x:f>
        <x:v>55.00909015790027</x:v>
      </x:c>
      <x:c r="I220" s="40" t="n">
        <x:f>DEGREES(ATAN(H220/B220))</x:f>
        <x:v>7.779113570233542</x:v>
      </x:c>
      <x:c r="J220" s="40" t="n">
        <x:f>DEGREES((2*PI()/Inputs!$C$13)*Inputs!$C$15*SIN(RADIANS(I220)))</x:f>
        <x:v>48.727583715832836</x:v>
      </x:c>
      <x:c r="K220" s="40" t="n">
        <x:f>(C220/D220)^4</x:f>
        <x:v>0.9636940254317625</x:v>
      </x:c>
      <x:c r="L220" s="40" t="n">
        <x:f>10*LOG10(K220)</x:f>
        <x:v>-0.160608334827098</x:v>
      </x:c>
      <x:c r="M220" s="40" t="n">
        <x:f>2*(Inputs!$C$9/(Inputs!$C$10^2))*A220</x:f>
        <x:v>0.10888888888888888</x:v>
      </x:c>
      <x:c r="N220" s="40" t="n">
        <x:f>M220*Inputs!$C$11</x:f>
        <x:v>0.43555555555555553</x:v>
      </x:c>
      <x:c r="O220" s="40" t="n">
        <x:f>1000*((A220*Inputs!$C$11)+(B220*N220))/D220</x:f>
        <x:v>913.8213966453919</x:v>
      </x:c>
      <x:c r="P220" s="40" t="n">
        <x:f>-2*O220/Inputs!$C$13</x:f>
        <x:v>-365.5285586581568</x:v>
      </x:c>
      <x:c r="Q220" s="40" t="n">
        <x:f>-2*O220/Inputs!$C$14</x:f>
        <x:v>-54.884167966690214</x:v>
      </x:c>
      <x:c r="R220" s="40" t="n">
        <x:f>F220-Inputs!$C$16/2</x:f>
        <x:v>2086.1632843038606</x:v>
      </x:c>
      <x:c r="S220" s="40" t="n">
        <x:f>F220+Inputs!$C$16/2</x:f>
        <x:v>2116.1632843038606</x:v>
      </x:c>
      <x:c r="T220" s="40" t="n">
        <x:f>F220-Inputs!$C$17/2</x:f>
        <x:v>1951.1632843038606</x:v>
      </x:c>
      <x:c r="U220" s="40" t="n">
        <x:f>F220+Inputs!$C$17/2</x:f>
        <x:v>2251.1632843038606</x:v>
      </x:c>
      <x:c r="V220" s="40" t="n">
        <x:f>ABS(P220)</x:f>
        <x:v>365.5285586581568</x:v>
      </x:c>
      <x:c r="W220" s="40" t="n">
        <x:f>ABS(Q220)</x:f>
        <x:v>54.884167966690214</x:v>
      </x:c>
      <x:c r="X220" s="40" t="n">
        <x:f>IF(Inputs!$C$27="ON",1,0)*(Inputs!$C$28*EXP(-(((A220)-Inputs!$C$29)^2)/(2*Inputs!$C$31^2))*EXP(-(((0)-Inputs!$C$30)^2)/(2*Inputs!$C$32^2))+-Inputs!$C$33*EXP(-(((((A220)-Inputs!$C$34)^2)+(((0)-Inputs!$C$35)^2))/(2*Inputs!$C$36^2)))+Inputs!$C$37*(0.55*SIN(2*PI()*(A220)/Inputs!$C$39)+0.35*COS(2*PI()*(0)/Inputs!$C$40)+0.2*SIN(2*PI()*((A220)+(0))/(0.5*(Inputs!$C$39+Inputs!$C$40))))+Inputs!$C$38*SIN(2*PI()*(A220)/Inputs!$C$39)*SIN(2*PI()*(0)/Inputs!$C$40)+-Inputs!$C$41*EXP(-(((0)-Inputs!$C$43)^2)/(2*Inputs!$C$44^2))*EXP(-(((A220)-Inputs!$C$42)^2)/(2*Inputs!$C$45^2)))</x:f>
        <x:v>-3.7212803960716743</x:v>
      </x:c>
      <x:c r="Y220" s="40" t="n">
        <x:f>IF(Inputs!$C$27="ON",1,0)*(Inputs!$C$28*EXP(-(((A220)-Inputs!$C$29)^2)/(2*Inputs!$C$31^2))*EXP(-(((Inputs!$C$6)-Inputs!$C$30)^2)/(2*Inputs!$C$32^2))+-Inputs!$C$33*EXP(-(((((A220)-Inputs!$C$34)^2)+(((Inputs!$C$6)-Inputs!$C$35)^2))/(2*Inputs!$C$36^2)))+Inputs!$C$37*(0.55*SIN(2*PI()*(A220)/Inputs!$C$39)+0.35*COS(2*PI()*(Inputs!$C$6)/Inputs!$C$40)+0.2*SIN(2*PI()*((A220)+(Inputs!$C$6))/(0.5*(Inputs!$C$39+Inputs!$C$40))))+Inputs!$C$38*SIN(2*PI()*(A220)/Inputs!$C$39)*SIN(2*PI()*(Inputs!$C$6)/Inputs!$C$40)+-Inputs!$C$41*EXP(-(((Inputs!$C$6)-Inputs!$C$43)^2)/(2*Inputs!$C$44^2))*EXP(-(((A220)-Inputs!$C$42)^2)/(2*Inputs!$C$45^2)))</x:f>
        <x:v>5.51574023059921</x:v>
      </x:c>
      <x:c r="Z220" s="40" t="n">
        <x:f>B220-X220/1000</x:f>
        <x:v>402.6714990581738</x:v>
      </x:c>
      <x:c r="AA220" s="40" t="n">
        <x:f>SQRT(A220^2+Inputs!$C$6^2+(B220-Y220/1000)^2)</x:f>
        <x:v>406.4023834442833</x:v>
      </x:c>
      <x:c r="AB220" s="40" t="n">
        <x:f>(AA220-Z220)*1000</x:f>
        <x:v>3730.8843861094942</x:v>
      </x:c>
      <x:c r="AC220" s="40" t="n">
        <x:f>AB220/Inputs!$C$12</x:f>
        <x:v>2096.0024641064574</x:v>
      </x:c>
      <x:c r="AD220" s="40" t="n">
        <x:f>2*AB220/Inputs!$C$21*1000000</x:f>
        <x:v>24.88978149083053</x:v>
      </x:c>
      <x:c r="AE220" s="40" t="n">
        <x:f>DEGREES(ATAN(H220/(B220-Y220/1000)))</x:f>
        <x:v>7.779218825192459</x:v>
      </x:c>
      <x:c r="AF220" s="40" t="n">
        <x:f>DEGREES((2*PI()/Inputs!$C$13)*Inputs!$C$15*SIN(RADIANS(AE220)))</x:f>
        <x:v>48.72823896604699</x:v>
      </x:c>
      <x:c r="AG220" s="40" t="n">
        <x:f>(Z220/AA220)^4</x:f>
        <x:v>0.9637814890475485</x:v>
      </x:c>
      <x:c r="AH220" s="40" t="n">
        <x:f>10*LOG10(AG220)</x:f>
        <x:v>-0.160214192692021</x:v>
      </x:c>
      <x:c r="AI220" s="40" t="n">
        <x:f>AC220-F220</x:f>
        <x:v>-5.1608201974031545</x:v>
      </x:c>
      <x:c r="AJ220" s="40" t="n">
        <x:f>AD220-G220</x:f>
        <x:v>-0.06128412977872344</x:v>
      </x:c>
      <x:c r="AK220" s="40" t="n">
        <x:f>Y220-X220</x:f>
        <x:v>9.237020626670883</x:v>
      </x:c>
      <x:c r="AL220" s="40" t="n">
        <x:f>1000*(AA221-AA219)/(A221-A219)*Inputs!$C$11</x:f>
        <x:v>921.6648381220693</x:v>
      </x:c>
      <x:c r="AM220" s="40" t="n">
        <x:f>-2*AL220/Inputs!$C$13</x:f>
        <x:v>-368.66593524882774</x:v>
      </x:c>
      <x:c r="AN220" s="40" t="n">
        <x:f>-2*AL220/Inputs!$C$14</x:f>
        <x:v>-55.35524553285702</x:v>
      </x:c>
      <x:c r="AO220" s="40" t="n">
        <x:f>ABS(AM220)</x:f>
        <x:v>368.66593524882774</x:v>
      </x:c>
      <x:c r="AP220" s="40" t="n">
        <x:f>ABS(AN220)</x:f>
        <x:v>55.35524553285702</x:v>
      </x:c>
      <x:c r="AQ220" s="40" t="n">
        <x:f>IF(Inputs!$C$27="ON",Inputs!$C$46/Inputs!$C$12,0)</x:f>
        <x:v>42.13483146067416</x:v>
      </x:c>
      <x:c r="AR220" s="40" t="n">
        <x:f>AC220-AQ220</x:f>
        <x:v>2053.867632645783</x:v>
      </x:c>
      <x:c r="AS220" s="40" t="n">
        <x:f>AC220+AQ220</x:f>
        <x:v>2138.137295567132</x:v>
      </x:c>
    </x:row>
    <x:row r="221">
      <x:c r="A221" s="40" t="n">
        <x:f>Inputs!$C$7+219*(Inputs!$C$8-Inputs!$C$7)/240</x:f>
        <x:v>49.5</x:v>
      </x:c>
      <x:c r="B221" s="40" t="n">
        <x:f>Inputs!$C$5+Inputs!$C$9*(A221/Inputs!$C$10)^2</x:f>
        <x:v>402.7225</x:v>
      </x:c>
      <x:c r="C221" s="40" t="n">
        <x:f>B221</x:f>
        <x:v>402.7225</x:v>
      </x:c>
      <x:c r="D221" s="40" t="n">
        <x:f>SQRT(A221^2+Inputs!$C$6^2+B221^2)</x:f>
        <x:v>406.5226463633361</x:v>
      </x:c>
      <x:c r="E221" s="40" t="n">
        <x:f>(D221-C221)*1000</x:f>
        <x:v>3800.1463633360686</x:v>
      </x:c>
      <x:c r="F221" s="40" t="n">
        <x:f>E221/Inputs!$C$12</x:f>
        <x:v>2134.9136872674544</x:v>
      </x:c>
      <x:c r="G221" s="40" t="n">
        <x:f>2*E221/Inputs!$C$21*1000000</x:f>
        <x:v>25.351847666134873</x:v>
      </x:c>
      <x:c r="H221" s="40" t="n">
        <x:f>SQRT(A221^2+Inputs!$C$6^2)</x:f>
        <x:v>55.45493666031907</x:v>
      </x:c>
      <x:c r="I221" s="40" t="n">
        <x:f>DEGREES(ATAN(H221/B221))</x:f>
        <x:v>7.84032949187448</x:v>
      </x:c>
      <x:c r="J221" s="40" t="n">
        <x:f>DEGREES((2*PI()/Inputs!$C$13)*Inputs!$C$15*SIN(RADIANS(I221)))</x:f>
        <x:v>49.108647147475075</x:v>
      </x:c>
      <x:c r="K221" s="40" t="n">
        <x:f>(C221/D221)^4</x:f>
        <x:v>0.9631293122466821</x:v>
      </x:c>
      <x:c r="L221" s="40" t="n">
        <x:f>10*LOG10(K221)</x:f>
        <x:v>-0.163153994539274</x:v>
      </x:c>
      <x:c r="M221" s="40" t="n">
        <x:f>2*(Inputs!$C$9/(Inputs!$C$10^2))*A221</x:f>
        <x:v>0.11</x:v>
      </x:c>
      <x:c r="N221" s="40" t="n">
        <x:f>M221*Inputs!$C$11</x:f>
        <x:v>0.44</x:v>
      </x:c>
      <x:c r="O221" s="40" t="n">
        <x:f>1000*((A221*Inputs!$C$11)+(B221*N221))/D221</x:f>
        <x:v>922.9446461505638</x:v>
      </x:c>
      <x:c r="P221" s="40" t="n">
        <x:f>-2*O221/Inputs!$C$13</x:f>
        <x:v>-369.17785846022554</x:v>
      </x:c>
      <x:c r="Q221" s="40" t="n">
        <x:f>-2*O221/Inputs!$C$14</x:f>
        <x:v>-55.43211087991375</x:v>
      </x:c>
      <x:c r="R221" s="40" t="n">
        <x:f>F221-Inputs!$C$16/2</x:f>
        <x:v>2119.9136872674544</x:v>
      </x:c>
      <x:c r="S221" s="40" t="n">
        <x:f>F221+Inputs!$C$16/2</x:f>
        <x:v>2149.9136872674544</x:v>
      </x:c>
      <x:c r="T221" s="40" t="n">
        <x:f>F221-Inputs!$C$17/2</x:f>
        <x:v>1984.9136872674544</x:v>
      </x:c>
      <x:c r="U221" s="40" t="n">
        <x:f>F221+Inputs!$C$17/2</x:f>
        <x:v>2284.9136872674544</x:v>
      </x:c>
      <x:c r="V221" s="40" t="n">
        <x:f>ABS(P221)</x:f>
        <x:v>369.17785846022554</x:v>
      </x:c>
      <x:c r="W221" s="40" t="n">
        <x:f>ABS(Q221)</x:f>
        <x:v>55.43211087991375</x:v>
      </x:c>
      <x:c r="X221" s="40" t="n">
        <x:f>IF(Inputs!$C$27="ON",1,0)*(Inputs!$C$28*EXP(-(((A221)-Inputs!$C$29)^2)/(2*Inputs!$C$31^2))*EXP(-(((0)-Inputs!$C$30)^2)/(2*Inputs!$C$32^2))+-Inputs!$C$33*EXP(-(((((A221)-Inputs!$C$34)^2)+(((0)-Inputs!$C$35)^2))/(2*Inputs!$C$36^2)))+Inputs!$C$37*(0.55*SIN(2*PI()*(A221)/Inputs!$C$39)+0.35*COS(2*PI()*(0)/Inputs!$C$40)+0.2*SIN(2*PI()*((A221)+(0))/(0.5*(Inputs!$C$39+Inputs!$C$40))))+Inputs!$C$38*SIN(2*PI()*(A221)/Inputs!$C$39)*SIN(2*PI()*(0)/Inputs!$C$40)+-Inputs!$C$41*EXP(-(((0)-Inputs!$C$43)^2)/(2*Inputs!$C$44^2))*EXP(-(((A221)-Inputs!$C$42)^2)/(2*Inputs!$C$45^2)))</x:f>
        <x:v>-4.7757158824539765</x:v>
      </x:c>
      <x:c r="Y221" s="40" t="n">
        <x:f>IF(Inputs!$C$27="ON",1,0)*(Inputs!$C$28*EXP(-(((A221)-Inputs!$C$29)^2)/(2*Inputs!$C$31^2))*EXP(-(((Inputs!$C$6)-Inputs!$C$30)^2)/(2*Inputs!$C$32^2))+-Inputs!$C$33*EXP(-(((((A221)-Inputs!$C$34)^2)+(((Inputs!$C$6)-Inputs!$C$35)^2))/(2*Inputs!$C$36^2)))+Inputs!$C$37*(0.55*SIN(2*PI()*(A221)/Inputs!$C$39)+0.35*COS(2*PI()*(Inputs!$C$6)/Inputs!$C$40)+0.2*SIN(2*PI()*((A221)+(Inputs!$C$6))/(0.5*(Inputs!$C$39+Inputs!$C$40))))+Inputs!$C$38*SIN(2*PI()*(A221)/Inputs!$C$39)*SIN(2*PI()*(Inputs!$C$6)/Inputs!$C$40)+-Inputs!$C$41*EXP(-(((Inputs!$C$6)-Inputs!$C$43)^2)/(2*Inputs!$C$44^2))*EXP(-(((A221)-Inputs!$C$42)^2)/(2*Inputs!$C$45^2)))</x:f>
        <x:v>5.469200896391602</x:v>
      </x:c>
      <x:c r="Z221" s="40" t="n">
        <x:f>B221-X221/1000</x:f>
        <x:v>402.72727571588246</x:v>
      </x:c>
      <x:c r="AA221" s="40" t="n">
        <x:f>SQRT(A221^2+Inputs!$C$6^2+(B221-Y221/1000)^2)</x:f>
        <x:v>406.5172282888465</x:v>
      </x:c>
      <x:c r="AB221" s="40" t="n">
        <x:f>(AA221-Z221)*1000</x:f>
        <x:v>3789.9525729640686</x:v>
      </x:c>
      <x:c r="AC221" s="40" t="n">
        <x:f>AB221/Inputs!$C$12</x:f>
        <x:v>2129.186838743859</x:v>
      </x:c>
      <x:c r="AD221" s="40" t="n">
        <x:f>2*AB221/Inputs!$C$21*1000000</x:f>
        <x:v>25.28384201689336</x:v>
      </x:c>
      <x:c r="AE221" s="40" t="n">
        <x:f>DEGREES(ATAN(H221/(B221-Y221/1000)))</x:f>
        <x:v>7.840434645202526</x:v>
      </x:c>
      <x:c r="AF221" s="40" t="n">
        <x:f>DEGREES((2*PI()/Inputs!$C$13)*Inputs!$C$15*SIN(RADIANS(AE221)))</x:f>
        <x:v>49.10930166907911</x:v>
      </x:c>
      <x:c r="AG221" s="40" t="n">
        <x:f>(Z221/AA221)^4</x:f>
        <x:v>0.9632263483668718</x:v>
      </x:c>
      <x:c r="AH221" s="40" t="n">
        <x:f>10*LOG10(AG221)</x:f>
        <x:v>-0.16271646109266302</x:v>
      </x:c>
      <x:c r="AI221" s="40" t="n">
        <x:f>AC221-F221</x:f>
        <x:v>-5.726848523595436</x:v>
      </x:c>
      <x:c r="AJ221" s="40" t="n">
        <x:f>AD221-G221</x:f>
        <x:v>-0.06800564924151331</x:v>
      </x:c>
      <x:c r="AK221" s="40" t="n">
        <x:f>Y221-X221</x:f>
        <x:v>10.244916778845578</x:v>
      </x:c>
      <x:c r="AL221" s="40" t="n">
        <x:f>1000*(AA222-AA220)/(A222-A220)*Inputs!$C$11</x:f>
        <x:v>916.206962795286</x:v>
      </x:c>
      <x:c r="AM221" s="40" t="n">
        <x:f>-2*AL221/Inputs!$C$13</x:f>
        <x:v>-366.4827851181144</x:v>
      </x:c>
      <x:c r="AN221" s="40" t="n">
        <x:f>-2*AL221/Inputs!$C$14</x:f>
        <x:v>-55.0274452129301</x:v>
      </x:c>
      <x:c r="AO221" s="40" t="n">
        <x:f>ABS(AM221)</x:f>
        <x:v>366.4827851181144</x:v>
      </x:c>
      <x:c r="AP221" s="40" t="n">
        <x:f>ABS(AN221)</x:f>
        <x:v>55.0274452129301</x:v>
      </x:c>
      <x:c r="AQ221" s="40" t="n">
        <x:f>IF(Inputs!$C$27="ON",Inputs!$C$46/Inputs!$C$12,0)</x:f>
        <x:v>42.13483146067416</x:v>
      </x:c>
      <x:c r="AR221" s="40" t="n">
        <x:f>AC221-AQ221</x:f>
        <x:v>2087.0520072831846</x:v>
      </x:c>
      <x:c r="AS221" s="40" t="n">
        <x:f>AC221+AQ221</x:f>
        <x:v>2171.3216702045333</x:v>
      </x:c>
    </x:row>
    <x:row r="222">
      <x:c r="A222" s="40" t="n">
        <x:f>Inputs!$C$7+220*(Inputs!$C$8-Inputs!$C$7)/240</x:f>
        <x:v>50</x:v>
      </x:c>
      <x:c r="B222" s="40" t="n">
        <x:f>Inputs!$C$5+Inputs!$C$9*(A222/Inputs!$C$10)^2</x:f>
        <x:v>402.77777777777777</x:v>
      </x:c>
      <x:c r="C222" s="40" t="n">
        <x:f>B222</x:f>
        <x:v>402.77777777777777</x:v>
      </x:c>
      <x:c r="D222" s="40" t="n">
        <x:f>SQRT(A222^2+Inputs!$C$6^2+B222^2)</x:f>
        <x:v>406.63858433700676</x:v>
      </x:c>
      <x:c r="E222" s="40" t="n">
        <x:f>(D222-C222)*1000</x:f>
        <x:v>3860.8065592289904</x:v>
      </x:c>
      <x:c r="F222" s="40" t="n">
        <x:f>E222/Inputs!$C$12</x:f>
        <x:v>2168.9924490050507</x:v>
      </x:c>
      <x:c r="G222" s="40" t="n">
        <x:f>2*E222/Inputs!$C$21*1000000</x:f>
        <x:v>25.756528933286177</x:v>
      </x:c>
      <x:c r="H222" s="40" t="n">
        <x:f>SQRT(A222^2+Inputs!$C$6^2)</x:f>
        <x:v>55.90169943749474</x:v>
      </x:c>
      <x:c r="I222" s="40" t="n">
        <x:f>DEGREES(ATAN(H222/B222))</x:f>
        <x:v>7.901627897264307</x:v>
      </x:c>
      <x:c r="J222" s="40" t="n">
        <x:f>DEGREES((2*PI()/Inputs!$C$13)*Inputs!$C$15*SIN(RADIANS(I222)))</x:f>
        <x:v>49.490167860754674</x:v>
      </x:c>
      <x:c r="K222" s="40" t="n">
        <x:f>(C222/D222)^4</x:f>
        <x:v>0.9625596822087733</x:v>
      </x:c>
      <x:c r="L222" s="40" t="n">
        <x:f>10*LOG10(K222)</x:f>
        <x:v>-0.165723331437579</x:v>
      </x:c>
      <x:c r="M222" s="40" t="n">
        <x:f>2*(Inputs!$C$9/(Inputs!$C$10^2))*A222</x:f>
        <x:v>0.1111111111111111</x:v>
      </x:c>
      <x:c r="N222" s="40" t="n">
        <x:f>M222*Inputs!$C$11</x:f>
        <x:v>0.4444444444444444</x:v>
      </x:c>
      <x:c r="O222" s="40" t="n">
        <x:f>1000*((A222*Inputs!$C$11)+(B222*N222))/D222</x:f>
        <x:v>932.061934793923</x:v>
      </x:c>
      <x:c r="P222" s="40" t="n">
        <x:f>-2*O222/Inputs!$C$13</x:f>
        <x:v>-372.8247739175692</x:v>
      </x:c>
      <x:c r="Q222" s="40" t="n">
        <x:f>-2*O222/Inputs!$C$14</x:f>
        <x:v>-55.979695783418805</x:v>
      </x:c>
      <x:c r="R222" s="40" t="n">
        <x:f>F222-Inputs!$C$16/2</x:f>
        <x:v>2153.9924490050507</x:v>
      </x:c>
      <x:c r="S222" s="40" t="n">
        <x:f>F222+Inputs!$C$16/2</x:f>
        <x:v>2183.9924490050507</x:v>
      </x:c>
      <x:c r="T222" s="40" t="n">
        <x:f>F222-Inputs!$C$17/2</x:f>
        <x:v>2018.9924490050507</x:v>
      </x:c>
      <x:c r="U222" s="40" t="n">
        <x:f>F222+Inputs!$C$17/2</x:f>
        <x:v>2318.9924490050507</x:v>
      </x:c>
      <x:c r="V222" s="40" t="n">
        <x:f>ABS(P222)</x:f>
        <x:v>372.8247739175692</x:v>
      </x:c>
      <x:c r="W222" s="40" t="n">
        <x:f>ABS(Q222)</x:f>
        <x:v>55.979695783418805</x:v>
      </x:c>
      <x:c r="X222" s="40" t="n">
        <x:f>IF(Inputs!$C$27="ON",1,0)*(Inputs!$C$28*EXP(-(((A222)-Inputs!$C$29)^2)/(2*Inputs!$C$31^2))*EXP(-(((0)-Inputs!$C$30)^2)/(2*Inputs!$C$32^2))+-Inputs!$C$33*EXP(-(((((A222)-Inputs!$C$34)^2)+(((0)-Inputs!$C$35)^2))/(2*Inputs!$C$36^2)))+Inputs!$C$37*(0.55*SIN(2*PI()*(A222)/Inputs!$C$39)+0.35*COS(2*PI()*(0)/Inputs!$C$40)+0.2*SIN(2*PI()*((A222)+(0))/(0.5*(Inputs!$C$39+Inputs!$C$40))))+Inputs!$C$38*SIN(2*PI()*(A222)/Inputs!$C$39)*SIN(2*PI()*(0)/Inputs!$C$40)+-Inputs!$C$41*EXP(-(((0)-Inputs!$C$43)^2)/(2*Inputs!$C$44^2))*EXP(-(((A222)-Inputs!$C$42)^2)/(2*Inputs!$C$45^2)))</x:f>
        <x:v>-5.284241488807525</x:v>
      </x:c>
      <x:c r="Y222" s="40" t="n">
        <x:f>IF(Inputs!$C$27="ON",1,0)*(Inputs!$C$28*EXP(-(((A222)-Inputs!$C$29)^2)/(2*Inputs!$C$31^2))*EXP(-(((Inputs!$C$6)-Inputs!$C$30)^2)/(2*Inputs!$C$32^2))+-Inputs!$C$33*EXP(-(((((A222)-Inputs!$C$34)^2)+(((Inputs!$C$6)-Inputs!$C$35)^2))/(2*Inputs!$C$36^2)))+Inputs!$C$37*(0.55*SIN(2*PI()*(A222)/Inputs!$C$39)+0.35*COS(2*PI()*(Inputs!$C$6)/Inputs!$C$40)+0.2*SIN(2*PI()*((A222)+(Inputs!$C$6))/(0.5*(Inputs!$C$39+Inputs!$C$40))))+Inputs!$C$38*SIN(2*PI()*(A222)/Inputs!$C$39)*SIN(2*PI()*(Inputs!$C$6)/Inputs!$C$40)+-Inputs!$C$41*EXP(-(((Inputs!$C$6)-Inputs!$C$43)^2)/(2*Inputs!$C$44^2))*EXP(-(((A222)-Inputs!$C$42)^2)/(2*Inputs!$C$45^2)))</x:f>
        <x:v>7.217681091586282</x:v>
      </x:c>
      <x:c r="Z222" s="40" t="n">
        <x:f>B222-X222/1000</x:f>
        <x:v>402.7830620192666</x:v>
      </x:c>
      <x:c r="AA222" s="40" t="n">
        <x:f>SQRT(A222^2+Inputs!$C$6^2+(B222-Y222/1000)^2)</x:f>
        <x:v>406.63143518498214</x:v>
      </x:c>
      <x:c r="AB222" s="40" t="n">
        <x:f>(AA222-Z222)*1000</x:f>
        <x:v>3848.373165715543</x:v>
      </x:c>
      <x:c r="AC222" s="40" t="n">
        <x:f>AB222/Inputs!$C$12</x:f>
        <x:v>2162.007396469406</x:v>
      </x:c>
      <x:c r="AD222" s="40" t="n">
        <x:f>2*AB222/Inputs!$C$21*1000000</x:f>
        <x:v>25.673582260135063</x:v>
      </x:c>
      <x:c r="AE222" s="40" t="n">
        <x:f>DEGREES(ATAN(H222/(B222-Y222/1000)))</x:f>
        <x:v>7.901767706479649</x:v>
      </x:c>
      <x:c r="AF222" s="40" t="n">
        <x:f>DEGREES((2*PI()/Inputs!$C$13)*Inputs!$C$15*SIN(RADIANS(AE222)))</x:f>
        <x:v>49.4910379674487</x:v>
      </x:c>
      <x:c r="AG222" s="40" t="n">
        <x:f>(Z222/AA222)^4</x:f>
        <x:v>0.9626778943397888</x:v>
      </x:c>
      <x:c r="AH222" s="40" t="n">
        <x:f>10*LOG10(AG222)</x:f>
        <x:v>-0.16519000633647</x:v>
      </x:c>
      <x:c r="AI222" s="40" t="n">
        <x:f>AC222-F222</x:f>
        <x:v>-6.985052535644627</x:v>
      </x:c>
      <x:c r="AJ222" s="40" t="n">
        <x:f>AD222-G222</x:f>
        <x:v>-0.08294667315111326</x:v>
      </x:c>
      <x:c r="AK222" s="40" t="n">
        <x:f>Y222-X222</x:f>
        <x:v>12.501922580393806</x:v>
      </x:c>
      <x:c r="AL222" s="40" t="n">
        <x:f>1000*(AA223-AA221)/(A223-A221)*Inputs!$C$11</x:f>
        <x:v>911.6728267231338</x:v>
      </x:c>
      <x:c r="AM222" s="40" t="n">
        <x:f>-2*AL222/Inputs!$C$13</x:f>
        <x:v>-364.6691306892535</x:v>
      </x:c>
      <x:c r="AN222" s="40" t="n">
        <x:f>-2*AL222/Inputs!$C$14</x:f>
        <x:v>-54.755124728116144</x:v>
      </x:c>
      <x:c r="AO222" s="40" t="n">
        <x:f>ABS(AM222)</x:f>
        <x:v>364.6691306892535</x:v>
      </x:c>
      <x:c r="AP222" s="40" t="n">
        <x:f>ABS(AN222)</x:f>
        <x:v>54.755124728116144</x:v>
      </x:c>
      <x:c r="AQ222" s="40" t="n">
        <x:f>IF(Inputs!$C$27="ON",Inputs!$C$46/Inputs!$C$12,0)</x:f>
        <x:v>42.13483146067416</x:v>
      </x:c>
      <x:c r="AR222" s="40" t="n">
        <x:f>AC222-AQ222</x:f>
        <x:v>2119.8725650087317</x:v>
      </x:c>
      <x:c r="AS222" s="40" t="n">
        <x:f>AC222+AQ222</x:f>
        <x:v>2204.1422279300805</x:v>
      </x:c>
    </x:row>
    <x:row r="223">
      <x:c r="A223" s="40" t="n">
        <x:f>Inputs!$C$7+221*(Inputs!$C$8-Inputs!$C$7)/240</x:f>
        <x:v>50.5</x:v>
      </x:c>
      <x:c r="B223" s="40" t="n">
        <x:f>Inputs!$C$5+Inputs!$C$9*(A223/Inputs!$C$10)^2</x:f>
        <x:v>402.8336111111111</x:v>
      </x:c>
      <x:c r="C223" s="40" t="n">
        <x:f>B223</x:f>
        <x:v>402.8336111111111</x:v>
      </x:c>
      <x:c r="D223" s="40" t="n">
        <x:f>SQRT(A223^2+Inputs!$C$6^2+B223^2)</x:f>
        <x:v>406.75566159651413</x:v>
      </x:c>
      <x:c r="E223" s="40" t="n">
        <x:f>(D223-C223)*1000</x:f>
        <x:v>3922.0504854030196</x:v>
      </x:c>
      <x:c r="F223" s="40" t="n">
        <x:f>E223/Inputs!$C$12</x:f>
        <x:v>2203.39914910282</x:v>
      </x:c>
      <x:c r="G223" s="40" t="n">
        <x:f>2*E223/Inputs!$C$21*1000000</x:f>
        <x:v>26.165104429698626</x:v>
      </x:c>
      <x:c r="H223" s="40" t="n">
        <x:f>SQRT(A223^2+Inputs!$C$6^2)</x:f>
        <x:v>56.349356695529366</x:v>
      </x:c>
      <x:c r="I223" s="40" t="n">
        <x:f>DEGREES(ATAN(H223/B223))</x:f>
        <x:v>7.9630052297803156</x:v>
      </x:c>
      <x:c r="J223" s="40" t="n">
        <x:f>DEGREES((2*PI()/Inputs!$C$13)*Inputs!$C$15*SIN(RADIANS(I223)))</x:f>
        <x:v>49.87212305974802</x:v>
      </x:c>
      <x:c r="K223" s="40" t="n">
        <x:f>(C223/D223)^4</x:f>
        <x:v>0.961985158400483</x:v>
      </x:c>
      <x:c r="L223" s="40" t="n">
        <x:f>10*LOG10(K223)</x:f>
        <x:v>-0.168316282475243</x:v>
      </x:c>
      <x:c r="M223" s="40" t="n">
        <x:f>2*(Inputs!$C$9/(Inputs!$C$10^2))*A223</x:f>
        <x:v>0.11222222222222222</x:v>
      </x:c>
      <x:c r="N223" s="40" t="n">
        <x:f>M223*Inputs!$C$11</x:f>
        <x:v>0.4488888888888889</x:v>
      </x:c>
      <x:c r="O223" s="40" t="n">
        <x:f>1000*((A223*Inputs!$C$11)+(B223*N223))/D223</x:f>
        <x:v>941.1732109546285</x:v>
      </x:c>
      <x:c r="P223" s="40" t="n">
        <x:f>-2*O223/Inputs!$C$13</x:f>
        <x:v>-376.4692843818514</x:v>
      </x:c>
      <x:c r="Q223" s="40" t="n">
        <x:f>-2*O223/Inputs!$C$14</x:f>
        <x:v>-56.526919576854574</x:v>
      </x:c>
      <x:c r="R223" s="40" t="n">
        <x:f>F223-Inputs!$C$16/2</x:f>
        <x:v>2188.39914910282</x:v>
      </x:c>
      <x:c r="S223" s="40" t="n">
        <x:f>F223+Inputs!$C$16/2</x:f>
        <x:v>2218.39914910282</x:v>
      </x:c>
      <x:c r="T223" s="40" t="n">
        <x:f>F223-Inputs!$C$17/2</x:f>
        <x:v>2053.39914910282</x:v>
      </x:c>
      <x:c r="U223" s="40" t="n">
        <x:f>F223+Inputs!$C$17/2</x:f>
        <x:v>2353.39914910282</x:v>
      </x:c>
      <x:c r="V223" s="40" t="n">
        <x:f>ABS(P223)</x:f>
        <x:v>376.4692843818514</x:v>
      </x:c>
      <x:c r="W223" s="40" t="n">
        <x:f>ABS(Q223)</x:f>
        <x:v>56.526919576854574</x:v>
      </x:c>
      <x:c r="X223" s="40" t="n">
        <x:f>IF(Inputs!$C$27="ON",1,0)*(Inputs!$C$28*EXP(-(((A223)-Inputs!$C$29)^2)/(2*Inputs!$C$31^2))*EXP(-(((0)-Inputs!$C$30)^2)/(2*Inputs!$C$32^2))+-Inputs!$C$33*EXP(-(((((A223)-Inputs!$C$34)^2)+(((0)-Inputs!$C$35)^2))/(2*Inputs!$C$36^2)))+Inputs!$C$37*(0.55*SIN(2*PI()*(A223)/Inputs!$C$39)+0.35*COS(2*PI()*(0)/Inputs!$C$40)+0.2*SIN(2*PI()*((A223)+(0))/(0.5*(Inputs!$C$39+Inputs!$C$40))))+Inputs!$C$38*SIN(2*PI()*(A223)/Inputs!$C$39)*SIN(2*PI()*(0)/Inputs!$C$40)+-Inputs!$C$41*EXP(-(((0)-Inputs!$C$43)^2)/(2*Inputs!$C$44^2))*EXP(-(((A223)-Inputs!$C$42)^2)/(2*Inputs!$C$45^2)))</x:f>
        <x:v>-5.215066982826331</x:v>
      </x:c>
      <x:c r="Y223" s="40" t="n">
        <x:f>IF(Inputs!$C$27="ON",1,0)*(Inputs!$C$28*EXP(-(((A223)-Inputs!$C$29)^2)/(2*Inputs!$C$31^2))*EXP(-(((Inputs!$C$6)-Inputs!$C$30)^2)/(2*Inputs!$C$32^2))+-Inputs!$C$33*EXP(-(((((A223)-Inputs!$C$34)^2)+(((Inputs!$C$6)-Inputs!$C$35)^2))/(2*Inputs!$C$36^2)))+Inputs!$C$37*(0.55*SIN(2*PI()*(A223)/Inputs!$C$39)+0.35*COS(2*PI()*(Inputs!$C$6)/Inputs!$C$40)+0.2*SIN(2*PI()*((A223)+(Inputs!$C$6))/(0.5*(Inputs!$C$39+Inputs!$C$40))))+Inputs!$C$38*SIN(2*PI()*(A223)/Inputs!$C$39)*SIN(2*PI()*(Inputs!$C$6)/Inputs!$C$40)+-Inputs!$C$41*EXP(-(((Inputs!$C$6)-Inputs!$C$43)^2)/(2*Inputs!$C$44^2))*EXP(-(((A223)-Inputs!$C$42)^2)/(2*Inputs!$C$45^2)))</x:f>
        <x:v>10.617480325471728</x:v>
      </x:c>
      <x:c r="Z223" s="40" t="n">
        <x:f>B223-X223/1000</x:f>
        <x:v>402.83882617809394</x:v>
      </x:c>
      <x:c r="AA223" s="40" t="n">
        <x:f>SQRT(A223^2+Inputs!$C$6^2+(B223-Y223/1000)^2)</x:f>
        <x:v>406.7451464955273</x:v>
      </x:c>
      <x:c r="AB223" s="40" t="n">
        <x:f>(AA223-Z223)*1000</x:f>
        <x:v>3906.3203174333694</x:v>
      </x:c>
      <x:c r="AC223" s="40" t="n">
        <x:f>AB223/Inputs!$C$12</x:f>
        <x:v>2194.5619760861628</x:v>
      </x:c>
      <x:c r="AD223" s="40" t="n">
        <x:f>2*AB223/Inputs!$C$21*1000000</x:f>
        <x:v>26.060164044776396</x:v>
      </x:c>
      <x:c r="AE223" s="40" t="n">
        <x:f>DEGREES(ATAN(H223/(B223-Y223/1000)))</x:f>
        <x:v>7.963212423732084</x:v>
      </x:c>
      <x:c r="AF223" s="40" t="n">
        <x:f>DEGREES((2*PI()/Inputs!$C$13)*Inputs!$C$15*SIN(RADIANS(AE223)))</x:f>
        <x:v>49.87341234473376</x:v>
      </x:c>
      <x:c r="AG223" s="40" t="n">
        <x:f>(Z223/AA223)^4</x:f>
        <x:v>0.9621344599105912</x:v>
      </x:c>
      <x:c r="AH223" s="40" t="n">
        <x:f>10*LOG10(AG223)</x:f>
        <x:v>-0.167642303357803</x:v>
      </x:c>
      <x:c r="AI223" s="40" t="n">
        <x:f>AC223-F223</x:f>
        <x:v>-8.837173016657289</x:v>
      </x:c>
      <x:c r="AJ223" s="40" t="n">
        <x:f>AD223-G223</x:f>
        <x:v>-0.10494038492223012</x:v>
      </x:c>
      <x:c r="AK223" s="40" t="n">
        <x:f>Y223-X223</x:f>
        <x:v>15.832547308298059</x:v>
      </x:c>
      <x:c r="AL223" s="40" t="n">
        <x:f>1000*(AA224-AA222)/(A224-A222)*Inputs!$C$11</x:f>
        <x:v>908.4691698001279</x:v>
      </x:c>
      <x:c r="AM223" s="40" t="n">
        <x:f>-2*AL223/Inputs!$C$13</x:f>
        <x:v>-363.3876679200512</x:v>
      </x:c>
      <x:c r="AN223" s="40" t="n">
        <x:f>-2*AL223/Inputs!$C$14</x:f>
        <x:v>-54.562712900908586</x:v>
      </x:c>
      <x:c r="AO223" s="40" t="n">
        <x:f>ABS(AM223)</x:f>
        <x:v>363.3876679200512</x:v>
      </x:c>
      <x:c r="AP223" s="40" t="n">
        <x:f>ABS(AN223)</x:f>
        <x:v>54.562712900908586</x:v>
      </x:c>
      <x:c r="AQ223" s="40" t="n">
        <x:f>IF(Inputs!$C$27="ON",Inputs!$C$46/Inputs!$C$12,0)</x:f>
        <x:v>42.13483146067416</x:v>
      </x:c>
      <x:c r="AR223" s="40" t="n">
        <x:f>AC223-AQ223</x:f>
        <x:v>2152.4271446254884</x:v>
      </x:c>
      <x:c r="AS223" s="40" t="n">
        <x:f>AC223+AQ223</x:f>
        <x:v>2236.696807546837</x:v>
      </x:c>
    </x:row>
    <x:row r="224">
      <x:c r="A224" s="40" t="n">
        <x:f>Inputs!$C$7+222*(Inputs!$C$8-Inputs!$C$7)/240</x:f>
        <x:v>51</x:v>
      </x:c>
      <x:c r="B224" s="40" t="n">
        <x:f>Inputs!$C$5+Inputs!$C$9*(A224/Inputs!$C$10)^2</x:f>
        <x:v>402.89</x:v>
      </x:c>
      <x:c r="C224" s="40" t="n">
        <x:f>B224</x:f>
        <x:v>402.89</x:v>
      </x:c>
      <x:c r="D224" s="40" t="n">
        <x:f>SQRT(A224^2+Inputs!$C$6^2+B224^2)</x:f>
        <x:v>406.8738773870842</x:v>
      </x:c>
      <x:c r="E224" s="40" t="n">
        <x:f>(D224-C224)*1000</x:f>
        <x:v>3983.877387084192</x:v>
      </x:c>
      <x:c r="F224" s="40" t="n">
        <x:f>E224/Inputs!$C$12</x:f>
        <x:v>2238.133363530445</x:v>
      </x:c>
      <x:c r="G224" s="40" t="n">
        <x:f>2*E224/Inputs!$C$21*1000000</x:f>
        <x:v>26.577569120062332</x:v>
      </x:c>
      <x:c r="H224" s="40" t="n">
        <x:f>SQRT(A224^2+Inputs!$C$6^2)</x:f>
        <x:v>56.79788728465171</x:v>
      </x:c>
      <x:c r="I224" s="40" t="n">
        <x:f>DEGREES(ATAN(H224/B224))</x:f>
        <x:v>8.024458026468219</x:v>
      </x:c>
      <x:c r="J224" s="40" t="n">
        <x:f>DEGREES((2*PI()/Inputs!$C$13)*Inputs!$C$15*SIN(RADIANS(I224)))</x:f>
        <x:v>50.25449054086581</x:v>
      </x:c>
      <x:c r="K224" s="40" t="n">
        <x:f>(C224/D224)^4</x:f>
        <x:v>0.9614057640575286</x:v>
      </x:c>
      <x:c r="L224" s="40" t="n">
        <x:f>10*LOG10(K224)</x:f>
        <x:v>-0.170932784099163</x:v>
      </x:c>
      <x:c r="M224" s="40" t="n">
        <x:f>2*(Inputs!$C$9/(Inputs!$C$10^2))*A224</x:f>
        <x:v>0.11333333333333333</x:v>
      </x:c>
      <x:c r="N224" s="40" t="n">
        <x:f>M224*Inputs!$C$11</x:f>
        <x:v>0.4533333333333333</x:v>
      </x:c>
      <x:c r="O224" s="40" t="n">
        <x:f>1000*((A224*Inputs!$C$11)+(B224*N224))/D224</x:f>
        <x:v>950.2784232540663</x:v>
      </x:c>
      <x:c r="P224" s="40" t="n">
        <x:f>-2*O224/Inputs!$C$13</x:f>
        <x:v>-380.1113693016265</x:v>
      </x:c>
      <x:c r="Q224" s="40" t="n">
        <x:f>-2*O224/Inputs!$C$14</x:f>
        <x:v>-57.0737791744184</x:v>
      </x:c>
      <x:c r="R224" s="40" t="n">
        <x:f>F224-Inputs!$C$16/2</x:f>
        <x:v>2223.133363530445</x:v>
      </x:c>
      <x:c r="S224" s="40" t="n">
        <x:f>F224+Inputs!$C$16/2</x:f>
        <x:v>2253.133363530445</x:v>
      </x:c>
      <x:c r="T224" s="40" t="n">
        <x:f>F224-Inputs!$C$17/2</x:f>
        <x:v>2088.133363530445</x:v>
      </x:c>
      <x:c r="U224" s="40" t="n">
        <x:f>F224+Inputs!$C$17/2</x:f>
        <x:v>2388.133363530445</x:v>
      </x:c>
      <x:c r="V224" s="40" t="n">
        <x:f>ABS(P224)</x:f>
        <x:v>380.1113693016265</x:v>
      </x:c>
      <x:c r="W224" s="40" t="n">
        <x:f>ABS(Q224)</x:f>
        <x:v>57.0737791744184</x:v>
      </x:c>
      <x:c r="X224" s="40" t="n">
        <x:f>IF(Inputs!$C$27="ON",1,0)*(Inputs!$C$28*EXP(-(((A224)-Inputs!$C$29)^2)/(2*Inputs!$C$31^2))*EXP(-(((0)-Inputs!$C$30)^2)/(2*Inputs!$C$32^2))+-Inputs!$C$33*EXP(-(((((A224)-Inputs!$C$34)^2)+(((0)-Inputs!$C$35)^2))/(2*Inputs!$C$36^2)))+Inputs!$C$37*(0.55*SIN(2*PI()*(A224)/Inputs!$C$39)+0.35*COS(2*PI()*(0)/Inputs!$C$40)+0.2*SIN(2*PI()*((A224)+(0))/(0.5*(Inputs!$C$39+Inputs!$C$40))))+Inputs!$C$38*SIN(2*PI()*(A224)/Inputs!$C$39)*SIN(2*PI()*(0)/Inputs!$C$40)+-Inputs!$C$41*EXP(-(((0)-Inputs!$C$43)^2)/(2*Inputs!$C$44^2))*EXP(-(((A224)-Inputs!$C$42)^2)/(2*Inputs!$C$45^2)))</x:f>
        <x:v>-4.5474008489417015</x:v>
      </x:c>
      <x:c r="Y224" s="40" t="n">
        <x:f>IF(Inputs!$C$27="ON",1,0)*(Inputs!$C$28*EXP(-(((A224)-Inputs!$C$29)^2)/(2*Inputs!$C$31^2))*EXP(-(((Inputs!$C$6)-Inputs!$C$30)^2)/(2*Inputs!$C$32^2))+-Inputs!$C$33*EXP(-(((((A224)-Inputs!$C$34)^2)+(((Inputs!$C$6)-Inputs!$C$35)^2))/(2*Inputs!$C$36^2)))+Inputs!$C$37*(0.55*SIN(2*PI()*(A224)/Inputs!$C$39)+0.35*COS(2*PI()*(Inputs!$C$6)/Inputs!$C$40)+0.2*SIN(2*PI()*((A224)+(Inputs!$C$6))/(0.5*(Inputs!$C$39+Inputs!$C$40))))+Inputs!$C$38*SIN(2*PI()*(A224)/Inputs!$C$39)*SIN(2*PI()*(Inputs!$C$6)/Inputs!$C$40)+-Inputs!$C$41*EXP(-(((Inputs!$C$6)-Inputs!$C$43)^2)/(2*Inputs!$C$44^2))*EXP(-(((A224)-Inputs!$C$42)^2)/(2*Inputs!$C$45^2)))</x:f>
        <x:v>15.47645199571049</x:v>
      </x:c>
      <x:c r="Z224" s="40" t="n">
        <x:f>B224-X224/1000</x:f>
        <x:v>402.8945474008489</x:v>
      </x:c>
      <x:c r="AA224" s="40" t="n">
        <x:f>SQRT(A224^2+Inputs!$C$6^2+(B224-Y224/1000)^2)</x:f>
        <x:v>406.85855247743217</x:v>
      </x:c>
      <x:c r="AB224" s="40" t="n">
        <x:f>(AA224-Z224)*1000</x:f>
        <x:v>3964.0050765832484</x:v>
      </x:c>
      <x:c r="AC224" s="40" t="n">
        <x:f>AB224/Inputs!$C$12</x:f>
        <x:v>2226.969144147892</x:v>
      </x:c>
      <x:c r="AD224" s="40" t="n">
        <x:f>2*AB224/Inputs!$C$21*1000000</x:f>
        <x:v>26.444995334627457</x:v>
      </x:c>
      <x:c r="AE224" s="40" t="n">
        <x:f>DEGREES(ATAN(H224/(B224-Y224/1000)))</x:f>
        <x:v>8.024762271126297</x:v>
      </x:c>
      <x:c r="AF224" s="40" t="n">
        <x:f>DEGREES((2*PI()/Inputs!$C$13)*Inputs!$C$15*SIN(RADIANS(AE224)))</x:f>
        <x:v>50.2563834481734</x:v>
      </x:c>
      <x:c r="AG224" s="40" t="n">
        <x:f>(Z224/AA224)^4</x:f>
        <x:v>0.961594035782946</x:v>
      </x:c>
      <x:c r="AH224" s="40" t="n">
        <x:f>10*LOG10(AG224)</x:f>
        <x:v>-0.170082390129125</x:v>
      </x:c>
      <x:c r="AI224" s="40" t="n">
        <x:f>AC224-F224</x:f>
        <x:v>-11.164219382552801</x:v>
      </x:c>
      <x:c r="AJ224" s="40" t="n">
        <x:f>AD224-G224</x:f>
        <x:v>-0.1325737854348752</x:v>
      </x:c>
      <x:c r="AK224" s="40" t="n">
        <x:f>Y224-X224</x:f>
        <x:v>20.02385284465219</x:v>
      </x:c>
      <x:c r="AL224" s="40" t="n">
        <x:f>1000*(AA225-AA223)/(A225-A223)*Inputs!$C$11</x:f>
        <x:v>906.9497493974268</x:v>
      </x:c>
      <x:c r="AM224" s="40" t="n">
        <x:f>-2*AL224/Inputs!$C$13</x:f>
        <x:v>-362.7798997589707</x:v>
      </x:c>
      <x:c r="AN224" s="40" t="n">
        <x:f>-2*AL224/Inputs!$C$14</x:f>
        <x:v>-54.47145642026588</x:v>
      </x:c>
      <x:c r="AO224" s="40" t="n">
        <x:f>ABS(AM224)</x:f>
        <x:v>362.7798997589707</x:v>
      </x:c>
      <x:c r="AP224" s="40" t="n">
        <x:f>ABS(AN224)</x:f>
        <x:v>54.47145642026588</x:v>
      </x:c>
      <x:c r="AQ224" s="40" t="n">
        <x:f>IF(Inputs!$C$27="ON",Inputs!$C$46/Inputs!$C$12,0)</x:f>
        <x:v>42.13483146067416</x:v>
      </x:c>
      <x:c r="AR224" s="40" t="n">
        <x:f>AC224-AQ224</x:f>
        <x:v>2184.834312687218</x:v>
      </x:c>
      <x:c r="AS224" s="40" t="n">
        <x:f>AC224+AQ224</x:f>
        <x:v>2269.1039756085665</x:v>
      </x:c>
    </x:row>
    <x:row r="225">
      <x:c r="A225" s="40" t="n">
        <x:f>Inputs!$C$7+223*(Inputs!$C$8-Inputs!$C$7)/240</x:f>
        <x:v>51.5</x:v>
      </x:c>
      <x:c r="B225" s="40" t="n">
        <x:f>Inputs!$C$5+Inputs!$C$9*(A225/Inputs!$C$10)^2</x:f>
        <x:v>402.94694444444445</x:v>
      </x:c>
      <x:c r="C225" s="40" t="n">
        <x:f>B225</x:f>
        <x:v>402.94694444444445</x:v>
      </x:c>
      <x:c r="D225" s="40" t="n">
        <x:f>SQRT(A225^2+Inputs!$C$6^2+B225^2)</x:f>
        <x:v>406.9932309475358</x:v>
      </x:c>
      <x:c r="E225" s="40" t="n">
        <x:f>(D225-C225)*1000</x:f>
        <x:v>4046.2865030913235</x:v>
      </x:c>
      <x:c r="F225" s="40" t="n">
        <x:f>E225/Inputs!$C$12</x:f>
        <x:v>2273.194664658047</x:v>
      </x:c>
      <x:c r="G225" s="40" t="n">
        <x:f>2*E225/Inputs!$C$21*1000000</x:f>
        <x:v>26.99391792632304</x:v>
      </x:c>
      <x:c r="H225" s="40" t="n">
        <x:f>SQRT(A225^2+Inputs!$C$6^2)</x:f>
        <x:v>57.24727067729954</x:v>
      </x:c>
      <x:c r="I225" s="40" t="n">
        <x:f>DEGREES(ATAN(H225/B225))</x:f>
        <x:v>8.085982914919201</x:v>
      </x:c>
      <x:c r="J225" s="40" t="n">
        <x:f>DEGREES((2*PI()/Inputs!$C$13)*Inputs!$C$15*SIN(RADIANS(I225)))</x:f>
        <x:v>50.63724867326966</x:v>
      </x:c>
      <x:c r="K225" s="40" t="n">
        <x:f>(C225/D225)^4</x:f>
        <x:v>0.9608215225668301</x:v>
      </x:c>
      <x:c r="L225" s="40" t="n">
        <x:f>10*LOG10(K225)</x:f>
        <x:v>-0.173572772253406</x:v>
      </x:c>
      <x:c r="M225" s="40" t="n">
        <x:f>2*(Inputs!$C$9/(Inputs!$C$10^2))*A225</x:f>
        <x:v>0.11444444444444445</x:v>
      </x:c>
      <x:c r="N225" s="40" t="n">
        <x:f>M225*Inputs!$C$11</x:f>
        <x:v>0.4577777777777778</x:v>
      </x:c>
      <x:c r="O225" s="40" t="n">
        <x:f>1000*((A225*Inputs!$C$11)+(B225*N225))/D225</x:f>
        <x:v>959.377520557477</x:v>
      </x:c>
      <x:c r="P225" s="40" t="n">
        <x:f>-2*O225/Inputs!$C$13</x:f>
        <x:v>-383.75100822299083</x:v>
      </x:c>
      <x:c r="Q225" s="40" t="n">
        <x:f>-2*O225/Inputs!$C$14</x:f>
        <x:v>-57.62027150495358</x:v>
      </x:c>
      <x:c r="R225" s="40" t="n">
        <x:f>F225-Inputs!$C$16/2</x:f>
        <x:v>2258.194664658047</x:v>
      </x:c>
      <x:c r="S225" s="40" t="n">
        <x:f>F225+Inputs!$C$16/2</x:f>
        <x:v>2288.194664658047</x:v>
      </x:c>
      <x:c r="T225" s="40" t="n">
        <x:f>F225-Inputs!$C$17/2</x:f>
        <x:v>2123.194664658047</x:v>
      </x:c>
      <x:c r="U225" s="40" t="n">
        <x:f>F225+Inputs!$C$17/2</x:f>
        <x:v>2423.194664658047</x:v>
      </x:c>
      <x:c r="V225" s="40" t="n">
        <x:f>ABS(P225)</x:f>
        <x:v>383.75100822299083</x:v>
      </x:c>
      <x:c r="W225" s="40" t="n">
        <x:f>ABS(Q225)</x:f>
        <x:v>57.62027150495358</x:v>
      </x:c>
      <x:c r="X225" s="40" t="n">
        <x:f>IF(Inputs!$C$27="ON",1,0)*(Inputs!$C$28*EXP(-(((A225)-Inputs!$C$29)^2)/(2*Inputs!$C$31^2))*EXP(-(((0)-Inputs!$C$30)^2)/(2*Inputs!$C$32^2))+-Inputs!$C$33*EXP(-(((((A225)-Inputs!$C$34)^2)+(((0)-Inputs!$C$35)^2))/(2*Inputs!$C$36^2)))+Inputs!$C$37*(0.55*SIN(2*PI()*(A225)/Inputs!$C$39)+0.35*COS(2*PI()*(0)/Inputs!$C$40)+0.2*SIN(2*PI()*((A225)+(0))/(0.5*(Inputs!$C$39+Inputs!$C$40))))+Inputs!$C$38*SIN(2*PI()*(A225)/Inputs!$C$39)*SIN(2*PI()*(0)/Inputs!$C$40)+-Inputs!$C$41*EXP(-(((0)-Inputs!$C$43)^2)/(2*Inputs!$C$44^2))*EXP(-(((A225)-Inputs!$C$42)^2)/(2*Inputs!$C$45^2)))</x:f>
        <x:v>-3.2730125523154205</x:v>
      </x:c>
      <x:c r="Y225" s="40" t="n">
        <x:f>IF(Inputs!$C$27="ON",1,0)*(Inputs!$C$28*EXP(-(((A225)-Inputs!$C$29)^2)/(2*Inputs!$C$31^2))*EXP(-(((Inputs!$C$6)-Inputs!$C$30)^2)/(2*Inputs!$C$32^2))+-Inputs!$C$33*EXP(-(((((A225)-Inputs!$C$34)^2)+(((Inputs!$C$6)-Inputs!$C$35)^2))/(2*Inputs!$C$36^2)))+Inputs!$C$37*(0.55*SIN(2*PI()*(A225)/Inputs!$C$39)+0.35*COS(2*PI()*(Inputs!$C$6)/Inputs!$C$40)+0.2*SIN(2*PI()*((A225)+(Inputs!$C$6))/(0.5*(Inputs!$C$39+Inputs!$C$40))))+Inputs!$C$38*SIN(2*PI()*(A225)/Inputs!$C$39)*SIN(2*PI()*(Inputs!$C$6)/Inputs!$C$40)+-Inputs!$C$41*EXP(-(((Inputs!$C$6)-Inputs!$C$43)^2)/(2*Inputs!$C$44^2))*EXP(-(((A225)-Inputs!$C$42)^2)/(2*Inputs!$C$45^2)))</x:f>
        <x:v>21.561387140863644</x:v>
      </x:c>
      <x:c r="Z225" s="40" t="n">
        <x:f>B225-X225/1000</x:f>
        <x:v>402.95021745699677</x:v>
      </x:c>
      <x:c r="AA225" s="40" t="n">
        <x:f>SQRT(A225^2+Inputs!$C$6^2+(B225-Y225/1000)^2)</x:f>
        <x:v>406.97188393287666</x:v>
      </x:c>
      <x:c r="AB225" s="40" t="n">
        <x:f>(AA225-Z225)*1000</x:f>
        <x:v>4021.666475879897</x:v>
      </x:c>
      <x:c r="AC225" s="40" t="n">
        <x:f>AB225/Inputs!$C$12</x:f>
        <x:v>2259.3631886965713</x:v>
      </x:c>
      <x:c r="AD225" s="40" t="n">
        <x:f>2*AB225/Inputs!$C$21*1000000</x:f>
        <x:v>26.829670784312373</x:v>
      </x:c>
      <x:c r="AE225" s="40" t="n">
        <x:f>DEGREES(ATAN(H225/(B225-Y225/1000)))</x:f>
        <x:v>8.086409889993977</x:v>
      </x:c>
      <x:c r="AF225" s="40" t="n">
        <x:f>DEGREES((2*PI()/Inputs!$C$13)*Inputs!$C$15*SIN(RADIANS(AE225)))</x:f>
        <x:v>50.63990476361004</x:v>
      </x:c>
      <x:c r="AG225" s="40" t="n">
        <x:f>(Z225/AA225)^4</x:f>
        <x:v>0.9610543561794002</x:v>
      </x:c>
      <x:c r="AH225" s="40" t="n">
        <x:f>10*LOG10(AG225)</x:f>
        <x:v>-0.17252048417639</x:v>
      </x:c>
      <x:c r="AI225" s="40" t="n">
        <x:f>AC225-F225</x:f>
        <x:v>-13.831475961475462</x:v>
      </x:c>
      <x:c r="AJ225" s="40" t="n">
        <x:f>AD225-G225</x:f>
        <x:v>-0.16424714201066593</x:v>
      </x:c>
      <x:c r="AK225" s="40" t="n">
        <x:f>Y225-X225</x:f>
        <x:v>24.834399693179066</x:v>
      </x:c>
      <x:c r="AL225" s="40" t="n">
        <x:f>1000*(AA226-AA224)/(A226-A224)*Inputs!$C$11</x:f>
        <x:v>907.4048906040844</x:v>
      </x:c>
      <x:c r="AM225" s="40" t="n">
        <x:f>-2*AL225/Inputs!$C$13</x:f>
        <x:v>-362.96195624163374</x:v>
      </x:c>
      <x:c r="AN225" s="40" t="n">
        <x:f>-2*AL225/Inputs!$C$14</x:f>
        <x:v>-54.49879222847354</x:v>
      </x:c>
      <x:c r="AO225" s="40" t="n">
        <x:f>ABS(AM225)</x:f>
        <x:v>362.96195624163374</x:v>
      </x:c>
      <x:c r="AP225" s="40" t="n">
        <x:f>ABS(AN225)</x:f>
        <x:v>54.49879222847354</x:v>
      </x:c>
      <x:c r="AQ225" s="40" t="n">
        <x:f>IF(Inputs!$C$27="ON",Inputs!$C$46/Inputs!$C$12,0)</x:f>
        <x:v>42.13483146067416</x:v>
      </x:c>
      <x:c r="AR225" s="40" t="n">
        <x:f>AC225-AQ225</x:f>
        <x:v>2217.228357235897</x:v>
      </x:c>
      <x:c r="AS225" s="40" t="n">
        <x:f>AC225+AQ225</x:f>
        <x:v>2301.4980201572457</x:v>
      </x:c>
    </x:row>
    <x:row r="226">
      <x:c r="A226" s="40" t="n">
        <x:f>Inputs!$C$7+224*(Inputs!$C$8-Inputs!$C$7)/240</x:f>
        <x:v>52</x:v>
      </x:c>
      <x:c r="B226" s="40" t="n">
        <x:f>Inputs!$C$5+Inputs!$C$9*(A226/Inputs!$C$10)^2</x:f>
        <x:v>403.00444444444446</x:v>
      </x:c>
      <x:c r="C226" s="40" t="n">
        <x:f>B226</x:f>
        <x:v>403.00444444444446</x:v>
      </x:c>
      <x:c r="D226" s="40" t="n">
        <x:f>SQRT(A226^2+Inputs!$C$6^2+B226^2)</x:f>
        <x:v>407.11372151031134</x:v>
      </x:c>
      <x:c r="E226" s="40" t="n">
        <x:f>(D226-C226)*1000</x:f>
        <x:v>4109.277065866877</x:v>
      </x:c>
      <x:c r="F226" s="40" t="n">
        <x:f>E226/Inputs!$C$12</x:f>
        <x:v>2308.5826212735265</x:v>
      </x:c>
      <x:c r="G226" s="40" t="n">
        <x:f>2*E226/Inputs!$C$21*1000000</x:f>
        <x:v>27.414145727888037</x:v>
      </x:c>
      <x:c r="H226" s="40" t="n">
        <x:f>SQRT(A226^2+Inputs!$C$6^2)</x:f>
        <x:v>57.697486947006624</x:v>
      </x:c>
      <x:c r="I226" s="40" t="n">
        <x:f>DEGREES(ATAN(H226/B226))</x:f>
        <x:v>8.147576610261819</x:v>
      </x:c>
      <x:c r="J226" s="40" t="n">
        <x:f>DEGREES((2*PI()/Inputs!$C$13)*Inputs!$C$15*SIN(RADIANS(I226)))</x:f>
        <x:v>51.02037638000933</x:v>
      </x:c>
      <x:c r="K226" s="40" t="n">
        <x:f>(C226/D226)^4</x:f>
        <x:v>0.96023245746443</x:v>
      </x:c>
      <x:c r="L226" s="40" t="n">
        <x:f>10*LOG10(K226)</x:f>
        <x:v>-0.17623618238275698</x:v>
      </x:c>
      <x:c r="M226" s="40" t="n">
        <x:f>2*(Inputs!$C$9/(Inputs!$C$10^2))*A226</x:f>
        <x:v>0.11555555555555555</x:v>
      </x:c>
      <x:c r="N226" s="40" t="n">
        <x:f>M226*Inputs!$C$11</x:f>
        <x:v>0.4622222222222222</x:v>
      </x:c>
      <x:c r="O226" s="40" t="n">
        <x:f>1000*((A226*Inputs!$C$11)+(B226*N226))/D226</x:f>
        <x:v>968.4704519755594</x:v>
      </x:c>
      <x:c r="P226" s="40" t="n">
        <x:f>-2*O226/Inputs!$C$13</x:f>
        <x:v>-387.38818079022377</x:v>
      </x:c>
      <x:c r="Q226" s="40" t="n">
        <x:f>-2*O226/Inputs!$C$14</x:f>
        <x:v>-58.166393512045616</x:v>
      </x:c>
      <x:c r="R226" s="40" t="n">
        <x:f>F226-Inputs!$C$16/2</x:f>
        <x:v>2293.5826212735265</x:v>
      </x:c>
      <x:c r="S226" s="40" t="n">
        <x:f>F226+Inputs!$C$16/2</x:f>
        <x:v>2323.5826212735265</x:v>
      </x:c>
      <x:c r="T226" s="40" t="n">
        <x:f>F226-Inputs!$C$17/2</x:f>
        <x:v>2158.5826212735265</x:v>
      </x:c>
      <x:c r="U226" s="40" t="n">
        <x:f>F226+Inputs!$C$17/2</x:f>
        <x:v>2458.5826212735265</x:v>
      </x:c>
      <x:c r="V226" s="40" t="n">
        <x:f>ABS(P226)</x:f>
        <x:v>387.38818079022377</x:v>
      </x:c>
      <x:c r="W226" s="40" t="n">
        <x:f>ABS(Q226)</x:f>
        <x:v>58.166393512045616</x:v>
      </x:c>
      <x:c r="X226" s="40" t="n">
        <x:f>IF(Inputs!$C$27="ON",1,0)*(Inputs!$C$28*EXP(-(((A226)-Inputs!$C$29)^2)/(2*Inputs!$C$31^2))*EXP(-(((0)-Inputs!$C$30)^2)/(2*Inputs!$C$32^2))+-Inputs!$C$33*EXP(-(((((A226)-Inputs!$C$34)^2)+(((0)-Inputs!$C$35)^2))/(2*Inputs!$C$36^2)))+Inputs!$C$37*(0.55*SIN(2*PI()*(A226)/Inputs!$C$39)+0.35*COS(2*PI()*(0)/Inputs!$C$40)+0.2*SIN(2*PI()*((A226)+(0))/(0.5*(Inputs!$C$39+Inputs!$C$40))))+Inputs!$C$38*SIN(2*PI()*(A226)/Inputs!$C$39)*SIN(2*PI()*(0)/Inputs!$C$40)+-Inputs!$C$41*EXP(-(((0)-Inputs!$C$43)^2)/(2*Inputs!$C$44^2))*EXP(-(((A226)-Inputs!$C$42)^2)/(2*Inputs!$C$45^2)))</x:f>
        <x:v>-1.397658940554857</x:v>
      </x:c>
      <x:c r="Y226" s="40" t="n">
        <x:f>IF(Inputs!$C$27="ON",1,0)*(Inputs!$C$28*EXP(-(((A226)-Inputs!$C$29)^2)/(2*Inputs!$C$31^2))*EXP(-(((Inputs!$C$6)-Inputs!$C$30)^2)/(2*Inputs!$C$32^2))+-Inputs!$C$33*EXP(-(((((A226)-Inputs!$C$34)^2)+(((Inputs!$C$6)-Inputs!$C$35)^2))/(2*Inputs!$C$36^2)))+Inputs!$C$37*(0.55*SIN(2*PI()*(A226)/Inputs!$C$39)+0.35*COS(2*PI()*(Inputs!$C$6)/Inputs!$C$40)+0.2*SIN(2*PI()*((A226)+(Inputs!$C$6))/(0.5*(Inputs!$C$39+Inputs!$C$40))))+Inputs!$C$38*SIN(2*PI()*(A226)/Inputs!$C$39)*SIN(2*PI()*(Inputs!$C$6)/Inputs!$C$40)+-Inputs!$C$41*EXP(-(((Inputs!$C$6)-Inputs!$C$43)^2)/(2*Inputs!$C$44^2))*EXP(-(((A226)-Inputs!$C$42)^2)/(2*Inputs!$C$45^2)))</x:f>
        <x:v>28.606576142882343</x:v>
      </x:c>
      <x:c r="Z226" s="40" t="n">
        <x:f>B226-X226/1000</x:f>
        <x:v>403.005842103385</x:v>
      </x:c>
      <x:c r="AA226" s="40" t="n">
        <x:f>SQRT(A226^2+Inputs!$C$6^2+(B226-Y226/1000)^2)</x:f>
        <x:v>407.0854037000832</x:v>
      </x:c>
      <x:c r="AB226" s="40" t="n">
        <x:f>(AA226-Z226)*1000</x:f>
        <x:v>4079.56159669817</x:v>
      </x:c>
      <x:c r="AC226" s="40" t="n">
        <x:f>AB226/Inputs!$C$12</x:f>
        <x:v>2291.888537470882</x:v>
      </x:c>
      <x:c r="AD226" s="40" t="n">
        <x:f>2*AB226/Inputs!$C$21*1000000</x:f>
        <x:v>27.21590545615507</x:v>
      </x:c>
      <x:c r="AE226" s="40" t="n">
        <x:f>DEGREES(ATAN(H226/(B226-Y226/1000)))</x:f>
        <x:v>8.148147226518178</x:v>
      </x:c>
      <x:c r="AF226" s="40" t="n">
        <x:f>DEGREES((2*PI()/Inputs!$C$13)*Inputs!$C$15*SIN(RADIANS(AE226)))</x:f>
        <x:v>51.02392547639787</x:v>
      </x:c>
      <x:c r="AG226" s="40" t="n">
        <x:f>(Z226/AA226)^4</x:f>
        <x:v>0.9605129938803212</x:v>
      </x:c>
      <x:c r="AH226" s="40" t="n">
        <x:f>10*LOG10(AG226)</x:f>
        <x:v>-0.17496755599423203</x:v>
      </x:c>
      <x:c r="AI226" s="40" t="n">
        <x:f>AC226-F226</x:f>
        <x:v>-16.6940838026444</x:v>
      </x:c>
      <x:c r="AJ226" s="40" t="n">
        <x:f>AD226-G226</x:f>
        <x:v>-0.198240271732967</x:v>
      </x:c>
      <x:c r="AK226" s="40" t="n">
        <x:f>Y226-X226</x:f>
        <x:v>30.0042350834372</x:v>
      </x:c>
      <x:c r="AL226" s="40" t="n">
        <x:f>1000*(AA227-AA225)/(A227-A225)*Inputs!$C$11</x:f>
        <x:v>910.0534997169234</x:v>
      </x:c>
      <x:c r="AM226" s="40" t="n">
        <x:f>-2*AL226/Inputs!$C$13</x:f>
        <x:v>-364.02139988676936</x:v>
      </x:c>
      <x:c r="AN226" s="40" t="n">
        <x:f>-2*AL226/Inputs!$C$14</x:f>
        <x:v>-54.657867850866275</x:v>
      </x:c>
      <x:c r="AO226" s="40" t="n">
        <x:f>ABS(AM226)</x:f>
        <x:v>364.02139988676936</x:v>
      </x:c>
      <x:c r="AP226" s="40" t="n">
        <x:f>ABS(AN226)</x:f>
        <x:v>54.657867850866275</x:v>
      </x:c>
      <x:c r="AQ226" s="40" t="n">
        <x:f>IF(Inputs!$C$27="ON",Inputs!$C$46/Inputs!$C$12,0)</x:f>
        <x:v>42.13483146067416</x:v>
      </x:c>
      <x:c r="AR226" s="40" t="n">
        <x:f>AC226-AQ226</x:f>
        <x:v>2249.7537060102077</x:v>
      </x:c>
      <x:c r="AS226" s="40" t="n">
        <x:f>AC226+AQ226</x:f>
        <x:v>2334.0233689315564</x:v>
      </x:c>
    </x:row>
    <x:row r="227">
      <x:c r="A227" s="40" t="n">
        <x:f>Inputs!$C$7+225*(Inputs!$C$8-Inputs!$C$7)/240</x:f>
        <x:v>52.5</x:v>
      </x:c>
      <x:c r="B227" s="40" t="n">
        <x:f>Inputs!$C$5+Inputs!$C$9*(A227/Inputs!$C$10)^2</x:f>
        <x:v>403.0625</x:v>
      </x:c>
      <x:c r="C227" s="40" t="n">
        <x:f>B227</x:f>
        <x:v>403.0625</x:v>
      </x:c>
      <x:c r="D227" s="40" t="n">
        <x:f>SQRT(A227^2+Inputs!$C$6^2+B227^2)</x:f>
        <x:v>407.2353483015073</x:v>
      </x:c>
      <x:c r="E227" s="40" t="n">
        <x:f>(D227-C227)*1000</x:f>
        <x:v>4172.848301507315</x:v>
      </x:c>
      <x:c r="F227" s="40" t="n">
        <x:f>E227/Inputs!$C$12</x:f>
        <x:v>2344.296798599615</x:v>
      </x:c>
      <x:c r="G227" s="40" t="n">
        <x:f>2*E227/Inputs!$C$21*1000000</x:f>
        <x:v>27.838247361828664</x:v>
      </x:c>
      <x:c r="H227" s="40" t="n">
        <x:f>SQRT(A227^2+Inputs!$C$6^2)</x:f>
        <x:v>58.148516748065035</x:v>
      </x:c>
      <x:c r="I227" s="40" t="n">
        <x:f>DEGREES(ATAN(H227/B227))</x:f>
        <x:v>8.2092359122646</x:v>
      </x:c>
      <x:c r="J227" s="40" t="n">
        <x:f>DEGREES((2*PI()/Inputs!$C$13)*Inputs!$C$15*SIN(RADIANS(I227)))</x:f>
        <x:v>51.403853119854354</x:v>
      </x:c>
      <x:c r="K227" s="40" t="n">
        <x:f>(C227/D227)^4</x:f>
        <x:v>0.9596385924334114</x:v>
      </x:c>
      <x:c r="L227" s="40" t="n">
        <x:f>10*LOG10(K227)</x:f>
        <x:v>-0.178922949436266</x:v>
      </x:c>
      <x:c r="M227" s="40" t="n">
        <x:f>2*(Inputs!$C$9/(Inputs!$C$10^2))*A227</x:f>
        <x:v>0.11666666666666667</x:v>
      </x:c>
      <x:c r="N227" s="40" t="n">
        <x:f>M227*Inputs!$C$11</x:f>
        <x:v>0.4666666666666667</x:v>
      </x:c>
      <x:c r="O227" s="40" t="n">
        <x:f>1000*((A227*Inputs!$C$11)+(B227*N227))/D227</x:f>
        <x:v>977.5571668660567</x:v>
      </x:c>
      <x:c r="P227" s="40" t="n">
        <x:f>-2*O227/Inputs!$C$13</x:f>
        <x:v>-391.02286674642266</x:v>
      </x:c>
      <x:c r="Q227" s="40" t="n">
        <x:f>-2*O227/Inputs!$C$14</x:f>
        <x:v>-58.71214215411752</x:v>
      </x:c>
      <x:c r="R227" s="40" t="n">
        <x:f>F227-Inputs!$C$16/2</x:f>
        <x:v>2329.296798599615</x:v>
      </x:c>
      <x:c r="S227" s="40" t="n">
        <x:f>F227+Inputs!$C$16/2</x:f>
        <x:v>2359.296798599615</x:v>
      </x:c>
      <x:c r="T227" s="40" t="n">
        <x:f>F227-Inputs!$C$17/2</x:f>
        <x:v>2194.296798599615</x:v>
      </x:c>
      <x:c r="U227" s="40" t="n">
        <x:f>F227+Inputs!$C$17/2</x:f>
        <x:v>2494.296798599615</x:v>
      </x:c>
      <x:c r="V227" s="40" t="n">
        <x:f>ABS(P227)</x:f>
        <x:v>391.02286674642266</x:v>
      </x:c>
      <x:c r="W227" s="40" t="n">
        <x:f>ABS(Q227)</x:f>
        <x:v>58.71214215411752</x:v>
      </x:c>
      <x:c r="X227" s="40" t="n">
        <x:f>IF(Inputs!$C$27="ON",1,0)*(Inputs!$C$28*EXP(-(((A227)-Inputs!$C$29)^2)/(2*Inputs!$C$31^2))*EXP(-(((0)-Inputs!$C$30)^2)/(2*Inputs!$C$32^2))+-Inputs!$C$33*EXP(-(((((A227)-Inputs!$C$34)^2)+(((0)-Inputs!$C$35)^2))/(2*Inputs!$C$36^2)))+Inputs!$C$37*(0.55*SIN(2*PI()*(A227)/Inputs!$C$39)+0.35*COS(2*PI()*(0)/Inputs!$C$40)+0.2*SIN(2*PI()*((A227)+(0))/(0.5*(Inputs!$C$39+Inputs!$C$40))))+Inputs!$C$38*SIN(2*PI()*(A227)/Inputs!$C$39)*SIN(2*PI()*(0)/Inputs!$C$40)+-Inputs!$C$41*EXP(-(((0)-Inputs!$C$43)^2)/(2*Inputs!$C$44^2))*EXP(-(((A227)-Inputs!$C$42)^2)/(2*Inputs!$C$45^2)))</x:f>
        <x:v>1.057719944677313</x:v>
      </x:c>
      <x:c r="Y227" s="40" t="n">
        <x:f>IF(Inputs!$C$27="ON",1,0)*(Inputs!$C$28*EXP(-(((A227)-Inputs!$C$29)^2)/(2*Inputs!$C$31^2))*EXP(-(((Inputs!$C$6)-Inputs!$C$30)^2)/(2*Inputs!$C$32^2))+-Inputs!$C$33*EXP(-(((((A227)-Inputs!$C$34)^2)+(((Inputs!$C$6)-Inputs!$C$35)^2))/(2*Inputs!$C$36^2)))+Inputs!$C$37*(0.55*SIN(2*PI()*(A227)/Inputs!$C$39)+0.35*COS(2*PI()*(Inputs!$C$6)/Inputs!$C$40)+0.2*SIN(2*PI()*((A227)+(Inputs!$C$6))/(0.5*(Inputs!$C$39+Inputs!$C$40))))+Inputs!$C$38*SIN(2*PI()*(A227)/Inputs!$C$39)*SIN(2*PI()*(Inputs!$C$6)/Inputs!$C$40)+-Inputs!$C$41*EXP(-(((Inputs!$C$6)-Inputs!$C$43)^2)/(2*Inputs!$C$44^2))*EXP(-(((A227)-Inputs!$C$42)^2)/(2*Inputs!$C$45^2)))</x:f>
        <x:v>36.32322255991018</x:v>
      </x:c>
      <x:c r="Z227" s="40" t="n">
        <x:f>B227-X227/1000</x:f>
        <x:v>403.0614422800553</x:v>
      </x:c>
      <x:c r="AA227" s="40" t="n">
        <x:f>SQRT(A227^2+Inputs!$C$6^2+(B227-Y227/1000)^2)</x:f>
        <x:v>407.1993973078059</x:v>
      </x:c>
      <x:c r="AB227" s="40" t="n">
        <x:f>(AA227-Z227)*1000</x:f>
        <x:v>4137.955027750593</x:v>
      </x:c>
      <x:c r="AC227" s="40" t="n">
        <x:f>AB227/Inputs!$C$12</x:f>
        <x:v>2324.69383581494</x:v>
      </x:c>
      <x:c r="AD227" s="40" t="n">
        <x:f>2*AB227/Inputs!$C$21*1000000</x:f>
        <x:v>27.605464496045414</x:v>
      </x:c>
      <x:c r="AE227" s="40" t="n">
        <x:f>DEGREES(ATAN(H227/(B227-Y227/1000)))</x:f>
        <x:v>8.209965694102433</x:v>
      </x:c>
      <x:c r="AF227" s="40" t="n">
        <x:f>DEGREES((2*PI()/Inputs!$C$13)*Inputs!$C$15*SIN(RADIANS(AE227)))</x:f>
        <x:v>51.40839148511708</x:v>
      </x:c>
      <x:c r="AG227" s="40" t="n">
        <x:f>(Z227/AA227)^4</x:f>
        <x:v>0.9599674605551288</x:v>
      </x:c>
      <x:c r="AH227" s="40" t="n">
        <x:f>10*LOG10(AG227)</x:f>
        <x:v>-0.17743487732156601</x:v>
      </x:c>
      <x:c r="AI227" s="40" t="n">
        <x:f>AC227-F227</x:f>
        <x:v>-19.602962784675128</x:v>
      </x:c>
      <x:c r="AJ227" s="40" t="n">
        <x:f>AD227-G227</x:f>
        <x:v>-0.2327828657832498</x:v>
      </x:c>
      <x:c r="AK227" s="40" t="n">
        <x:f>Y227-X227</x:f>
        <x:v>35.26550261523286</x:v>
      </x:c>
      <x:c r="AL227" s="40" t="n">
        <x:f>1000*(AA228-AA226)/(A228-A226)*Inputs!$C$11</x:f>
        <x:v>915.0377473465596</x:v>
      </x:c>
      <x:c r="AM227" s="40" t="n">
        <x:f>-2*AL227/Inputs!$C$13</x:f>
        <x:v>-366.01509893862385</x:v>
      </x:c>
      <x:c r="AN227" s="40" t="n">
        <x:f>-2*AL227/Inputs!$C$14</x:f>
        <x:v>-54.95722206285644</x:v>
      </x:c>
      <x:c r="AO227" s="40" t="n">
        <x:f>ABS(AM227)</x:f>
        <x:v>366.01509893862385</x:v>
      </x:c>
      <x:c r="AP227" s="40" t="n">
        <x:f>ABS(AN227)</x:f>
        <x:v>54.95722206285644</x:v>
      </x:c>
      <x:c r="AQ227" s="40" t="n">
        <x:f>IF(Inputs!$C$27="ON",Inputs!$C$46/Inputs!$C$12,0)</x:f>
        <x:v>42.13483146067416</x:v>
      </x:c>
      <x:c r="AR227" s="40" t="n">
        <x:f>AC227-AQ227</x:f>
        <x:v>2282.5590043542657</x:v>
      </x:c>
      <x:c r="AS227" s="40" t="n">
        <x:f>AC227+AQ227</x:f>
        <x:v>2366.8286672756144</x:v>
      </x:c>
    </x:row>
    <x:row r="228">
      <x:c r="A228" s="40" t="n">
        <x:f>Inputs!$C$7+226*(Inputs!$C$8-Inputs!$C$7)/240</x:f>
        <x:v>53</x:v>
      </x:c>
      <x:c r="B228" s="40" t="n">
        <x:f>Inputs!$C$5+Inputs!$C$9*(A228/Inputs!$C$10)^2</x:f>
        <x:v>403.12111111111113</x:v>
      </x:c>
      <x:c r="C228" s="40" t="n">
        <x:f>B228</x:f>
        <x:v>403.12111111111113</x:v>
      </x:c>
      <x:c r="D228" s="40" t="n">
        <x:f>SQRT(A228^2+Inputs!$C$6^2+B228^2)</x:f>
        <x:v>407.3581105409058</x:v>
      </x:c>
      <x:c r="E228" s="40" t="n">
        <x:f>(D228-C228)*1000</x:f>
        <x:v>4236.9994297946505</x:v>
      </x:c>
      <x:c r="F228" s="40" t="n">
        <x:f>E228/Inputs!$C$12</x:f>
        <x:v>2380.3367583116014</x:v>
      </x:c>
      <x:c r="G228" s="40" t="n">
        <x:f>2*E228/Inputs!$C$21*1000000</x:f>
        <x:v>28.266217623090775</x:v>
      </x:c>
      <x:c r="H228" s="40" t="n">
        <x:f>SQRT(A228^2+Inputs!$C$6^2)</x:f>
        <x:v>58.60034129593445</x:v>
      </x:c>
      <x:c r="I228" s="40" t="n">
        <x:f>DEGREES(ATAN(H228/B228))</x:f>
        <x:v>8.27095770254524</x:v>
      </x:c>
      <x:c r="J228" s="40" t="n">
        <x:f>DEGREES((2*PI()/Inputs!$C$13)*Inputs!$C$15*SIN(RADIANS(I228)))</x:f>
        <x:v>51.78765886979433</x:v>
      </x:c>
      <x:c r="K228" s="40" t="n">
        <x:f>(C228/D228)^4</x:f>
        <x:v>0.9590399513018042</x:v>
      </x:c>
      <x:c r="L228" s="40" t="n">
        <x:f>10*LOG10(K228)</x:f>
        <x:v>-0.18163300787083397</x:v>
      </x:c>
      <x:c r="M228" s="40" t="n">
        <x:f>2*(Inputs!$C$9/(Inputs!$C$10^2))*A228</x:f>
        <x:v>0.11777777777777777</x:v>
      </x:c>
      <x:c r="N228" s="40" t="n">
        <x:f>M228*Inputs!$C$11</x:f>
        <x:v>0.4711111111111111</x:v>
      </x:c>
      <x:c r="O228" s="40" t="n">
        <x:f>1000*((A228*Inputs!$C$11)+(B228*N228))/D228</x:f>
        <x:v>986.6376148353185</x:v>
      </x:c>
      <x:c r="P228" s="40" t="n">
        <x:f>-2*O228/Inputs!$C$13</x:f>
        <x:v>-394.6550459341274</x:v>
      </x:c>
      <x:c r="Q228" s="40" t="n">
        <x:f>-2*O228/Inputs!$C$14</x:f>
        <x:v>-59.25751440452363</x:v>
      </x:c>
      <x:c r="R228" s="40" t="n">
        <x:f>F228-Inputs!$C$16/2</x:f>
        <x:v>2365.3367583116014</x:v>
      </x:c>
      <x:c r="S228" s="40" t="n">
        <x:f>F228+Inputs!$C$16/2</x:f>
        <x:v>2395.3367583116014</x:v>
      </x:c>
      <x:c r="T228" s="40" t="n">
        <x:f>F228-Inputs!$C$17/2</x:f>
        <x:v>2230.3367583116014</x:v>
      </x:c>
      <x:c r="U228" s="40" t="n">
        <x:f>F228+Inputs!$C$17/2</x:f>
        <x:v>2530.3367583116014</x:v>
      </x:c>
      <x:c r="V228" s="40" t="n">
        <x:f>ABS(P228)</x:f>
        <x:v>394.6550459341274</x:v>
      </x:c>
      <x:c r="W228" s="40" t="n">
        <x:f>ABS(Q228)</x:f>
        <x:v>59.25751440452363</x:v>
      </x:c>
      <x:c r="X228" s="40" t="n">
        <x:f>IF(Inputs!$C$27="ON",1,0)*(Inputs!$C$28*EXP(-(((A228)-Inputs!$C$29)^2)/(2*Inputs!$C$31^2))*EXP(-(((0)-Inputs!$C$30)^2)/(2*Inputs!$C$32^2))+-Inputs!$C$33*EXP(-(((((A228)-Inputs!$C$34)^2)+(((0)-Inputs!$C$35)^2))/(2*Inputs!$C$36^2)))+Inputs!$C$37*(0.55*SIN(2*PI()*(A228)/Inputs!$C$39)+0.35*COS(2*PI()*(0)/Inputs!$C$40)+0.2*SIN(2*PI()*((A228)+(0))/(0.5*(Inputs!$C$39+Inputs!$C$40))))+Inputs!$C$38*SIN(2*PI()*(A228)/Inputs!$C$39)*SIN(2*PI()*(0)/Inputs!$C$40)+-Inputs!$C$41*EXP(-(((0)-Inputs!$C$43)^2)/(2*Inputs!$C$44^2))*EXP(-(((A228)-Inputs!$C$42)^2)/(2*Inputs!$C$45^2)))</x:f>
        <x:v>4.056131864573157</x:v>
      </x:c>
      <x:c r="Y228" s="40" t="n">
        <x:f>IF(Inputs!$C$27="ON",1,0)*(Inputs!$C$28*EXP(-(((A228)-Inputs!$C$29)^2)/(2*Inputs!$C$31^2))*EXP(-(((Inputs!$C$6)-Inputs!$C$30)^2)/(2*Inputs!$C$32^2))+-Inputs!$C$33*EXP(-(((((A228)-Inputs!$C$34)^2)+(((Inputs!$C$6)-Inputs!$C$35)^2))/(2*Inputs!$C$36^2)))+Inputs!$C$37*(0.55*SIN(2*PI()*(A228)/Inputs!$C$39)+0.35*COS(2*PI()*(Inputs!$C$6)/Inputs!$C$40)+0.2*SIN(2*PI()*((A228)+(Inputs!$C$6))/(0.5*(Inputs!$C$39+Inputs!$C$40))))+Inputs!$C$38*SIN(2*PI()*(A228)/Inputs!$C$39)*SIN(2*PI()*(Inputs!$C$6)/Inputs!$C$40)+-Inputs!$C$41*EXP(-(((Inputs!$C$6)-Inputs!$C$43)^2)/(2*Inputs!$C$44^2))*EXP(-(((A228)-Inputs!$C$42)^2)/(2*Inputs!$C$45^2)))</x:f>
        <x:v>44.40936325603966</x:v>
      </x:c>
      <x:c r="Z228" s="40" t="n">
        <x:f>B228-X228/1000</x:f>
        <x:v>403.1170549792466</x:v>
      </x:c>
      <x:c r="AA228" s="40" t="n">
        <x:f>SQRT(A228^2+Inputs!$C$6^2+(B228-Y228/1000)^2)</x:f>
        <x:v>407.31416313691983</x:v>
      </x:c>
      <x:c r="AB228" s="40" t="n">
        <x:f>(AA228-Z228)*1000</x:f>
        <x:v>4197.108157673256</x:v>
      </x:c>
      <x:c r="AC228" s="40" t="n">
        <x:f>AB228/Inputs!$C$12</x:f>
        <x:v>2357.92593127711</x:v>
      </x:c>
      <x:c r="AD228" s="40" t="n">
        <x:f>2*AB228/Inputs!$C$21*1000000</x:f>
        <x:v>28.000091701261248</x:v>
      </x:c>
      <x:c r="AE228" s="40" t="n">
        <x:f>DEGREES(ATAN(H228/(B228-Y228/1000)))</x:f>
        <x:v>8.271856354337698</x:v>
      </x:c>
      <x:c r="AF228" s="40" t="n">
        <x:f>DEGREES((2*PI()/Inputs!$C$13)*Inputs!$C$15*SIN(RADIANS(AE228)))</x:f>
        <x:v>51.79324653006205</x:v>
      </x:c>
      <x:c r="AG228" s="40" t="n">
        <x:f>(Z228/AA228)^4</x:f>
        <x:v>0.9594153082130548</x:v>
      </x:c>
      <x:c r="AH228" s="40" t="n">
        <x:f>10*LOG10(AG228)</x:f>
        <x:v>-0.179933563105865</x:v>
      </x:c>
      <x:c r="AI228" s="40" t="n">
        <x:f>AC228-F228</x:f>
        <x:v>-22.410827034491376</x:v>
      </x:c>
      <x:c r="AJ228" s="40" t="n">
        <x:f>AD228-G228</x:f>
        <x:v>-0.2661259218295271</x:v>
      </x:c>
      <x:c r="AK228" s="40" t="n">
        <x:f>Y228-X228</x:f>
        <x:v>40.35323139146651</x:v>
      </x:c>
      <x:c r="AL228" s="40" t="n">
        <x:f>1000*(AA229-AA227)/(A229-A227)*Inputs!$C$11</x:f>
        <x:v>922.420524547988</x:v>
      </x:c>
      <x:c r="AM228" s="40" t="n">
        <x:f>-2*AL228/Inputs!$C$13</x:f>
        <x:v>-368.9682098191952</x:v>
      </x:c>
      <x:c r="AN228" s="40" t="n">
        <x:f>-2*AL228/Inputs!$C$14</x:f>
        <x:v>-55.40063210498427</x:v>
      </x:c>
      <x:c r="AO228" s="40" t="n">
        <x:f>ABS(AM228)</x:f>
        <x:v>368.9682098191952</x:v>
      </x:c>
      <x:c r="AP228" s="40" t="n">
        <x:f>ABS(AN228)</x:f>
        <x:v>55.40063210498427</x:v>
      </x:c>
      <x:c r="AQ228" s="40" t="n">
        <x:f>IF(Inputs!$C$27="ON",Inputs!$C$46/Inputs!$C$12,0)</x:f>
        <x:v>42.13483146067416</x:v>
      </x:c>
      <x:c r="AR228" s="40" t="n">
        <x:f>AC228-AQ228</x:f>
        <x:v>2315.7910998164357</x:v>
      </x:c>
      <x:c r="AS228" s="40" t="n">
        <x:f>AC228+AQ228</x:f>
        <x:v>2400.0607627377844</x:v>
      </x:c>
    </x:row>
    <x:row r="229">
      <x:c r="A229" s="40" t="n">
        <x:f>Inputs!$C$7+227*(Inputs!$C$8-Inputs!$C$7)/240</x:f>
        <x:v>53.5</x:v>
      </x:c>
      <x:c r="B229" s="40" t="n">
        <x:f>Inputs!$C$5+Inputs!$C$9*(A229/Inputs!$C$10)^2</x:f>
        <x:v>403.1802777777778</x:v>
      </x:c>
      <x:c r="C229" s="40" t="n">
        <x:f>B229</x:f>
        <x:v>403.1802777777778</x:v>
      </x:c>
      <x:c r="D229" s="40" t="n">
        <x:f>SQRT(A229^2+Inputs!$C$6^2+B229^2)</x:f>
        <x:v>407.48200744200483</x:v>
      </x:c>
      <x:c r="E229" s="40" t="n">
        <x:f>(D229-C229)*1000</x:f>
        <x:v>4301.729664227025</x:v>
      </x:c>
      <x:c r="F229" s="40" t="n">
        <x:f>E229/Inputs!$C$12</x:f>
        <x:v>2416.7020585545083</x:v>
      </x:c>
      <x:c r="G229" s="40" t="n">
        <x:f>2*E229/Inputs!$C$21*1000000</x:f>
        <x:v>28.69805126469876</x:v>
      </x:c>
      <x:c r="H229" s="40" t="n">
        <x:f>SQRT(A229^2+Inputs!$C$6^2)</x:f>
        <x:v>59.052942348370756</x:v>
      </x:c>
      <x:c r="I229" s="40" t="n">
        <x:f>DEGREES(ATAN(H229/B229))</x:f>
        <x:v>8.33273894188251</x:v>
      </x:c>
      <x:c r="J229" s="40" t="n">
        <x:f>DEGREES((2*PI()/Inputs!$C$13)*Inputs!$C$15*SIN(RADIANS(I229)))</x:f>
        <x:v>52.17177410818362</x:v>
      </x:c>
      <x:c r="K229" s="40" t="n">
        <x:f>(C229/D229)^4</x:f>
        <x:v>0.9584365580404887</x:v>
      </x:c>
      <x:c r="L229" s="40" t="n">
        <x:f>10*LOG10(K229)</x:f>
        <x:v>-0.184366291654807</x:v>
      </x:c>
      <x:c r="M229" s="40" t="n">
        <x:f>2*(Inputs!$C$9/(Inputs!$C$10^2))*A229</x:f>
        <x:v>0.11888888888888889</x:v>
      </x:c>
      <x:c r="N229" s="40" t="n">
        <x:f>M229*Inputs!$C$11</x:f>
        <x:v>0.47555555555555556</x:v>
      </x:c>
      <x:c r="O229" s="40" t="n">
        <x:f>1000*((A229*Inputs!$C$11)+(B229*N229))/D229</x:f>
        <x:v>995.7117457398431</x:v>
      </x:c>
      <x:c r="P229" s="40" t="n">
        <x:f>-2*O229/Inputs!$C$13</x:f>
        <x:v>-398.28469829593723</x:v>
      </x:c>
      <x:c r="Q229" s="40" t="n">
        <x:f>-2*O229/Inputs!$C$14</x:f>
        <x:v>-59.80250725164223</x:v>
      </x:c>
      <x:c r="R229" s="40" t="n">
        <x:f>F229-Inputs!$C$16/2</x:f>
        <x:v>2401.7020585545083</x:v>
      </x:c>
      <x:c r="S229" s="40" t="n">
        <x:f>F229+Inputs!$C$16/2</x:f>
        <x:v>2431.7020585545083</x:v>
      </x:c>
      <x:c r="T229" s="40" t="n">
        <x:f>F229-Inputs!$C$17/2</x:f>
        <x:v>2266.7020585545083</x:v>
      </x:c>
      <x:c r="U229" s="40" t="n">
        <x:f>F229+Inputs!$C$17/2</x:f>
        <x:v>2566.7020585545083</x:v>
      </x:c>
      <x:c r="V229" s="40" t="n">
        <x:f>ABS(P229)</x:f>
        <x:v>398.28469829593723</x:v>
      </x:c>
      <x:c r="W229" s="40" t="n">
        <x:f>ABS(Q229)</x:f>
        <x:v>59.80250725164223</x:v>
      </x:c>
      <x:c r="X229" s="40" t="n">
        <x:f>IF(Inputs!$C$27="ON",1,0)*(Inputs!$C$28*EXP(-(((A229)-Inputs!$C$29)^2)/(2*Inputs!$C$31^2))*EXP(-(((0)-Inputs!$C$30)^2)/(2*Inputs!$C$32^2))+-Inputs!$C$33*EXP(-(((((A229)-Inputs!$C$34)^2)+(((0)-Inputs!$C$35)^2))/(2*Inputs!$C$36^2)))+Inputs!$C$37*(0.55*SIN(2*PI()*(A229)/Inputs!$C$39)+0.35*COS(2*PI()*(0)/Inputs!$C$40)+0.2*SIN(2*PI()*((A229)+(0))/(0.5*(Inputs!$C$39+Inputs!$C$40))))+Inputs!$C$38*SIN(2*PI()*(A229)/Inputs!$C$39)*SIN(2*PI()*(0)/Inputs!$C$40)+-Inputs!$C$41*EXP(-(((0)-Inputs!$C$43)^2)/(2*Inputs!$C$44^2))*EXP(-(((A229)-Inputs!$C$42)^2)/(2*Inputs!$C$45^2)))</x:f>
        <x:v>7.54408235684131</x:v>
      </x:c>
      <x:c r="Y229" s="40" t="n">
        <x:f>IF(Inputs!$C$27="ON",1,0)*(Inputs!$C$28*EXP(-(((A229)-Inputs!$C$29)^2)/(2*Inputs!$C$31^2))*EXP(-(((Inputs!$C$6)-Inputs!$C$30)^2)/(2*Inputs!$C$32^2))+-Inputs!$C$33*EXP(-(((((A229)-Inputs!$C$34)^2)+(((Inputs!$C$6)-Inputs!$C$35)^2))/(2*Inputs!$C$36^2)))+Inputs!$C$37*(0.55*SIN(2*PI()*(A229)/Inputs!$C$39)+0.35*COS(2*PI()*(Inputs!$C$6)/Inputs!$C$40)+0.2*SIN(2*PI()*((A229)+(Inputs!$C$6))/(0.5*(Inputs!$C$39+Inputs!$C$40))))+Inputs!$C$38*SIN(2*PI()*(A229)/Inputs!$C$39)*SIN(2*PI()*(Inputs!$C$6)/Inputs!$C$40)+-Inputs!$C$41*EXP(-(((Inputs!$C$6)-Inputs!$C$43)^2)/(2*Inputs!$C$44^2))*EXP(-(((A229)-Inputs!$C$42)^2)/(2*Inputs!$C$45^2)))</x:f>
        <x:v>52.559942106016294</x:v>
      </x:c>
      <x:c r="Z229" s="40" t="n">
        <x:f>B229-X229/1000</x:f>
        <x:v>403.17273369542096</x:v>
      </x:c>
      <x:c r="AA229" s="40" t="n">
        <x:f>SQRT(A229^2+Inputs!$C$6^2+(B229-Y229/1000)^2)</x:f>
        <x:v>407.4300024389429</x:v>
      </x:c>
      <x:c r="AB229" s="40" t="n">
        <x:f>(AA229-Z229)*1000</x:f>
        <x:v>4257.268743521934</x:v>
      </x:c>
      <x:c r="AC229" s="40" t="n">
        <x:f>AB229/Inputs!$C$12</x:f>
        <x:v>2391.72401321457</x:v>
      </x:c>
      <x:c r="AD229" s="40" t="n">
        <x:f>2*AB229/Inputs!$C$21*1000000</x:f>
        <x:v>28.401439928965353</x:v>
      </x:c>
      <x:c r="AE229" s="40" t="n">
        <x:f>DEGREES(ATAN(H229/(B229-Y229/1000)))</x:f>
        <x:v>8.333810109927938</x:v>
      </x:c>
      <x:c r="AF229" s="40" t="n">
        <x:f>DEGREES((2*PI()/Inputs!$C$13)*Inputs!$C$15*SIN(RADIANS(AE229)))</x:f>
        <x:v>52.17843339506972</x:v>
      </x:c>
      <x:c r="AG229" s="40" t="n">
        <x:f>(Z229/AA229)^4</x:f>
        <x:v>0.9588542275887995</x:v>
      </x:c>
      <x:c r="AH229" s="40" t="n">
        <x:f>10*LOG10(AG229)</x:f>
        <x:v>-0.18247412606031999</x:v>
      </x:c>
      <x:c r="AI229" s="40" t="n">
        <x:f>AC229-F229</x:f>
        <x:v>-24.97804533993849</x:v>
      </x:c>
      <x:c r="AJ229" s="40" t="n">
        <x:f>AD229-G229</x:f>
        <x:v>-0.2966113357334059</x:v>
      </x:c>
      <x:c r="AK229" s="40" t="n">
        <x:f>Y229-X229</x:f>
        <x:v>45.015859749174986</x:v>
      </x:c>
      <x:c r="AL229" s="40" t="n">
        <x:f>1000*(AA230-AA228)/(A230-A228)*Inputs!$C$11</x:f>
        <x:v>932.1856718593153</x:v>
      </x:c>
      <x:c r="AM229" s="40" t="n">
        <x:f>-2*AL229/Inputs!$C$13</x:f>
        <x:v>-372.87426874372613</x:v>
      </x:c>
      <x:c r="AN229" s="40" t="n">
        <x:f>-2*AL229/Inputs!$C$14</x:f>
        <x:v>-55.98712743899792</x:v>
      </x:c>
      <x:c r="AO229" s="40" t="n">
        <x:f>ABS(AM229)</x:f>
        <x:v>372.87426874372613</x:v>
      </x:c>
      <x:c r="AP229" s="40" t="n">
        <x:f>ABS(AN229)</x:f>
        <x:v>55.98712743899792</x:v>
      </x:c>
      <x:c r="AQ229" s="40" t="n">
        <x:f>IF(Inputs!$C$27="ON",Inputs!$C$46/Inputs!$C$12,0)</x:f>
        <x:v>42.13483146067416</x:v>
      </x:c>
      <x:c r="AR229" s="40" t="n">
        <x:f>AC229-AQ229</x:f>
        <x:v>2349.5891817538954</x:v>
      </x:c>
      <x:c r="AS229" s="40" t="n">
        <x:f>AC229+AQ229</x:f>
        <x:v>2433.858844675244</x:v>
      </x:c>
    </x:row>
    <x:row r="230">
      <x:c r="A230" s="40" t="n">
        <x:f>Inputs!$C$7+228*(Inputs!$C$8-Inputs!$C$7)/240</x:f>
        <x:v>54</x:v>
      </x:c>
      <x:c r="B230" s="40" t="n">
        <x:f>Inputs!$C$5+Inputs!$C$9*(A230/Inputs!$C$10)^2</x:f>
        <x:v>403.24</x:v>
      </x:c>
      <x:c r="C230" s="40" t="n">
        <x:f>B230</x:f>
        <x:v>403.24</x:v>
      </x:c>
      <x:c r="D230" s="40" t="n">
        <x:f>SQRT(A230^2+Inputs!$C$6^2+B230^2)</x:f>
        <x:v>407.6070382120505</x:v>
      </x:c>
      <x:c r="E230" s="40" t="n">
        <x:f>(D230-C230)*1000</x:f>
        <x:v>4367.038212050488</x:v>
      </x:c>
      <x:c r="F230" s="40" t="n">
        <x:f>E230/Inputs!$C$12</x:f>
        <x:v>2453.3922539609484</x:v>
      </x:c>
      <x:c r="G230" s="40" t="n">
        <x:f>2*E230/Inputs!$C$21*1000000</x:f>
        <x:v>29.133742997967538</x:v>
      </x:c>
      <x:c r="H230" s="40" t="n">
        <x:f>SQRT(A230^2+Inputs!$C$6^2)</x:f>
        <x:v>59.50630218724736</x:v>
      </x:c>
      <x:c r="I230" s="40" t="n">
        <x:f>DEGREES(ATAN(H230/B230))</x:f>
        <x:v>8.394576667627003</x:v>
      </x:c>
      <x:c r="J230" s="40" t="n">
        <x:f>DEGREES((2*PI()/Inputs!$C$13)*Inputs!$C$15*SIN(RADIANS(I230)))</x:f>
        <x:v>52.55617979850606</x:v>
      </x:c>
      <x:c r="K230" s="40" t="n">
        <x:f>(C230/D230)^4</x:f>
        <x:v>0.9578284367610922</x:v>
      </x:c>
      <x:c r="L230" s="40" t="n">
        <x:f>10*LOG10(K230)</x:f>
        <x:v>-0.187122734271587</x:v>
      </x:c>
      <x:c r="M230" s="40" t="n">
        <x:f>2*(Inputs!$C$9/(Inputs!$C$10^2))*A230</x:f>
        <x:v>0.12</x:v>
      </x:c>
      <x:c r="N230" s="40" t="n">
        <x:f>M230*Inputs!$C$11</x:f>
        <x:v>0.48</x:v>
      </x:c>
      <x:c r="O230" s="40" t="n">
        <x:f>1000*((A230*Inputs!$C$11)+(B230*N230))/D230</x:f>
        <x:v>1004.7795096877988</x:v>
      </x:c>
      <x:c r="P230" s="40" t="n">
        <x:f>-2*O230/Inputs!$C$13</x:f>
        <x:v>-401.9118038751195</x:v>
      </x:c>
      <x:c r="Q230" s="40" t="n">
        <x:f>-2*O230/Inputs!$C$14</x:f>
        <x:v>-60.347117698966905</x:v>
      </x:c>
      <x:c r="R230" s="40" t="n">
        <x:f>F230-Inputs!$C$16/2</x:f>
        <x:v>2438.3922539609484</x:v>
      </x:c>
      <x:c r="S230" s="40" t="n">
        <x:f>F230+Inputs!$C$16/2</x:f>
        <x:v>2468.3922539609484</x:v>
      </x:c>
      <x:c r="T230" s="40" t="n">
        <x:f>F230-Inputs!$C$17/2</x:f>
        <x:v>2303.3922539609484</x:v>
      </x:c>
      <x:c r="U230" s="40" t="n">
        <x:f>F230+Inputs!$C$17/2</x:f>
        <x:v>2603.3922539609484</x:v>
      </x:c>
      <x:c r="V230" s="40" t="n">
        <x:f>ABS(P230)</x:f>
        <x:v>401.9118038751195</x:v>
      </x:c>
      <x:c r="W230" s="40" t="n">
        <x:f>ABS(Q230)</x:f>
        <x:v>60.347117698966905</x:v>
      </x:c>
      <x:c r="X230" s="40" t="n">
        <x:f>IF(Inputs!$C$27="ON",1,0)*(Inputs!$C$28*EXP(-(((A230)-Inputs!$C$29)^2)/(2*Inputs!$C$31^2))*EXP(-(((0)-Inputs!$C$30)^2)/(2*Inputs!$C$32^2))+-Inputs!$C$33*EXP(-(((((A230)-Inputs!$C$34)^2)+(((0)-Inputs!$C$35)^2))/(2*Inputs!$C$36^2)))+Inputs!$C$37*(0.55*SIN(2*PI()*(A230)/Inputs!$C$39)+0.35*COS(2*PI()*(0)/Inputs!$C$40)+0.2*SIN(2*PI()*((A230)+(0))/(0.5*(Inputs!$C$39+Inputs!$C$40))))+Inputs!$C$38*SIN(2*PI()*(A230)/Inputs!$C$39)*SIN(2*PI()*(0)/Inputs!$C$40)+-Inputs!$C$41*EXP(-(((0)-Inputs!$C$43)^2)/(2*Inputs!$C$44^2))*EXP(-(((A230)-Inputs!$C$42)^2)/(2*Inputs!$C$45^2)))</x:f>
        <x:v>11.451626129494453</x:v>
      </x:c>
      <x:c r="Y230" s="40" t="n">
        <x:f>IF(Inputs!$C$27="ON",1,0)*(Inputs!$C$28*EXP(-(((A230)-Inputs!$C$29)^2)/(2*Inputs!$C$31^2))*EXP(-(((Inputs!$C$6)-Inputs!$C$30)^2)/(2*Inputs!$C$32^2))+-Inputs!$C$33*EXP(-(((((A230)-Inputs!$C$34)^2)+(((Inputs!$C$6)-Inputs!$C$35)^2))/(2*Inputs!$C$36^2)))+Inputs!$C$37*(0.55*SIN(2*PI()*(A230)/Inputs!$C$39)+0.35*COS(2*PI()*(Inputs!$C$6)/Inputs!$C$40)+0.2*SIN(2*PI()*((A230)+(Inputs!$C$6))/(0.5*(Inputs!$C$39+Inputs!$C$40))))+Inputs!$C$38*SIN(2*PI()*(A230)/Inputs!$C$39)*SIN(2*PI()*(Inputs!$C$6)/Inputs!$C$40)+-Inputs!$C$41*EXP(-(((Inputs!$C$6)-Inputs!$C$43)^2)/(2*Inputs!$C$44^2))*EXP(-(((A230)-Inputs!$C$42)^2)/(2*Inputs!$C$45^2)))</x:f>
        <x:v>60.476690627263174</x:v>
      </x:c>
      <x:c r="Z230" s="40" t="n">
        <x:f>B230-X230/1000</x:f>
        <x:v>403.2285483738705</x:v>
      </x:c>
      <x:c r="AA230" s="40" t="n">
        <x:f>SQRT(A230^2+Inputs!$C$6^2+(B230-Y230/1000)^2)</x:f>
        <x:v>407.54720955488466</x:v>
      </x:c>
      <x:c r="AB230" s="40" t="n">
        <x:f>(AA230-Z230)*1000</x:f>
        <x:v>4318.661181014136</x:v>
      </x:c>
      <x:c r="AC230" s="40" t="n">
        <x:f>AB230/Inputs!$C$12</x:f>
        <x:v>2426.214146637155</x:v>
      </x:c>
      <x:c r="AD230" s="40" t="n">
        <x:f>2*AB230/Inputs!$C$21*1000000</x:f>
        <x:v>28.81100618624726</x:v>
      </x:c>
      <x:c r="AE230" s="40" t="n">
        <x:f>DEGREES(ATAN(H230/(B230-Y230/1000)))</x:f>
        <x:v>8.395817902633315</x:v>
      </x:c>
      <x:c r="AF230" s="40" t="n">
        <x:f>DEGREES((2*PI()/Inputs!$C$13)*Inputs!$C$15*SIN(RADIANS(AE230)))</x:f>
        <x:v>52.56389513942703</x:v>
      </x:c>
      <x:c r="AG230" s="40" t="n">
        <x:f>(Z230/AA230)^4</x:f>
        <x:v>0.9582821394414616</x:v>
      </x:c>
      <x:c r="AH230" s="40" t="n">
        <x:f>10*LOG10(AG230)</x:f>
        <x:v>-0.18506606200393402</x:v>
      </x:c>
      <x:c r="AI230" s="40" t="n">
        <x:f>AC230-F230</x:f>
        <x:v>-27.178107323793483</x:v>
      </x:c>
      <x:c r="AJ230" s="40" t="n">
        <x:f>AD230-G230</x:f>
        <x:v>-0.32273681172027935</x:v>
      </x:c>
      <x:c r="AK230" s="40" t="n">
        <x:f>Y230-X230</x:f>
        <x:v>49.025064497768724</x:v>
      </x:c>
      <x:c r="AL230" s="40" t="n">
        <x:f>1000*(AA231-AA229)/(A231-A229)*Inputs!$C$11</x:f>
        <x:v>944.2408809575227</x:v>
      </x:c>
      <x:c r="AM230" s="40" t="n">
        <x:f>-2*AL230/Inputs!$C$13</x:f>
        <x:v>-377.69635238300907</x:v>
      </x:c>
      <x:c r="AN230" s="40" t="n">
        <x:f>-2*AL230/Inputs!$C$14</x:f>
        <x:v>-56.71116402147284</x:v>
      </x:c>
      <x:c r="AO230" s="40" t="n">
        <x:f>ABS(AM230)</x:f>
        <x:v>377.69635238300907</x:v>
      </x:c>
      <x:c r="AP230" s="40" t="n">
        <x:f>ABS(AN230)</x:f>
        <x:v>56.71116402147284</x:v>
      </x:c>
      <x:c r="AQ230" s="40" t="n">
        <x:f>IF(Inputs!$C$27="ON",Inputs!$C$46/Inputs!$C$12,0)</x:f>
        <x:v>42.13483146067416</x:v>
      </x:c>
      <x:c r="AR230" s="40" t="n">
        <x:f>AC230-AQ230</x:f>
        <x:v>2384.0793151764806</x:v>
      </x:c>
      <x:c r="AS230" s="40" t="n">
        <x:f>AC230+AQ230</x:f>
        <x:v>2468.3489780978293</x:v>
      </x:c>
    </x:row>
    <x:row r="231">
      <x:c r="A231" s="40" t="n">
        <x:f>Inputs!$C$7+229*(Inputs!$C$8-Inputs!$C$7)/240</x:f>
        <x:v>54.5</x:v>
      </x:c>
      <x:c r="B231" s="40" t="n">
        <x:f>Inputs!$C$5+Inputs!$C$9*(A231/Inputs!$C$10)^2</x:f>
        <x:v>403.30027777777775</x:v>
      </x:c>
      <x:c r="C231" s="40" t="n">
        <x:f>B231</x:f>
        <x:v>403.30027777777775</x:v>
      </x:c>
      <x:c r="D231" s="40" t="n">
        <x:f>SQRT(A231^2+Inputs!$C$6^2+B231^2)</x:f>
        <x:v>407.73320205206824</x:v>
      </x:c>
      <x:c r="E231" s="40" t="n">
        <x:f>(D231-C231)*1000</x:f>
        <x:v>4432.924274290485</x:v>
      </x:c>
      <x:c r="F231" s="40" t="n">
        <x:f>E231/Inputs!$C$12</x:f>
        <x:v>2490.406895668812</x:v>
      </x:c>
      <x:c r="G231" s="40" t="n">
        <x:f>2*E231/Inputs!$C$21*1000000</x:f>
        <x:v>29.57328749271261</x:v>
      </x:c>
      <x:c r="H231" s="40" t="n">
        <x:f>SQRT(A231^2+Inputs!$C$6^2)</x:f>
        <x:v>59.96040360104325</x:v>
      </x:c>
      <x:c r="I231" s="40" t="n">
        <x:f>DEGREES(ATAN(H231/B231))</x:f>
        <x:v>8.45646799120709</x:v>
      </x:c>
      <x:c r="J231" s="40" t="n">
        <x:f>DEGREES((2*PI()/Inputs!$C$13)*Inputs!$C$15*SIN(RADIANS(I231)))</x:f>
        <x:v>52.94085737373685</x:v>
      </x:c>
      <x:c r="K231" s="40" t="n">
        <x:f>(C231/D231)^4</x:f>
        <x:v>0.9572156117138775</x:v>
      </x:c>
      <x:c r="L231" s="40" t="n">
        <x:f>10*LOG10(K231)</x:f>
        <x:v>-0.189902268723279</x:v>
      </x:c>
      <x:c r="M231" s="40" t="n">
        <x:f>2*(Inputs!$C$9/(Inputs!$C$10^2))*A231</x:f>
        <x:v>0.12111111111111111</x:v>
      </x:c>
      <x:c r="N231" s="40" t="n">
        <x:f>M231*Inputs!$C$11</x:f>
        <x:v>0.48444444444444446</x:v>
      </x:c>
      <x:c r="O231" s="40" t="n">
        <x:f>1000*((A231*Inputs!$C$11)+(B231*N231))/D231</x:f>
        <x:v>1013.8408570405232</x:v>
      </x:c>
      <x:c r="P231" s="40" t="n">
        <x:f>-2*O231/Inputs!$C$13</x:f>
        <x:v>-405.5363428162093</x:v>
      </x:c>
      <x:c r="Q231" s="40" t="n">
        <x:f>-2*O231/Inputs!$C$14</x:f>
        <x:v>-60.8913427651966</x:v>
      </x:c>
      <x:c r="R231" s="40" t="n">
        <x:f>F231-Inputs!$C$16/2</x:f>
        <x:v>2475.406895668812</x:v>
      </x:c>
      <x:c r="S231" s="40" t="n">
        <x:f>F231+Inputs!$C$16/2</x:f>
        <x:v>2505.406895668812</x:v>
      </x:c>
      <x:c r="T231" s="40" t="n">
        <x:f>F231-Inputs!$C$17/2</x:f>
        <x:v>2340.406895668812</x:v>
      </x:c>
      <x:c r="U231" s="40" t="n">
        <x:f>F231+Inputs!$C$17/2</x:f>
        <x:v>2640.406895668812</x:v>
      </x:c>
      <x:c r="V231" s="40" t="n">
        <x:f>ABS(P231)</x:f>
        <x:v>405.5363428162093</x:v>
      </x:c>
      <x:c r="W231" s="40" t="n">
        <x:f>ABS(Q231)</x:f>
        <x:v>60.8913427651966</x:v>
      </x:c>
      <x:c r="X231" s="40" t="n">
        <x:f>IF(Inputs!$C$27="ON",1,0)*(Inputs!$C$28*EXP(-(((A231)-Inputs!$C$29)^2)/(2*Inputs!$C$31^2))*EXP(-(((0)-Inputs!$C$30)^2)/(2*Inputs!$C$32^2))+-Inputs!$C$33*EXP(-(((((A231)-Inputs!$C$34)^2)+(((0)-Inputs!$C$35)^2))/(2*Inputs!$C$36^2)))+Inputs!$C$37*(0.55*SIN(2*PI()*(A231)/Inputs!$C$39)+0.35*COS(2*PI()*(0)/Inputs!$C$40)+0.2*SIN(2*PI()*((A231)+(0))/(0.5*(Inputs!$C$39+Inputs!$C$40))))+Inputs!$C$38*SIN(2*PI()*(A231)/Inputs!$C$39)*SIN(2*PI()*(0)/Inputs!$C$40)+-Inputs!$C$41*EXP(-(((0)-Inputs!$C$43)^2)/(2*Inputs!$C$44^2))*EXP(-(((A231)-Inputs!$C$42)^2)/(2*Inputs!$C$45^2)))</x:f>
        <x:v>15.692987082730703</x:v>
      </x:c>
      <x:c r="Y231" s="40" t="n">
        <x:f>IF(Inputs!$C$27="ON",1,0)*(Inputs!$C$28*EXP(-(((A231)-Inputs!$C$29)^2)/(2*Inputs!$C$31^2))*EXP(-(((Inputs!$C$6)-Inputs!$C$30)^2)/(2*Inputs!$C$32^2))+-Inputs!$C$33*EXP(-(((((A231)-Inputs!$C$34)^2)+(((Inputs!$C$6)-Inputs!$C$35)^2))/(2*Inputs!$C$36^2)))+Inputs!$C$37*(0.55*SIN(2*PI()*(A231)/Inputs!$C$39)+0.35*COS(2*PI()*(Inputs!$C$6)/Inputs!$C$40)+0.2*SIN(2*PI()*((A231)+(Inputs!$C$6))/(0.5*(Inputs!$C$39+Inputs!$C$40))))+Inputs!$C$38*SIN(2*PI()*(A231)/Inputs!$C$39)*SIN(2*PI()*(Inputs!$C$6)/Inputs!$C$40)+-Inputs!$C$41*EXP(-(((Inputs!$C$6)-Inputs!$C$43)^2)/(2*Inputs!$C$44^2))*EXP(-(((A231)-Inputs!$C$42)^2)/(2*Inputs!$C$45^2)))</x:f>
        <x:v>67.8774872749263</x:v>
      </x:c>
      <x:c r="Z231" s="40" t="n">
        <x:f>B231-X231/1000</x:f>
        <x:v>403.284584790695</x:v>
      </x:c>
      <x:c r="AA231" s="40" t="n">
        <x:f>SQRT(A231^2+Inputs!$C$6^2+(B231-Y231/1000)^2)</x:f>
        <x:v>407.6660626591823</x:v>
      </x:c>
      <x:c r="AB231" s="40" t="n">
        <x:f>(AA231-Z231)*1000</x:f>
        <x:v>4381.477868487253</x:v>
      </x:c>
      <x:c r="AC231" s="40" t="n">
        <x:f>AB231/Inputs!$C$12</x:f>
        <x:v>2461.5044204984565</x:v>
      </x:c>
      <x:c r="AD231" s="40" t="n">
        <x:f>2*AB231/Inputs!$C$21*1000000</x:f>
        <x:v>29.230074016653564</x:v>
      </x:c>
      <x:c r="AE231" s="40" t="n">
        <x:f>DEGREES(ATAN(H231/(B231-Y231/1000)))</x:f>
        <x:v>8.457870909248404</x:v>
      </x:c>
      <x:c r="AF231" s="40" t="n">
        <x:f>DEGREES((2*PI()/Inputs!$C$13)*Inputs!$C$15*SIN(RADIANS(AE231)))</x:f>
        <x:v>52.94957631639237</x:v>
      </x:c>
      <x:c r="AG231" s="40" t="n">
        <x:f>(Z231/AA231)^4</x:f>
        <x:v>0.957697275076793</x:v>
      </x:c>
      <x:c r="AH231" s="40" t="n">
        <x:f>10*LOG10(AG231)</x:f>
        <x:v>-0.187717482705035</x:v>
      </x:c>
      <x:c r="AI231" s="40" t="n">
        <x:f>AC231-F231</x:f>
        <x:v>-28.9024751703555</x:v>
      </x:c>
      <x:c r="AJ231" s="40" t="n">
        <x:f>AD231-G231</x:f>
        <x:v>-0.34321347605904506</x:v>
      </x:c>
      <x:c r="AK231" s="40" t="n">
        <x:f>Y231-X231</x:f>
        <x:v>52.18450019219559</x:v>
      </x:c>
      <x:c r="AL231" s="40" t="n">
        <x:f>1000*(AA232-AA230)/(A232-A230)*Inputs!$C$11</x:f>
        <x:v>958.4230756249781</x:v>
      </x:c>
      <x:c r="AM231" s="40" t="n">
        <x:f>-2*AL231/Inputs!$C$13</x:f>
        <x:v>-383.36923024999123</x:v>
      </x:c>
      <x:c r="AN231" s="40" t="n">
        <x:f>-2*AL231/Inputs!$C$14</x:f>
        <x:v>-57.562947484983674</x:v>
      </x:c>
      <x:c r="AO231" s="40" t="n">
        <x:f>ABS(AM231)</x:f>
        <x:v>383.36923024999123</x:v>
      </x:c>
      <x:c r="AP231" s="40" t="n">
        <x:f>ABS(AN231)</x:f>
        <x:v>57.562947484983674</x:v>
      </x:c>
      <x:c r="AQ231" s="40" t="n">
        <x:f>IF(Inputs!$C$27="ON",Inputs!$C$46/Inputs!$C$12,0)</x:f>
        <x:v>42.13483146067416</x:v>
      </x:c>
      <x:c r="AR231" s="40" t="n">
        <x:f>AC231-AQ231</x:f>
        <x:v>2419.369589037782</x:v>
      </x:c>
      <x:c r="AS231" s="40" t="n">
        <x:f>AC231+AQ231</x:f>
        <x:v>2503.639251959131</x:v>
      </x:c>
    </x:row>
    <x:row r="232">
      <x:c r="A232" s="40" t="n">
        <x:f>Inputs!$C$7+230*(Inputs!$C$8-Inputs!$C$7)/240</x:f>
        <x:v>55</x:v>
      </x:c>
      <x:c r="B232" s="40" t="n">
        <x:f>Inputs!$C$5+Inputs!$C$9*(A232/Inputs!$C$10)^2</x:f>
        <x:v>403.3611111111111</x:v>
      </x:c>
      <x:c r="C232" s="40" t="n">
        <x:f>B232</x:f>
        <x:v>403.3611111111111</x:v>
      </x:c>
      <x:c r="D232" s="40" t="n">
        <x:f>SQRT(A232^2+Inputs!$C$6^2+B232^2)</x:f>
        <x:v>407.86049815689444</x:v>
      </x:c>
      <x:c r="E232" s="40" t="n">
        <x:f>(D232-C232)*1000</x:f>
        <x:v>4499.387045783351</x:v>
      </x:c>
      <x:c r="F232" s="40" t="n">
        <x:f>E232/Inputs!$C$12</x:f>
        <x:v>2527.745531338961</x:v>
      </x:c>
      <x:c r="G232" s="40" t="n">
        <x:f>2*E232/Inputs!$C$21*1000000</x:f>
        <x:v>30.016679377460196</x:v>
      </x:c>
      <x:c r="H232" s="40" t="n">
        <x:f>SQRT(A232^2+Inputs!$C$6^2)</x:f>
        <x:v>60.41522986797286</x:v>
      </x:c>
      <x:c r="I232" s="40" t="n">
        <x:f>DEGREES(ATAN(H232/B232))</x:f>
        <x:v>8.518410095726479</x:v>
      </x:c>
      <x:c r="J232" s="40" t="n">
        <x:f>DEGREES((2*PI()/Inputs!$C$13)*Inputs!$C$15*SIN(RADIANS(I232)))</x:f>
        <x:v>53.32578872127919</x:v>
      </x:c>
      <x:c r="K232" s="40" t="n">
        <x:f>(C232/D232)^4</x:f>
        <x:v>0.9565981072856315</x:v>
      </x:c>
      <x:c r="L232" s="40" t="n">
        <x:f>10*LOG10(K232)</x:f>
        <x:v>-0.19270482753432902</x:v>
      </x:c>
      <x:c r="M232" s="40" t="n">
        <x:f>2*(Inputs!$C$9/(Inputs!$C$10^2))*A232</x:f>
        <x:v>0.12222222222222222</x:v>
      </x:c>
      <x:c r="N232" s="40" t="n">
        <x:f>M232*Inputs!$C$11</x:f>
        <x:v>0.4888888888888889</x:v>
      </x:c>
      <x:c r="O232" s="40" t="n">
        <x:f>1000*((A232*Inputs!$C$11)+(B232*N232))/D232</x:f>
        <x:v>1022.8957384140008</x:v>
      </x:c>
      <x:c r="P232" s="40" t="n">
        <x:f>-2*O232/Inputs!$C$13</x:f>
        <x:v>-409.15829536560034</x:v>
      </x:c>
      <x:c r="Q232" s="40" t="n">
        <x:f>-2*O232/Inputs!$C$14</x:f>
        <x:v>-61.43517948432438</x:v>
      </x:c>
      <x:c r="R232" s="40" t="n">
        <x:f>F232-Inputs!$C$16/2</x:f>
        <x:v>2512.745531338961</x:v>
      </x:c>
      <x:c r="S232" s="40" t="n">
        <x:f>F232+Inputs!$C$16/2</x:f>
        <x:v>2542.745531338961</x:v>
      </x:c>
      <x:c r="T232" s="40" t="n">
        <x:f>F232-Inputs!$C$17/2</x:f>
        <x:v>2377.745531338961</x:v>
      </x:c>
      <x:c r="U232" s="40" t="n">
        <x:f>F232+Inputs!$C$17/2</x:f>
        <x:v>2677.745531338961</x:v>
      </x:c>
      <x:c r="V232" s="40" t="n">
        <x:f>ABS(P232)</x:f>
        <x:v>409.15829536560034</x:v>
      </x:c>
      <x:c r="W232" s="40" t="n">
        <x:f>ABS(Q232)</x:f>
        <x:v>61.43517948432438</x:v>
      </x:c>
      <x:c r="X232" s="40" t="n">
        <x:f>IF(Inputs!$C$27="ON",1,0)*(Inputs!$C$28*EXP(-(((A232)-Inputs!$C$29)^2)/(2*Inputs!$C$31^2))*EXP(-(((0)-Inputs!$C$30)^2)/(2*Inputs!$C$32^2))+-Inputs!$C$33*EXP(-(((((A232)-Inputs!$C$34)^2)+(((0)-Inputs!$C$35)^2))/(2*Inputs!$C$36^2)))+Inputs!$C$37*(0.55*SIN(2*PI()*(A232)/Inputs!$C$39)+0.35*COS(2*PI()*(0)/Inputs!$C$40)+0.2*SIN(2*PI()*((A232)+(0))/(0.5*(Inputs!$C$39+Inputs!$C$40))))+Inputs!$C$38*SIN(2*PI()*(A232)/Inputs!$C$39)*SIN(2*PI()*(0)/Inputs!$C$40)+-Inputs!$C$41*EXP(-(((0)-Inputs!$C$43)^2)/(2*Inputs!$C$44^2))*EXP(-(((A232)-Inputs!$C$42)^2)/(2*Inputs!$C$45^2)))</x:f>
        <x:v>20.167793883838257</x:v>
      </x:c>
      <x:c r="Y232" s="40" t="n">
        <x:f>IF(Inputs!$C$27="ON",1,0)*(Inputs!$C$28*EXP(-(((A232)-Inputs!$C$29)^2)/(2*Inputs!$C$31^2))*EXP(-(((Inputs!$C$6)-Inputs!$C$30)^2)/(2*Inputs!$C$32^2))+-Inputs!$C$33*EXP(-(((((A232)-Inputs!$C$34)^2)+(((Inputs!$C$6)-Inputs!$C$35)^2))/(2*Inputs!$C$36^2)))+Inputs!$C$37*(0.55*SIN(2*PI()*(A232)/Inputs!$C$39)+0.35*COS(2*PI()*(Inputs!$C$6)/Inputs!$C$40)+0.2*SIN(2*PI()*((A232)+(Inputs!$C$6))/(0.5*(Inputs!$C$39+Inputs!$C$40))))+Inputs!$C$38*SIN(2*PI()*(A232)/Inputs!$C$39)*SIN(2*PI()*(Inputs!$C$6)/Inputs!$C$40)+-Inputs!$C$41*EXP(-(((Inputs!$C$6)-Inputs!$C$43)^2)/(2*Inputs!$C$44^2))*EXP(-(((A232)-Inputs!$C$42)^2)/(2*Inputs!$C$45^2)))</x:f>
        <x:v>74.50489672221897</x:v>
      </x:c>
      <x:c r="Z232" s="40" t="n">
        <x:f>B232-X232/1000</x:f>
        <x:v>403.34094331722724</x:v>
      </x:c>
      <x:c r="AA232" s="40" t="n">
        <x:f>SQRT(A232^2+Inputs!$C$6^2+(B232-Y232/1000)^2)</x:f>
        <x:v>407.7868153237909</x:v>
      </x:c>
      <x:c r="AB232" s="40" t="n">
        <x:f>(AA232-Z232)*1000</x:f>
        <x:v>4445.872006563661</x:v>
      </x:c>
      <x:c r="AC232" s="40" t="n">
        <x:f>AB232/Inputs!$C$12</x:f>
        <x:v>2497.6809025638545</x:v>
      </x:c>
      <x:c r="AD232" s="40" t="n">
        <x:f>2*AB232/Inputs!$C$21*1000000</x:f>
        <x:v>29.659665464724004</x:v>
      </x:c>
      <x:c r="AE232" s="40" t="n">
        <x:f>DEGREES(ATAN(H232/(B232-Y232/1000)))</x:f>
        <x:v>8.519960728848652</x:v>
      </x:c>
      <x:c r="AF232" s="40" t="n">
        <x:f>DEGREES((2*PI()/Inputs!$C$13)*Inputs!$C$15*SIN(RADIANS(AE232)))</x:f>
        <x:v>53.33542413626273</x:v>
      </x:c>
      <x:c r="AG232" s="40" t="n">
        <x:f>(Z232/AA232)^4</x:f>
        <x:v>0.957098242889419</x:v>
      </x:c>
      <x:c r="AH232" s="40" t="n">
        <x:f>10*LOG10(AG232)</x:f>
        <x:v>-0.190434810790518</x:v>
      </x:c>
      <x:c r="AI232" s="40" t="n">
        <x:f>AC232-F232</x:f>
        <x:v>-30.064628775106485</x:v>
      </x:c>
      <x:c r="AJ232" s="40" t="n">
        <x:f>AD232-G232</x:f>
        <x:v>-0.35701391273619265</x:v>
      </x:c>
      <x:c r="AK232" s="40" t="n">
        <x:f>Y232-X232</x:f>
        <x:v>54.337102838380716</x:v>
      </x:c>
      <x:c r="AL232" s="40" t="n">
        <x:f>1000*(AA233-AA231)/(A233-A231)*Inputs!$C$11</x:f>
        <x:v>974.505996184007</x:v>
      </x:c>
      <x:c r="AM232" s="40" t="n">
        <x:f>-2*AL232/Inputs!$C$13</x:f>
        <x:v>-389.8023984736028</x:v>
      </x:c>
      <x:c r="AN232" s="40" t="n">
        <x:f>-2*AL232/Inputs!$C$14</x:f>
        <x:v>-58.52888865970013</x:v>
      </x:c>
      <x:c r="AO232" s="40" t="n">
        <x:f>ABS(AM232)</x:f>
        <x:v>389.8023984736028</x:v>
      </x:c>
      <x:c r="AP232" s="40" t="n">
        <x:f>ABS(AN232)</x:f>
        <x:v>58.52888865970013</x:v>
      </x:c>
      <x:c r="AQ232" s="40" t="n">
        <x:f>IF(Inputs!$C$27="ON",Inputs!$C$46/Inputs!$C$12,0)</x:f>
        <x:v>42.13483146067416</x:v>
      </x:c>
      <x:c r="AR232" s="40" t="n">
        <x:f>AC232-AQ232</x:f>
        <x:v>2455.54607110318</x:v>
      </x:c>
      <x:c r="AS232" s="40" t="n">
        <x:f>AC232+AQ232</x:f>
        <x:v>2539.815734024529</x:v>
      </x:c>
    </x:row>
    <x:row r="233">
      <x:c r="A233" s="40" t="n">
        <x:f>Inputs!$C$7+231*(Inputs!$C$8-Inputs!$C$7)/240</x:f>
        <x:v>55.5</x:v>
      </x:c>
      <x:c r="B233" s="40" t="n">
        <x:f>Inputs!$C$5+Inputs!$C$9*(A233/Inputs!$C$10)^2</x:f>
        <x:v>403.4225</x:v>
      </x:c>
      <x:c r="C233" s="40" t="n">
        <x:f>B233</x:f>
        <x:v>403.4225</x:v>
      </x:c>
      <x:c r="D233" s="40" t="n">
        <x:f>SQRT(A233^2+Inputs!$C$6^2+B233^2)</x:f>
        <x:v>407.9889257152086</x:v>
      </x:c>
      <x:c r="E233" s="40" t="n">
        <x:f>(D233-C233)*1000</x:f>
        <x:v>4566.425715208596</x:v>
      </x:c>
      <x:c r="F233" s="40" t="n">
        <x:f>E233/Inputs!$C$12</x:f>
        <x:v>2565.4077051733684</x:v>
      </x:c>
      <x:c r="G233" s="40" t="n">
        <x:f>2*E233/Inputs!$C$21*1000000</x:f>
        <x:v>30.463913239662592</x:v>
      </x:c>
      <x:c r="H233" s="40" t="n">
        <x:f>SQRT(A233^2+Inputs!$C$6^2)</x:f>
        <x:v>60.87076473973364</x:v>
      </x:c>
      <x:c r="I233" s="40" t="n">
        <x:f>DEGREES(ATAN(H233/B233))</x:f>
        <x:v>8.580400233649934</x:v>
      </x:c>
      <x:c r="J233" s="40" t="n">
        <x:f>DEGREES((2*PI()/Inputs!$C$13)*Inputs!$C$15*SIN(RADIANS(I233)))</x:f>
        <x:v>53.71095616845376</x:v>
      </x:c>
      <x:c r="K233" s="40" t="n">
        <x:f>(C233/D233)^4</x:f>
        <x:v>0.9559759479975408</x:v>
      </x:c>
      <x:c r="L233" s="40" t="n">
        <x:f>10*LOG10(K233)</x:f>
        <x:v>-0.195530342755213</x:v>
      </x:c>
      <x:c r="M233" s="40" t="n">
        <x:f>2*(Inputs!$C$9/(Inputs!$C$10^2))*A233</x:f>
        <x:v>0.12333333333333334</x:v>
      </x:c>
      <x:c r="N233" s="40" t="n">
        <x:f>M233*Inputs!$C$11</x:f>
        <x:v>0.49333333333333335</x:v>
      </x:c>
      <x:c r="O233" s="40" t="n">
        <x:f>1000*((A233*Inputs!$C$11)+(B233*N233))/D233</x:f>
        <x:v>1031.9441046803204</x:v>
      </x:c>
      <x:c r="P233" s="40" t="n">
        <x:f>-2*O233/Inputs!$C$13</x:f>
        <x:v>-412.77764187212813</x:v>
      </x:c>
      <x:c r="Q233" s="40" t="n">
        <x:f>-2*O233/Inputs!$C$14</x:f>
        <x:v>-61.978624905724956</x:v>
      </x:c>
      <x:c r="R233" s="40" t="n">
        <x:f>F233-Inputs!$C$16/2</x:f>
        <x:v>2550.4077051733684</x:v>
      </x:c>
      <x:c r="S233" s="40" t="n">
        <x:f>F233+Inputs!$C$16/2</x:f>
        <x:v>2580.4077051733684</x:v>
      </x:c>
      <x:c r="T233" s="40" t="n">
        <x:f>F233-Inputs!$C$17/2</x:f>
        <x:v>2415.4077051733684</x:v>
      </x:c>
      <x:c r="U233" s="40" t="n">
        <x:f>F233+Inputs!$C$17/2</x:f>
        <x:v>2715.4077051733684</x:v>
      </x:c>
      <x:c r="V233" s="40" t="n">
        <x:f>ABS(P233)</x:f>
        <x:v>412.77764187212813</x:v>
      </x:c>
      <x:c r="W233" s="40" t="n">
        <x:f>ABS(Q233)</x:f>
        <x:v>61.978624905724956</x:v>
      </x:c>
      <x:c r="X233" s="40" t="n">
        <x:f>IF(Inputs!$C$27="ON",1,0)*(Inputs!$C$28*EXP(-(((A233)-Inputs!$C$29)^2)/(2*Inputs!$C$31^2))*EXP(-(((0)-Inputs!$C$30)^2)/(2*Inputs!$C$32^2))+-Inputs!$C$33*EXP(-(((((A233)-Inputs!$C$34)^2)+(((0)-Inputs!$C$35)^2))/(2*Inputs!$C$36^2)))+Inputs!$C$37*(0.55*SIN(2*PI()*(A233)/Inputs!$C$39)+0.35*COS(2*PI()*(0)/Inputs!$C$40)+0.2*SIN(2*PI()*((A233)+(0))/(0.5*(Inputs!$C$39+Inputs!$C$40))))+Inputs!$C$38*SIN(2*PI()*(A233)/Inputs!$C$39)*SIN(2*PI()*(0)/Inputs!$C$40)+-Inputs!$C$41*EXP(-(((0)-Inputs!$C$43)^2)/(2*Inputs!$C$44^2))*EXP(-(((A233)-Inputs!$C$42)^2)/(2*Inputs!$C$45^2)))</x:f>
        <x:v>24.762953437037087</x:v>
      </x:c>
      <x:c r="Y233" s="40" t="n">
        <x:f>IF(Inputs!$C$27="ON",1,0)*(Inputs!$C$28*EXP(-(((A233)-Inputs!$C$29)^2)/(2*Inputs!$C$31^2))*EXP(-(((Inputs!$C$6)-Inputs!$C$30)^2)/(2*Inputs!$C$32^2))+-Inputs!$C$33*EXP(-(((((A233)-Inputs!$C$34)^2)+(((Inputs!$C$6)-Inputs!$C$35)^2))/(2*Inputs!$C$36^2)))+Inputs!$C$37*(0.55*SIN(2*PI()*(A233)/Inputs!$C$39)+0.35*COS(2*PI()*(Inputs!$C$6)/Inputs!$C$40)+0.2*SIN(2*PI()*((A233)+(Inputs!$C$6))/(0.5*(Inputs!$C$39+Inputs!$C$40))))+Inputs!$C$38*SIN(2*PI()*(A233)/Inputs!$C$39)*SIN(2*PI()*(Inputs!$C$6)/Inputs!$C$40)+-Inputs!$C$41*EXP(-(((Inputs!$C$6)-Inputs!$C$43)^2)/(2*Inputs!$C$44^2))*EXP(-(((A233)-Inputs!$C$42)^2)/(2*Inputs!$C$45^2)))</x:f>
        <x:v>80.13362973833584</x:v>
      </x:c>
      <x:c r="Z233" s="40" t="n">
        <x:f>B233-X233/1000</x:f>
        <x:v>403.39773704656295</x:v>
      </x:c>
      <x:c r="AA233" s="40" t="n">
        <x:f>SQRT(A233^2+Inputs!$C$6^2+(B233-Y233/1000)^2)</x:f>
        <x:v>407.9096891582283</x:v>
      </x:c>
      <x:c r="AB233" s="40" t="n">
        <x:f>(AA233-Z233)*1000</x:f>
        <x:v>4511.952111665323</x:v>
      </x:c>
      <x:c r="AC233" s="40" t="n">
        <x:f>AB233/Inputs!$C$12</x:f>
        <x:v>2534.8045571153502</x:v>
      </x:c>
      <x:c r="AD233" s="40" t="n">
        <x:f>2*AB233/Inputs!$C$21*1000000</x:f>
        <x:v>30.1005044741007</x:v>
      </x:c>
      <x:c r="AE233" s="40" t="n">
        <x:f>DEGREES(ATAN(H233/(B233-Y233/1000)))</x:f>
        <x:v>8.582079554999156</x:v>
      </x:c>
      <x:c r="AF233" s="40" t="n">
        <x:f>DEGREES((2*PI()/Inputs!$C$13)*Inputs!$C$15*SIN(RADIANS(AE233)))</x:f>
        <x:v>53.7213895348386</x:v>
      </x:c>
      <x:c r="AG233" s="40" t="n">
        <x:f>(Z233/AA233)^4</x:f>
        <x:v>0.9564840783424453</x:v>
      </x:c>
      <x:c r="AH233" s="40" t="n">
        <x:f>10*LOG10(AG233)</x:f>
        <x:v>-0.19322254853172</x:v>
      </x:c>
      <x:c r="AI233" s="40" t="n">
        <x:f>AC233-F233</x:f>
        <x:v>-30.603148058018178</x:v>
      </x:c>
      <x:c r="AJ233" s="40" t="n">
        <x:f>AD233-G233</x:f>
        <x:v>-0.3634087655618927</x:v>
      </x:c>
      <x:c r="AK233" s="40" t="n">
        <x:f>Y233-X233</x:f>
        <x:v>55.37067630129876</x:v>
      </x:c>
      <x:c r="AL233" s="40" t="n">
        <x:f>1000*(AA234-AA232)/(A234-A232)*Inputs!$C$11</x:f>
        <x:v>992.2096422899358</x:v>
      </x:c>
      <x:c r="AM233" s="40" t="n">
        <x:f>-2*AL233/Inputs!$C$13</x:f>
        <x:v>-396.8838569159743</x:v>
      </x:c>
      <x:c r="AN233" s="40" t="n">
        <x:f>-2*AL233/Inputs!$C$14</x:f>
        <x:v>-59.592170708104256</x:v>
      </x:c>
      <x:c r="AO233" s="40" t="n">
        <x:f>ABS(AM233)</x:f>
        <x:v>396.8838569159743</x:v>
      </x:c>
      <x:c r="AP233" s="40" t="n">
        <x:f>ABS(AN233)</x:f>
        <x:v>59.592170708104256</x:v>
      </x:c>
      <x:c r="AQ233" s="40" t="n">
        <x:f>IF(Inputs!$C$27="ON",Inputs!$C$46/Inputs!$C$12,0)</x:f>
        <x:v>42.13483146067416</x:v>
      </x:c>
      <x:c r="AR233" s="40" t="n">
        <x:f>AC233-AQ233</x:f>
        <x:v>2492.669725654676</x:v>
      </x:c>
      <x:c r="AS233" s="40" t="n">
        <x:f>AC233+AQ233</x:f>
        <x:v>2576.9393885760246</x:v>
      </x:c>
    </x:row>
    <x:row r="234">
      <x:c r="A234" s="40" t="n">
        <x:f>Inputs!$C$7+232*(Inputs!$C$8-Inputs!$C$7)/240</x:f>
        <x:v>56</x:v>
      </x:c>
      <x:c r="B234" s="40" t="n">
        <x:f>Inputs!$C$5+Inputs!$C$9*(A234/Inputs!$C$10)^2</x:f>
        <x:v>403.4844444444444</x:v>
      </x:c>
      <x:c r="C234" s="40" t="n">
        <x:f>B234</x:f>
        <x:v>403.4844444444444</x:v>
      </x:c>
      <x:c r="D234" s="40" t="n">
        <x:f>SQRT(A234^2+Inputs!$C$6^2+B234^2)</x:f>
        <x:v>408.1184839095651</x:v>
      </x:c>
      <x:c r="E234" s="40" t="n">
        <x:f>(D234-C234)*1000</x:f>
        <x:v>4634.039465120679</x:v>
      </x:c>
      <x:c r="F234" s="40" t="n">
        <x:f>E234/Inputs!$C$12</x:f>
        <x:v>2603.3929579329656</x:v>
      </x:c>
      <x:c r="G234" s="40" t="n">
        <x:f>2*E234/Inputs!$C$21*1000000</x:f>
        <x:v>30.914983625910157</x:v>
      </x:c>
      <x:c r="H234" s="40" t="n">
        <x:f>SQRT(A234^2+Inputs!$C$6^2)</x:f>
        <x:v>61.326992425847855</x:v>
      </x:c>
      <x:c r="I234" s="40" t="n">
        <x:f>DEGREES(ATAN(H234/B234))</x:f>
        <x:v>8.642435724573849</x:v>
      </x:c>
      <x:c r="J234" s="40" t="n">
        <x:f>DEGREES((2*PI()/Inputs!$C$13)*Inputs!$C$15*SIN(RADIANS(I234)))</x:f>
        <x:v>54.09634246852054</x:v>
      </x:c>
      <x:c r="K234" s="40" t="n">
        <x:f>(C234/D234)^4</x:f>
        <x:v>0.9553491585030692</x:v>
      </x:c>
      <x:c r="L234" s="40" t="n">
        <x:f>10*LOG10(K234)</x:f>
        <x:v>-0.198378745966117</x:v>
      </x:c>
      <x:c r="M234" s="40" t="n">
        <x:f>2*(Inputs!$C$9/(Inputs!$C$10^2))*A234</x:f>
        <x:v>0.12444444444444444</x:v>
      </x:c>
      <x:c r="N234" s="40" t="n">
        <x:f>M234*Inputs!$C$11</x:f>
        <x:v>0.49777777777777776</x:v>
      </x:c>
      <x:c r="O234" s="40" t="n">
        <x:f>1000*((A234*Inputs!$C$11)+(B234*N234))/D234</x:f>
        <x:v>1040.9859069691101</x:v>
      </x:c>
      <x:c r="P234" s="40" t="n">
        <x:f>-2*O234/Inputs!$C$13</x:f>
        <x:v>-416.39436278764407</x:v>
      </x:c>
      <x:c r="Q234" s="40" t="n">
        <x:f>-2*O234/Inputs!$C$14</x:f>
        <x:v>-62.52167609424085</x:v>
      </x:c>
      <x:c r="R234" s="40" t="n">
        <x:f>F234-Inputs!$C$16/2</x:f>
        <x:v>2588.3929579329656</x:v>
      </x:c>
      <x:c r="S234" s="40" t="n">
        <x:f>F234+Inputs!$C$16/2</x:f>
        <x:v>2618.3929579329656</x:v>
      </x:c>
      <x:c r="T234" s="40" t="n">
        <x:f>F234-Inputs!$C$17/2</x:f>
        <x:v>2453.3929579329656</x:v>
      </x:c>
      <x:c r="U234" s="40" t="n">
        <x:f>F234+Inputs!$C$17/2</x:f>
        <x:v>2753.3929579329656</x:v>
      </x:c>
      <x:c r="V234" s="40" t="n">
        <x:f>ABS(P234)</x:f>
        <x:v>416.39436278764407</x:v>
      </x:c>
      <x:c r="W234" s="40" t="n">
        <x:f>ABS(Q234)</x:f>
        <x:v>62.52167609424085</x:v>
      </x:c>
      <x:c r="X234" s="40" t="n">
        <x:f>IF(Inputs!$C$27="ON",1,0)*(Inputs!$C$28*EXP(-(((A234)-Inputs!$C$29)^2)/(2*Inputs!$C$31^2))*EXP(-(((0)-Inputs!$C$30)^2)/(2*Inputs!$C$32^2))+-Inputs!$C$33*EXP(-(((((A234)-Inputs!$C$34)^2)+(((0)-Inputs!$C$35)^2))/(2*Inputs!$C$36^2)))+Inputs!$C$37*(0.55*SIN(2*PI()*(A234)/Inputs!$C$39)+0.35*COS(2*PI()*(0)/Inputs!$C$40)+0.2*SIN(2*PI()*((A234)+(0))/(0.5*(Inputs!$C$39+Inputs!$C$40))))+Inputs!$C$38*SIN(2*PI()*(A234)/Inputs!$C$39)*SIN(2*PI()*(0)/Inputs!$C$40)+-Inputs!$C$41*EXP(-(((0)-Inputs!$C$43)^2)/(2*Inputs!$C$44^2))*EXP(-(((A234)-Inputs!$C$42)^2)/(2*Inputs!$C$45^2)))</x:f>
        <x:v>29.355156711083108</x:v>
      </x:c>
      <x:c r="Y234" s="40" t="n">
        <x:f>IF(Inputs!$C$27="ON",1,0)*(Inputs!$C$28*EXP(-(((A234)-Inputs!$C$29)^2)/(2*Inputs!$C$31^2))*EXP(-(((Inputs!$C$6)-Inputs!$C$30)^2)/(2*Inputs!$C$32^2))+-Inputs!$C$33*EXP(-(((((A234)-Inputs!$C$34)^2)+(((Inputs!$C$6)-Inputs!$C$35)^2))/(2*Inputs!$C$36^2)))+Inputs!$C$37*(0.55*SIN(2*PI()*(A234)/Inputs!$C$39)+0.35*COS(2*PI()*(Inputs!$C$6)/Inputs!$C$40)+0.2*SIN(2*PI()*((A234)+(Inputs!$C$6))/(0.5*(Inputs!$C$39+Inputs!$C$40))))+Inputs!$C$38*SIN(2*PI()*(A234)/Inputs!$C$39)*SIN(2*PI()*(Inputs!$C$6)/Inputs!$C$40)+-Inputs!$C$41*EXP(-(((Inputs!$C$6)-Inputs!$C$43)^2)/(2*Inputs!$C$44^2))*EXP(-(((A234)-Inputs!$C$42)^2)/(2*Inputs!$C$45^2)))</x:f>
        <x:v>84.57671144749197</x:v>
      </x:c>
      <x:c r="Z234" s="40" t="n">
        <x:f>B234-X234/1000</x:f>
        <x:v>403.45508928773336</x:v>
      </x:c>
      <x:c r="AA234" s="40" t="n">
        <x:f>SQRT(A234^2+Inputs!$C$6^2+(B234-Y234/1000)^2)</x:f>
        <x:v>408.0348677343634</x:v>
      </x:c>
      <x:c r="AB234" s="40" t="n">
        <x:f>(AA234-Z234)*1000</x:f>
        <x:v>4579.77844663003</x:v>
      </x:c>
      <x:c r="AC234" s="40" t="n">
        <x:f>AB234/Inputs!$C$12</x:f>
        <x:v>2572.909239679792</x:v>
      </x:c>
      <x:c r="AD234" s="40" t="n">
        <x:f>2*AB234/Inputs!$C$21*1000000</x:f>
        <x:v>30.55299307516288</x:v>
      </x:c>
      <x:c r="AE234" s="40" t="n">
        <x:f>DEGREES(ATAN(H234/(B234-Y234/1000)))</x:f>
        <x:v>8.64422032730322</x:v>
      </x:c>
      <x:c r="AF234" s="40" t="n">
        <x:f>DEGREES((2*PI()/Inputs!$C$13)*Inputs!$C$15*SIN(RADIANS(AE234)))</x:f>
        <x:v>54.10742811243804</x:v>
      </x:c>
      <x:c r="AG234" s="40" t="n">
        <x:f>(Z234/AA234)^4</x:f>
        <x:v>0.9558542755296592</x:v>
      </x:c>
      <x:c r="AH234" s="40" t="n">
        <x:f>10*LOG10(AG234)</x:f>
        <x:v>-0.19608312909389103</x:v>
      </x:c>
      <x:c r="AI234" s="40" t="n">
        <x:f>AC234-F234</x:f>
        <x:v>-30.48371825317372</x:v>
      </x:c>
      <x:c r="AJ234" s="40" t="n">
        <x:f>AD234-G234</x:f>
        <x:v>-0.3619905507472758</x:v>
      </x:c>
      <x:c r="AK234" s="40" t="n">
        <x:f>Y234-X234</x:f>
        <x:v>55.22155473640886</x:v>
      </x:c>
      <x:c r="AL234" s="40" t="n">
        <x:f>1000*(AA235-AA233)/(A235-A233)*Inputs!$C$11</x:f>
        <x:v>1011.2111752366673</x:v>
      </x:c>
      <x:c r="AM234" s="40" t="n">
        <x:f>-2*AL234/Inputs!$C$13</x:f>
        <x:v>-404.4844700946669</x:v>
      </x:c>
      <x:c r="AN234" s="40" t="n">
        <x:f>-2*AL234/Inputs!$C$14</x:f>
        <x:v>-60.73340391811816</x:v>
      </x:c>
      <x:c r="AO234" s="40" t="n">
        <x:f>ABS(AM234)</x:f>
        <x:v>404.4844700946669</x:v>
      </x:c>
      <x:c r="AP234" s="40" t="n">
        <x:f>ABS(AN234)</x:f>
        <x:v>60.73340391811816</x:v>
      </x:c>
      <x:c r="AQ234" s="40" t="n">
        <x:f>IF(Inputs!$C$27="ON",Inputs!$C$46/Inputs!$C$12,0)</x:f>
        <x:v>42.13483146067416</x:v>
      </x:c>
      <x:c r="AR234" s="40" t="n">
        <x:f>AC234-AQ234</x:f>
        <x:v>2530.7744082191175</x:v>
      </x:c>
      <x:c r="AS234" s="40" t="n">
        <x:f>AC234+AQ234</x:f>
        <x:v>2615.0440711404663</x:v>
      </x:c>
    </x:row>
    <x:row r="235">
      <x:c r="A235" s="40" t="n">
        <x:f>Inputs!$C$7+233*(Inputs!$C$8-Inputs!$C$7)/240</x:f>
        <x:v>56.5</x:v>
      </x:c>
      <x:c r="B235" s="40" t="n">
        <x:f>Inputs!$C$5+Inputs!$C$9*(A235/Inputs!$C$10)^2</x:f>
        <x:v>403.5469444444444</x:v>
      </x:c>
      <x:c r="C235" s="40" t="n">
        <x:f>B235</x:f>
        <x:v>403.5469444444444</x:v>
      </x:c>
      <x:c r="D235" s="40" t="n">
        <x:f>SQRT(A235^2+Inputs!$C$6^2+B235^2)</x:f>
        <x:v>408.24917191642595</x:v>
      </x:c>
      <x:c r="E235" s="40" t="n">
        <x:f>(D235-C235)*1000</x:f>
        <x:v>4702.2274719815305</x:v>
      </x:c>
      <x:c r="F235" s="40" t="n">
        <x:f>E235/Inputs!$C$12</x:f>
        <x:v>2641.700826955916</x:v>
      </x:c>
      <x:c r="G235" s="40" t="n">
        <x:f>2*E235/Inputs!$C$21*1000000</x:f>
        <x:v>31.369885042148262</x:v>
      </x:c>
      <x:c r="H235" s="40" t="n">
        <x:f>SQRT(A235^2+Inputs!$C$6^2)</x:f>
        <x:v>61.78389757857625</x:v>
      </x:c>
      <x:c r="I235" s="40" t="n">
        <x:f>DEGREES(ATAN(H235/B235))</x:f>
        <x:v>8.704513953078392</x:v>
      </x:c>
      <x:c r="J235" s="40" t="n">
        <x:f>DEGREES((2*PI()/Inputs!$C$13)*Inputs!$C$15*SIN(RADIANS(I235)))</x:f>
        <x:v>54.48193078721229</x:v>
      </x:c>
      <x:c r="K235" s="40" t="n">
        <x:f>(C235/D235)^4</x:f>
        <x:v>0.9547177635858287</x:v>
      </x:c>
      <x:c r="L235" s="40" t="n">
        <x:f>10*LOG10(K235)</x:f>
        <x:v>-0.201249968280644</x:v>
      </x:c>
      <x:c r="M235" s="40" t="n">
        <x:f>2*(Inputs!$C$9/(Inputs!$C$10^2))*A235</x:f>
        <x:v>0.12555555555555556</x:v>
      </x:c>
      <x:c r="N235" s="40" t="n">
        <x:f>M235*Inputs!$C$11</x:f>
        <x:v>0.5022222222222222</x:v>
      </x:c>
      <x:c r="O235" s="40" t="n">
        <x:f>1000*((A235*Inputs!$C$11)+(B235*N235))/D235</x:f>
        <x:v>1050.0210966689506</x:v>
      </x:c>
      <x:c r="P235" s="40" t="n">
        <x:f>-2*O235/Inputs!$C$13</x:f>
        <x:v>-420.0084386675802</x:v>
      </x:c>
      <x:c r="Q235" s="40" t="n">
        <x:f>-2*O235/Inputs!$C$14</x:f>
        <x:v>-63.06433013026731</x:v>
      </x:c>
      <x:c r="R235" s="40" t="n">
        <x:f>F235-Inputs!$C$16/2</x:f>
        <x:v>2626.700826955916</x:v>
      </x:c>
      <x:c r="S235" s="40" t="n">
        <x:f>F235+Inputs!$C$16/2</x:f>
        <x:v>2656.700826955916</x:v>
      </x:c>
      <x:c r="T235" s="40" t="n">
        <x:f>F235-Inputs!$C$17/2</x:f>
        <x:v>2491.700826955916</x:v>
      </x:c>
      <x:c r="U235" s="40" t="n">
        <x:f>F235+Inputs!$C$17/2</x:f>
        <x:v>2791.700826955916</x:v>
      </x:c>
      <x:c r="V235" s="40" t="n">
        <x:f>ABS(P235)</x:f>
        <x:v>420.0084386675802</x:v>
      </x:c>
      <x:c r="W235" s="40" t="n">
        <x:f>ABS(Q235)</x:f>
        <x:v>63.06433013026731</x:v>
      </x:c>
      <x:c r="X235" s="40" t="n">
        <x:f>IF(Inputs!$C$27="ON",1,0)*(Inputs!$C$28*EXP(-(((A235)-Inputs!$C$29)^2)/(2*Inputs!$C$31^2))*EXP(-(((0)-Inputs!$C$30)^2)/(2*Inputs!$C$32^2))+-Inputs!$C$33*EXP(-(((((A235)-Inputs!$C$34)^2)+(((0)-Inputs!$C$35)^2))/(2*Inputs!$C$36^2)))+Inputs!$C$37*(0.55*SIN(2*PI()*(A235)/Inputs!$C$39)+0.35*COS(2*PI()*(0)/Inputs!$C$40)+0.2*SIN(2*PI()*((A235)+(0))/(0.5*(Inputs!$C$39+Inputs!$C$40))))+Inputs!$C$38*SIN(2*PI()*(A235)/Inputs!$C$39)*SIN(2*PI()*(0)/Inputs!$C$40)+-Inputs!$C$41*EXP(-(((0)-Inputs!$C$43)^2)/(2*Inputs!$C$44^2))*EXP(-(((A235)-Inputs!$C$42)^2)/(2*Inputs!$C$45^2)))</x:f>
        <x:v>33.813981430760975</x:v>
      </x:c>
      <x:c r="Y235" s="40" t="n">
        <x:f>IF(Inputs!$C$27="ON",1,0)*(Inputs!$C$28*EXP(-(((A235)-Inputs!$C$29)^2)/(2*Inputs!$C$31^2))*EXP(-(((Inputs!$C$6)-Inputs!$C$30)^2)/(2*Inputs!$C$32^2))+-Inputs!$C$33*EXP(-(((((A235)-Inputs!$C$34)^2)+(((Inputs!$C$6)-Inputs!$C$35)^2))/(2*Inputs!$C$36^2)))+Inputs!$C$37*(0.55*SIN(2*PI()*(A235)/Inputs!$C$39)+0.35*COS(2*PI()*(Inputs!$C$6)/Inputs!$C$40)+0.2*SIN(2*PI()*((A235)+(Inputs!$C$6))/(0.5*(Inputs!$C$39+Inputs!$C$40))))+Inputs!$C$38*SIN(2*PI()*(A235)/Inputs!$C$39)*SIN(2*PI()*(Inputs!$C$6)/Inputs!$C$40)+-Inputs!$C$41*EXP(-(((Inputs!$C$6)-Inputs!$C$43)^2)/(2*Inputs!$C$44^2))*EXP(-(((A235)-Inputs!$C$42)^2)/(2*Inputs!$C$45^2)))</x:f>
        <x:v>87.69019874361683</x:v>
      </x:c>
      <x:c r="Z235" s="40" t="n">
        <x:f>B235-X235/1000</x:f>
        <x:v>403.5131304630137</x:v>
      </x:c>
      <x:c r="AA235" s="40" t="n">
        <x:f>SQRT(A235^2+Inputs!$C$6^2+(B235-Y235/1000)^2)</x:f>
        <x:v>408.16249195203744</x:v>
      </x:c>
      <x:c r="AB235" s="40" t="n">
        <x:f>(AA235-Z235)*1000</x:f>
        <x:v>4649.36148902376</x:v>
      </x:c>
      <x:c r="AC235" s="40" t="n">
        <x:f>AB235/Inputs!$C$12</x:f>
        <x:v>2612.0008365302024</x:v>
      </x:c>
      <x:c r="AD235" s="40" t="n">
        <x:f>2*AB235/Inputs!$C$21*1000000</x:f>
        <x:v>31.017201166706872</x:v>
      </x:c>
      <x:c r="AE235" s="40" t="n">
        <x:f>DEGREES(ATAN(H235/(B235-Y235/1000)))</x:f>
        <x:v>8.706376857542796</x:v>
      </x:c>
      <x:c r="AF235" s="40" t="n">
        <x:f>DEGREES((2*PI()/Inputs!$C$13)*Inputs!$C$15*SIN(RADIANS(AE235)))</x:f>
        <x:v>54.493500914094525</x:v>
      </x:c>
      <x:c r="AG235" s="40" t="n">
        <x:f>(Z235/AA235)^4</x:f>
        <x:v>0.9552087992680522</x:v>
      </x:c>
      <x:c r="AH235" s="40" t="n">
        <x:f>10*LOG10(AG235)</x:f>
        <x:v>-0.19901685527982602</x:v>
      </x:c>
      <x:c r="AI235" s="40" t="n">
        <x:f>AC235-F235</x:f>
        <x:v>-29.699990425713622</x:v>
      </x:c>
      <x:c r="AJ235" s="40" t="n">
        <x:f>AD235-G235</x:f>
        <x:v>-0.35268387544138946</x:v>
      </x:c>
      <x:c r="AK235" s="40" t="n">
        <x:f>Y235-X235</x:f>
        <x:v>53.87621731285586</x:v>
      </x:c>
      <x:c r="AL235" s="40" t="n">
        <x:f>1000*(AA236-AA234)/(A236-A234)*Inputs!$C$11</x:f>
        <x:v>1031.156844163661</x:v>
      </x:c>
      <x:c r="AM235" s="40" t="n">
        <x:f>-2*AL235/Inputs!$C$13</x:f>
        <x:v>-412.4627376654644</x:v>
      </x:c>
      <x:c r="AN235" s="40" t="n">
        <x:f>-2*AL235/Inputs!$C$14</x:f>
        <x:v>-61.93134199181147</x:v>
      </x:c>
      <x:c r="AO235" s="40" t="n">
        <x:f>ABS(AM235)</x:f>
        <x:v>412.4627376654644</x:v>
      </x:c>
      <x:c r="AP235" s="40" t="n">
        <x:f>ABS(AN235)</x:f>
        <x:v>61.93134199181147</x:v>
      </x:c>
      <x:c r="AQ235" s="40" t="n">
        <x:f>IF(Inputs!$C$27="ON",Inputs!$C$46/Inputs!$C$12,0)</x:f>
        <x:v>42.13483146067416</x:v>
      </x:c>
      <x:c r="AR235" s="40" t="n">
        <x:f>AC235-AQ235</x:f>
        <x:v>2569.866005069528</x:v>
      </x:c>
      <x:c r="AS235" s="40" t="n">
        <x:f>AC235+AQ235</x:f>
        <x:v>2654.1356679908768</x:v>
      </x:c>
    </x:row>
    <x:row r="236">
      <x:c r="A236" s="40" t="n">
        <x:f>Inputs!$C$7+234*(Inputs!$C$8-Inputs!$C$7)/240</x:f>
        <x:v>57</x:v>
      </x:c>
      <x:c r="B236" s="40" t="n">
        <x:f>Inputs!$C$5+Inputs!$C$9*(A236/Inputs!$C$10)^2</x:f>
        <x:v>403.61</x:v>
      </x:c>
      <x:c r="C236" s="40" t="n">
        <x:f>B236</x:f>
        <x:v>403.61</x:v>
      </x:c>
      <x:c r="D236" s="40" t="n">
        <x:f>SQRT(A236^2+Inputs!$C$6^2+B236^2)</x:f>
        <x:v>408.38098890619284</x:v>
      </x:c>
      <x:c r="E236" s="40" t="n">
        <x:f>(D236-C236)*1000</x:f>
        <x:v>4770.988906192826</x:v>
      </x:c>
      <x:c r="F236" s="40" t="n">
        <x:f>E236/Inputs!$C$12</x:f>
        <x:v>2680.330846175745</x:v>
      </x:c>
      <x:c r="G236" s="40" t="n">
        <x:f>2*E236/Inputs!$C$21*1000000</x:f>
        <x:v>31.828611953892622</x:v>
      </x:c>
      <x:c r="H236" s="40" t="n">
        <x:f>SQRT(A236^2+Inputs!$C$6^2)</x:f>
        <x:v>62.24146527838174</x:v>
      </x:c>
      <x:c r="I236" s="40" t="n">
        <x:f>DEGREES(ATAN(H236/B236))</x:f>
        <x:v>8.766632366658216</x:v>
      </x:c>
      <x:c r="J236" s="40" t="n">
        <x:f>DEGREES((2*PI()/Inputs!$C$13)*Inputs!$C$15*SIN(RADIANS(I236)))</x:f>
        <x:v>54.86770468976069</x:v>
      </x:c>
      <x:c r="K236" s="40" t="n">
        <x:f>(C236/D236)^4</x:f>
        <x:v>0.9540817881574452</x:v>
      </x:c>
      <x:c r="L236" s="40" t="n">
        <x:f>10*LOG10(K236)</x:f>
        <x:v>-0.20414394034954</x:v>
      </x:c>
      <x:c r="M236" s="40" t="n">
        <x:f>2*(Inputs!$C$9/(Inputs!$C$10^2))*A236</x:f>
        <x:v>0.12666666666666668</x:v>
      </x:c>
      <x:c r="N236" s="40" t="n">
        <x:f>M236*Inputs!$C$11</x:f>
        <x:v>0.5066666666666667</x:v>
      </x:c>
      <x:c r="O236" s="40" t="n">
        <x:f>1000*((A236*Inputs!$C$11)+(B236*N236))/D236</x:f>
        <x:v>1059.049625428768</x:v>
      </x:c>
      <x:c r="P236" s="40" t="n">
        <x:f>-2*O236/Inputs!$C$13</x:f>
        <x:v>-423.6198501715072</x:v>
      </x:c>
      <x:c r="Q236" s="40" t="n">
        <x:f>-2*O236/Inputs!$C$14</x:f>
        <x:v>-63.60658410983592</x:v>
      </x:c>
      <x:c r="R236" s="40" t="n">
        <x:f>F236-Inputs!$C$16/2</x:f>
        <x:v>2665.330846175745</x:v>
      </x:c>
      <x:c r="S236" s="40" t="n">
        <x:f>F236+Inputs!$C$16/2</x:f>
        <x:v>2695.330846175745</x:v>
      </x:c>
      <x:c r="T236" s="40" t="n">
        <x:f>F236-Inputs!$C$17/2</x:f>
        <x:v>2530.330846175745</x:v>
      </x:c>
      <x:c r="U236" s="40" t="n">
        <x:f>F236+Inputs!$C$17/2</x:f>
        <x:v>2830.330846175745</x:v>
      </x:c>
      <x:c r="V236" s="40" t="n">
        <x:f>ABS(P236)</x:f>
        <x:v>423.6198501715072</x:v>
      </x:c>
      <x:c r="W236" s="40" t="n">
        <x:f>ABS(Q236)</x:f>
        <x:v>63.60658410983592</x:v>
      </x:c>
      <x:c r="X236" s="40" t="n">
        <x:f>IF(Inputs!$C$27="ON",1,0)*(Inputs!$C$28*EXP(-(((A236)-Inputs!$C$29)^2)/(2*Inputs!$C$31^2))*EXP(-(((0)-Inputs!$C$30)^2)/(2*Inputs!$C$32^2))+-Inputs!$C$33*EXP(-(((((A236)-Inputs!$C$34)^2)+(((0)-Inputs!$C$35)^2))/(2*Inputs!$C$36^2)))+Inputs!$C$37*(0.55*SIN(2*PI()*(A236)/Inputs!$C$39)+0.35*COS(2*PI()*(0)/Inputs!$C$40)+0.2*SIN(2*PI()*((A236)+(0))/(0.5*(Inputs!$C$39+Inputs!$C$40))))+Inputs!$C$38*SIN(2*PI()*(A236)/Inputs!$C$39)*SIN(2*PI()*(0)/Inputs!$C$40)+-Inputs!$C$41*EXP(-(((0)-Inputs!$C$43)^2)/(2*Inputs!$C$44^2))*EXP(-(((A236)-Inputs!$C$42)^2)/(2*Inputs!$C$45^2)))</x:f>
        <x:v>38.005525483802124</x:v>
      </x:c>
      <x:c r="Y236" s="40" t="n">
        <x:f>IF(Inputs!$C$27="ON",1,0)*(Inputs!$C$28*EXP(-(((A236)-Inputs!$C$29)^2)/(2*Inputs!$C$31^2))*EXP(-(((Inputs!$C$6)-Inputs!$C$30)^2)/(2*Inputs!$C$32^2))+-Inputs!$C$33*EXP(-(((((A236)-Inputs!$C$34)^2)+(((Inputs!$C$6)-Inputs!$C$35)^2))/(2*Inputs!$C$36^2)))+Inputs!$C$37*(0.55*SIN(2*PI()*(A236)/Inputs!$C$39)+0.35*COS(2*PI()*(Inputs!$C$6)/Inputs!$C$40)+0.2*SIN(2*PI()*((A236)+(Inputs!$C$6))/(0.5*(Inputs!$C$39+Inputs!$C$40))))+Inputs!$C$38*SIN(2*PI()*(A236)/Inputs!$C$39)*SIN(2*PI()*(Inputs!$C$6)/Inputs!$C$40)+-Inputs!$C$41*EXP(-(((Inputs!$C$6)-Inputs!$C$43)^2)/(2*Inputs!$C$44^2))*EXP(-(((A236)-Inputs!$C$42)^2)/(2*Inputs!$C$45^2)))</x:f>
        <x:v>89.37634423494337</x:v>
      </x:c>
      <x:c r="Z236" s="40" t="n">
        <x:f>B236-X236/1000</x:f>
        <x:v>403.5719944745162</x:v>
      </x:c>
      <x:c r="AA236" s="40" t="n">
        <x:f>SQRT(A236^2+Inputs!$C$6^2+(B236-Y236/1000)^2)</x:f>
        <x:v>408.2926569454043</x:v>
      </x:c>
      <x:c r="AB236" s="40" t="n">
        <x:f>(AA236-Z236)*1000</x:f>
        <x:v>4720.662470888101</x:v>
      </x:c>
      <x:c r="AC236" s="40" t="n">
        <x:f>AB236/Inputs!$C$12</x:f>
        <x:v>2652.057567914663</x:v>
      </x:c>
      <x:c r="AD236" s="40" t="n">
        <x:f>2*AB236/Inputs!$C$21*1000000</x:f>
        <x:v>31.49287011675324</x:v>
      </x:c>
      <x:c r="AE236" s="40" t="n">
        <x:f>DEGREES(ATAN(H236/(B236-Y236/1000)))</x:f>
        <x:v>8.768543926690993</x:v>
      </x:c>
      <x:c r="AF236" s="40" t="n">
        <x:f>DEGREES((2*PI()/Inputs!$C$13)*Inputs!$C$15*SIN(RADIANS(AE236)))</x:f>
        <x:v>54.879575028001575</x:v>
      </x:c>
      <x:c r="AG236" s="40" t="n">
        <x:f>(Z236/AA236)^4</x:f>
        <x:v>0.9545480775096349</x:v>
      </x:c>
      <x:c r="AH236" s="40" t="n">
        <x:f>10*LOG10(AG236)</x:f>
        <x:v>-0.20202192706348798</x:v>
      </x:c>
      <x:c r="AI236" s="40" t="n">
        <x:f>AC236-F236</x:f>
        <x:v>-28.27327826108194</x:v>
      </x:c>
      <x:c r="AJ236" s="40" t="n">
        <x:f>AD236-G236</x:f>
        <x:v>-0.33574183713938055</x:v>
      </x:c>
      <x:c r="AK236" s="40" t="n">
        <x:f>Y236-X236</x:f>
        <x:v>51.37081875114125</x:v>
      </x:c>
      <x:c r="AL236" s="40" t="n">
        <x:f>1000*(AA237-AA235)/(A237-A235)*Inputs!$C$11</x:f>
        <x:v>1051.674481605005</x:v>
      </x:c>
      <x:c r="AM236" s="40" t="n">
        <x:f>-2*AL236/Inputs!$C$13</x:f>
        <x:v>-420.669792642002</x:v>
      </x:c>
      <x:c r="AN236" s="40" t="n">
        <x:f>-2*AL236/Inputs!$C$14</x:f>
        <x:v>-63.16363252882913</x:v>
      </x:c>
      <x:c r="AO236" s="40" t="n">
        <x:f>ABS(AM236)</x:f>
        <x:v>420.669792642002</x:v>
      </x:c>
      <x:c r="AP236" s="40" t="n">
        <x:f>ABS(AN236)</x:f>
        <x:v>63.16363252882913</x:v>
      </x:c>
      <x:c r="AQ236" s="40" t="n">
        <x:f>IF(Inputs!$C$27="ON",Inputs!$C$46/Inputs!$C$12,0)</x:f>
        <x:v>42.13483146067416</x:v>
      </x:c>
      <x:c r="AR236" s="40" t="n">
        <x:f>AC236-AQ236</x:f>
        <x:v>2609.922736453989</x:v>
      </x:c>
      <x:c r="AS236" s="40" t="n">
        <x:f>AC236+AQ236</x:f>
        <x:v>2694.1923993753376</x:v>
      </x:c>
    </x:row>
    <x:row r="237">
      <x:c r="A237" s="40" t="n">
        <x:f>Inputs!$C$7+235*(Inputs!$C$8-Inputs!$C$7)/240</x:f>
        <x:v>57.5</x:v>
      </x:c>
      <x:c r="B237" s="40" t="n">
        <x:f>Inputs!$C$5+Inputs!$C$9*(A237/Inputs!$C$10)^2</x:f>
        <x:v>403.6736111111111</x:v>
      </x:c>
      <x:c r="C237" s="40" t="n">
        <x:f>B237</x:f>
        <x:v>403.6736111111111</x:v>
      </x:c>
      <x:c r="D237" s="40" t="n">
        <x:f>SQRT(A237^2+Inputs!$C$6^2+B237^2)</x:f>
        <x:v>408.5139340432399</x:v>
      </x:c>
      <x:c r="E237" s="40" t="n">
        <x:f>(D237-C237)*1000</x:f>
        <x:v>4840.3229321288</x:v>
      </x:c>
      <x:c r="F237" s="40" t="n">
        <x:f>E237/Inputs!$C$12</x:f>
        <x:v>2719.282546139775</x:v>
      </x:c>
      <x:c r="G237" s="40" t="n">
        <x:f>2*E237/Inputs!$C$21*1000000</x:f>
        <x:v>32.291158786448186</x:v>
      </x:c>
      <x:c r="H237" s="40" t="n">
        <x:f>SQRT(A237^2+Inputs!$C$6^2)</x:f>
        <x:v>62.69968101992226</x:v>
      </x:c>
      <x:c r="I237" s="40" t="n">
        <x:f>DEGREES(ATAN(H237/B237))</x:f>
        <x:v>8.828788473728661</x:v>
      </x:c>
      <x:c r="J237" s="40" t="n">
        <x:f>DEGREES((2*PI()/Inputs!$C$13)*Inputs!$C$15*SIN(RADIANS(I237)))</x:f>
        <x:v>55.25364812839616</x:v>
      </x:c>
      <x:c r="K237" s="40" t="n">
        <x:f>(C237/D237)^4</x:f>
        <x:v>0.9534412572554191</x:v>
      </x:c>
      <x:c r="L237" s="40" t="n">
        <x:f>10*LOG10(K237)</x:f>
        <x:v>-0.20706059236444402</x:v>
      </x:c>
      <x:c r="M237" s="40" t="n">
        <x:f>2*(Inputs!$C$9/(Inputs!$C$10^2))*A237</x:f>
        <x:v>0.12777777777777777</x:v>
      </x:c>
      <x:c r="N237" s="40" t="n">
        <x:f>M237*Inputs!$C$11</x:f>
        <x:v>0.5111111111111111</x:v>
      </x:c>
      <x:c r="O237" s="40" t="n">
        <x:f>1000*((A237*Inputs!$C$11)+(B237*N237))/D237</x:f>
        <x:v>1068.0714451592028</x:v>
      </x:c>
      <x:c r="P237" s="40" t="n">
        <x:f>-2*O237/Inputs!$C$13</x:f>
        <x:v>-427.2285780636811</x:v>
      </x:c>
      <x:c r="Q237" s="40" t="n">
        <x:f>-2*O237/Inputs!$C$14</x:f>
        <x:v>-64.14843514469686</x:v>
      </x:c>
      <x:c r="R237" s="40" t="n">
        <x:f>F237-Inputs!$C$16/2</x:f>
        <x:v>2704.282546139775</x:v>
      </x:c>
      <x:c r="S237" s="40" t="n">
        <x:f>F237+Inputs!$C$16/2</x:f>
        <x:v>2734.282546139775</x:v>
      </x:c>
      <x:c r="T237" s="40" t="n">
        <x:f>F237-Inputs!$C$17/2</x:f>
        <x:v>2569.282546139775</x:v>
      </x:c>
      <x:c r="U237" s="40" t="n">
        <x:f>F237+Inputs!$C$17/2</x:f>
        <x:v>2869.282546139775</x:v>
      </x:c>
      <x:c r="V237" s="40" t="n">
        <x:f>ABS(P237)</x:f>
        <x:v>427.2285780636811</x:v>
      </x:c>
      <x:c r="W237" s="40" t="n">
        <x:f>ABS(Q237)</x:f>
        <x:v>64.14843514469686</x:v>
      </x:c>
      <x:c r="X237" s="40" t="n">
        <x:f>IF(Inputs!$C$27="ON",1,0)*(Inputs!$C$28*EXP(-(((A237)-Inputs!$C$29)^2)/(2*Inputs!$C$31^2))*EXP(-(((0)-Inputs!$C$30)^2)/(2*Inputs!$C$32^2))+-Inputs!$C$33*EXP(-(((((A237)-Inputs!$C$34)^2)+(((0)-Inputs!$C$35)^2))/(2*Inputs!$C$36^2)))+Inputs!$C$37*(0.55*SIN(2*PI()*(A237)/Inputs!$C$39)+0.35*COS(2*PI()*(0)/Inputs!$C$40)+0.2*SIN(2*PI()*((A237)+(0))/(0.5*(Inputs!$C$39+Inputs!$C$40))))+Inputs!$C$38*SIN(2*PI()*(A237)/Inputs!$C$39)*SIN(2*PI()*(0)/Inputs!$C$40)+-Inputs!$C$41*EXP(-(((0)-Inputs!$C$43)^2)/(2*Inputs!$C$44^2))*EXP(-(((A237)-Inputs!$C$42)^2)/(2*Inputs!$C$45^2)))</x:f>
        <x:v>41.79647502086598</x:v>
      </x:c>
      <x:c r="Y237" s="40" t="n">
        <x:f>IF(Inputs!$C$27="ON",1,0)*(Inputs!$C$28*EXP(-(((A237)-Inputs!$C$29)^2)/(2*Inputs!$C$31^2))*EXP(-(((Inputs!$C$6)-Inputs!$C$30)^2)/(2*Inputs!$C$32^2))+-Inputs!$C$33*EXP(-(((((A237)-Inputs!$C$34)^2)+(((Inputs!$C$6)-Inputs!$C$35)^2))/(2*Inputs!$C$36^2)))+Inputs!$C$37*(0.55*SIN(2*PI()*(A237)/Inputs!$C$39)+0.35*COS(2*PI()*(Inputs!$C$6)/Inputs!$C$40)+0.2*SIN(2*PI()*((A237)+(Inputs!$C$6))/(0.5*(Inputs!$C$39+Inputs!$C$40))))+Inputs!$C$38*SIN(2*PI()*(A237)/Inputs!$C$39)*SIN(2*PI()*(Inputs!$C$6)/Inputs!$C$40)+-Inputs!$C$41*EXP(-(((Inputs!$C$6)-Inputs!$C$43)^2)/(2*Inputs!$C$44^2))*EXP(-(((A237)-Inputs!$C$42)^2)/(2*Inputs!$C$45^2)))</x:f>
        <x:v>89.58516203427605</x:v>
      </x:c>
      <x:c r="Z237" s="40" t="n">
        <x:f>B237-X237/1000</x:f>
        <x:v>403.6318146360902</x:v>
      </x:c>
      <x:c r="AA237" s="40" t="n">
        <x:f>SQRT(A237^2+Inputs!$C$6^2+(B237-Y237/1000)^2)</x:f>
        <x:v>408.4254105724387</x:v>
      </x:c>
      <x:c r="AB237" s="40" t="n">
        <x:f>(AA237-Z237)*1000</x:f>
        <x:v>4793.595936348482</x:v>
      </x:c>
      <x:c r="AC237" s="40" t="n">
        <x:f>AB237/Inputs!$C$12</x:f>
        <x:v>2693.0314249148773</x:v>
      </x:c>
      <x:c r="AD237" s="40" t="n">
        <x:f>2*AB237/Inputs!$C$21*1000000</x:f>
        <x:v>31.979429825072398</x:v>
      </x:c>
      <x:c r="AE237" s="40" t="n">
        <x:f>DEGREES(ATAN(H237/(B237-Y237/1000)))</x:f>
        <x:v>8.83071735021363</x:v>
      </x:c>
      <x:c r="AF237" s="40" t="n">
        <x:f>DEGREES((2*PI()/Inputs!$C$13)*Inputs!$C$15*SIN(RADIANS(AE237)))</x:f>
        <x:v>55.26562398636223</x:v>
      </x:c>
      <x:c r="AG237" s="40" t="n">
        <x:f>(Z237/AA237)^4</x:f>
        <x:v>0.9538729747035954</x:v>
      </x:c>
      <x:c r="AH237" s="40" t="n">
        <x:f>10*LOG10(AG237)</x:f>
        <x:v>-0.20509455545720898</x:v>
      </x:c>
      <x:c r="AI237" s="40" t="n">
        <x:f>AC237-F237</x:f>
        <x:v>-26.251121224897815</x:v>
      </x:c>
      <x:c r="AJ237" s="40" t="n">
        <x:f>AD237-G237</x:f>
        <x:v>-0.3117289613757883</x:v>
      </x:c>
      <x:c r="AK237" s="40" t="n">
        <x:f>Y237-X237</x:f>
        <x:v>47.788687013410076</x:v>
      </x:c>
      <x:c r="AL237" s="40" t="n">
        <x:f>1000*(AA238-AA236)/(A238-A236)*Inputs!$C$11</x:f>
        <x:v>1072.3861127057717</x:v>
      </x:c>
      <x:c r="AM237" s="40" t="n">
        <x:f>-2*AL237/Inputs!$C$13</x:f>
        <x:v>-428.95444508230867</x:v>
      </x:c>
      <x:c r="AN237" s="40" t="n">
        <x:f>-2*AL237/Inputs!$C$14</x:f>
        <x:v>-64.40757433668298</x:v>
      </x:c>
      <x:c r="AO237" s="40" t="n">
        <x:f>ABS(AM237)</x:f>
        <x:v>428.95444508230867</x:v>
      </x:c>
      <x:c r="AP237" s="40" t="n">
        <x:f>ABS(AN237)</x:f>
        <x:v>64.40757433668298</x:v>
      </x:c>
      <x:c r="AQ237" s="40" t="n">
        <x:f>IF(Inputs!$C$27="ON",Inputs!$C$46/Inputs!$C$12,0)</x:f>
        <x:v>42.13483146067416</x:v>
      </x:c>
      <x:c r="AR237" s="40" t="n">
        <x:f>AC237-AQ237</x:f>
        <x:v>2650.896593454203</x:v>
      </x:c>
      <x:c r="AS237" s="40" t="n">
        <x:f>AC237+AQ237</x:f>
        <x:v>2735.1662563755517</x:v>
      </x:c>
    </x:row>
    <x:row r="238">
      <x:c r="A238" s="40" t="n">
        <x:f>Inputs!$C$7+236*(Inputs!$C$8-Inputs!$C$7)/240</x:f>
        <x:v>58</x:v>
      </x:c>
      <x:c r="B238" s="40" t="n">
        <x:f>Inputs!$C$5+Inputs!$C$9*(A238/Inputs!$C$10)^2</x:f>
        <x:v>403.73777777777775</x:v>
      </x:c>
      <x:c r="C238" s="40" t="n">
        <x:f>B238</x:f>
        <x:v>403.73777777777775</x:v>
      </x:c>
      <x:c r="D238" s="40" t="n">
        <x:f>SQRT(A238^2+Inputs!$C$6^2+B238^2)</x:f>
        <x:v>408.6480064859466</x:v>
      </x:c>
      <x:c r="E238" s="40" t="n">
        <x:f>(D238-C238)*1000</x:f>
        <x:v>4910.228708168859</x:v>
      </x:c>
      <x:c r="F238" s="40" t="n">
        <x:f>E238/Inputs!$C$12</x:f>
        <x:v>2758.555454027449</x:v>
      </x:c>
      <x:c r="G238" s="40" t="n">
        <x:f>2*E238/Inputs!$C$21*1000000</x:f>
        <x:v>32.75751992512673</x:v>
      </x:c>
      <x:c r="H238" s="40" t="n">
        <x:f>SQRT(A238^2+Inputs!$C$6^2)</x:f>
        <x:v>63.15853069855251</x:v>
      </x:c>
      <x:c r="I238" s="40" t="n">
        <x:f>DEGREES(ATAN(H238/B238))</x:f>
        <x:v>8.890979841704603</x:v>
      </x:c>
      <x:c r="J238" s="40" t="n">
        <x:f>DEGREES((2*PI()/Inputs!$C$13)*Inputs!$C$15*SIN(RADIANS(I238)))</x:f>
        <x:v>55.639745430303066</x:v>
      </x:c>
      <x:c r="K238" s="40" t="n">
        <x:f>(C238/D238)^4</x:f>
        <x:v>0.9527961960409873</x:v>
      </x:c>
      <x:c r="L238" s="40" t="n">
        <x:f>10*LOG10(K238)</x:f>
        <x:v>-0.20999985406163002</x:v>
      </x:c>
      <x:c r="M238" s="40" t="n">
        <x:f>2*(Inputs!$C$9/(Inputs!$C$10^2))*A238</x:f>
        <x:v>0.1288888888888889</x:v>
      </x:c>
      <x:c r="N238" s="40" t="n">
        <x:f>M238*Inputs!$C$11</x:f>
        <x:v>0.5155555555555555</x:v>
      </x:c>
      <x:c r="O238" s="40" t="n">
        <x:f>1000*((A238*Inputs!$C$11)+(B238*N238))/D238</x:f>
        <x:v>1077.086508033961</x:v>
      </x:c>
      <x:c r="P238" s="40" t="n">
        <x:f>-2*O238/Inputs!$C$13</x:f>
        <x:v>-430.83460321358444</x:v>
      </x:c>
      <x:c r="Q238" s="40" t="n">
        <x:f>-2*O238/Inputs!$C$14</x:f>
        <x:v>-64.68988036240007</x:v>
      </x:c>
      <x:c r="R238" s="40" t="n">
        <x:f>F238-Inputs!$C$16/2</x:f>
        <x:v>2743.555454027449</x:v>
      </x:c>
      <x:c r="S238" s="40" t="n">
        <x:f>F238+Inputs!$C$16/2</x:f>
        <x:v>2773.555454027449</x:v>
      </x:c>
      <x:c r="T238" s="40" t="n">
        <x:f>F238-Inputs!$C$17/2</x:f>
        <x:v>2608.555454027449</x:v>
      </x:c>
      <x:c r="U238" s="40" t="n">
        <x:f>F238+Inputs!$C$17/2</x:f>
        <x:v>2908.555454027449</x:v>
      </x:c>
      <x:c r="V238" s="40" t="n">
        <x:f>ABS(P238)</x:f>
        <x:v>430.83460321358444</x:v>
      </x:c>
      <x:c r="W238" s="40" t="n">
        <x:f>ABS(Q238)</x:f>
        <x:v>64.68988036240007</x:v>
      </x:c>
      <x:c r="X238" s="40" t="n">
        <x:f>IF(Inputs!$C$27="ON",1,0)*(Inputs!$C$28*EXP(-(((A238)-Inputs!$C$29)^2)/(2*Inputs!$C$31^2))*EXP(-(((0)-Inputs!$C$30)^2)/(2*Inputs!$C$32^2))+-Inputs!$C$33*EXP(-(((((A238)-Inputs!$C$34)^2)+(((0)-Inputs!$C$35)^2))/(2*Inputs!$C$36^2)))+Inputs!$C$37*(0.55*SIN(2*PI()*(A238)/Inputs!$C$39)+0.35*COS(2*PI()*(0)/Inputs!$C$40)+0.2*SIN(2*PI()*((A238)+(0))/(0.5*(Inputs!$C$39+Inputs!$C$40))))+Inputs!$C$38*SIN(2*PI()*(A238)/Inputs!$C$39)*SIN(2*PI()*(0)/Inputs!$C$40)+-Inputs!$C$41*EXP(-(((0)-Inputs!$C$43)^2)/(2*Inputs!$C$44^2))*EXP(-(((A238)-Inputs!$C$42)^2)/(2*Inputs!$C$45^2)))</x:f>
        <x:v>45.05848364158138</x:v>
      </x:c>
      <x:c r="Y238" s="40" t="n">
        <x:f>IF(Inputs!$C$27="ON",1,0)*(Inputs!$C$28*EXP(-(((A238)-Inputs!$C$29)^2)/(2*Inputs!$C$31^2))*EXP(-(((Inputs!$C$6)-Inputs!$C$30)^2)/(2*Inputs!$C$32^2))+-Inputs!$C$33*EXP(-(((((A238)-Inputs!$C$34)^2)+(((Inputs!$C$6)-Inputs!$C$35)^2))/(2*Inputs!$C$36^2)))+Inputs!$C$37*(0.55*SIN(2*PI()*(A238)/Inputs!$C$39)+0.35*COS(2*PI()*(Inputs!$C$6)/Inputs!$C$40)+0.2*SIN(2*PI()*((A238)+(Inputs!$C$6))/(0.5*(Inputs!$C$39+Inputs!$C$40))))+Inputs!$C$38*SIN(2*PI()*(A238)/Inputs!$C$39)*SIN(2*PI()*(Inputs!$C$6)/Inputs!$C$40)+-Inputs!$C$41*EXP(-(((Inputs!$C$6)-Inputs!$C$43)^2)/(2*Inputs!$C$44^2))*EXP(-(((A238)-Inputs!$C$42)^2)/(2*Inputs!$C$45^2)))</x:f>
        <x:v>88.31440776408317</x:v>
      </x:c>
      <x:c r="Z238" s="40" t="n">
        <x:f>B238-X238/1000</x:f>
        <x:v>403.69271929413617</x:v>
      </x:c>
      <x:c r="AA238" s="40" t="n">
        <x:f>SQRT(A238^2+Inputs!$C$6^2+(B238-Y238/1000)^2)</x:f>
        <x:v>408.56075347358075</x:v>
      </x:c>
      <x:c r="AB238" s="40" t="n">
        <x:f>(AA238-Z238)*1000</x:f>
        <x:v>4868.034179444578</x:v>
      </x:c>
      <x:c r="AC238" s="40" t="n">
        <x:f>AB238/Inputs!$C$12</x:f>
        <x:v>2734.850662609313</x:v>
      </x:c>
      <x:c r="AD238" s="40" t="n">
        <x:f>2*AB238/Inputs!$C$21*1000000</x:f>
        <x:v>32.47602832920218</x:v>
      </x:c>
      <x:c r="AE238" s="40" t="n">
        <x:f>DEGREES(ATAN(H238/(B238-Y238/1000)))</x:f>
        <x:v>8.89289401027527</x:v>
      </x:c>
      <x:c r="AF238" s="40" t="n">
        <x:f>DEGREES((2*PI()/Inputs!$C$13)*Inputs!$C$15*SIN(RADIANS(AE238)))</x:f>
        <x:v>55.651627960269025</x:v>
      </x:c>
      <x:c r="AG238" s="40" t="n">
        <x:f>(Z238/AA238)^4</x:f>
        <x:v>0.9531847475449196</x:v>
      </x:c>
      <x:c r="AH238" s="40" t="n">
        <x:f>10*LOG10(AG238)</x:f>
        <x:v>-0.208229156647278</x:v>
      </x:c>
      <x:c r="AI238" s="40" t="n">
        <x:f>AC238-F238</x:f>
        <x:v>-23.704791418135756</x:v>
      </x:c>
      <x:c r="AJ238" s="40" t="n">
        <x:f>AD238-G238</x:f>
        <x:v>-0.28149159592454964</x:v>
      </x:c>
      <x:c r="AK238" s="40" t="n">
        <x:f>Y238-X238</x:f>
        <x:v>43.25592412250179</x:v>
      </x:c>
      <x:c r="AL238" s="40" t="n">
        <x:f>1000*(AA239-AA237)/(A239-A237)*Inputs!$C$11</x:f>
        <x:v>1092.920238435454</x:v>
      </x:c>
      <x:c r="AM238" s="40" t="n">
        <x:f>-2*AL238/Inputs!$C$13</x:f>
        <x:v>-437.1680953741816</x:v>
      </x:c>
      <x:c r="AN238" s="40" t="n">
        <x:f>-2*AL238/Inputs!$C$14</x:f>
        <x:v>-65.64085516128853</x:v>
      </x:c>
      <x:c r="AO238" s="40" t="n">
        <x:f>ABS(AM238)</x:f>
        <x:v>437.1680953741816</x:v>
      </x:c>
      <x:c r="AP238" s="40" t="n">
        <x:f>ABS(AN238)</x:f>
        <x:v>65.64085516128853</x:v>
      </x:c>
      <x:c r="AQ238" s="40" t="n">
        <x:f>IF(Inputs!$C$27="ON",Inputs!$C$46/Inputs!$C$12,0)</x:f>
        <x:v>42.13483146067416</x:v>
      </x:c>
      <x:c r="AR238" s="40" t="n">
        <x:f>AC238-AQ238</x:f>
        <x:v>2692.7158311486387</x:v>
      </x:c>
      <x:c r="AS238" s="40" t="n">
        <x:f>AC238+AQ238</x:f>
        <x:v>2776.9854940699875</x:v>
      </x:c>
    </x:row>
    <x:row r="239">
      <x:c r="A239" s="40" t="n">
        <x:f>Inputs!$C$7+237*(Inputs!$C$8-Inputs!$C$7)/240</x:f>
        <x:v>58.5</x:v>
      </x:c>
      <x:c r="B239" s="40" t="n">
        <x:f>Inputs!$C$5+Inputs!$C$9*(A239/Inputs!$C$10)^2</x:f>
        <x:v>403.8025</x:v>
      </x:c>
      <x:c r="C239" s="40" t="n">
        <x:f>B239</x:f>
        <x:v>403.8025</x:v>
      </x:c>
      <x:c r="D239" s="40" t="n">
        <x:f>SQRT(A239^2+Inputs!$C$6^2+B239^2)</x:f>
        <x:v>408.7832053867307</x:v>
      </x:c>
      <x:c r="E239" s="40" t="n">
        <x:f>(D239-C239)*1000</x:f>
        <x:v>4980.705386730677</x:v>
      </x:c>
      <x:c r="F239" s="40" t="n">
        <x:f>E239/Inputs!$C$12</x:f>
        <x:v>2798.1490936689197</x:v>
      </x:c>
      <x:c r="G239" s="40" t="n">
        <x:f>2*E239/Inputs!$C$21*1000000</x:f>
        <x:v>33.227689715467605</x:v>
      </x:c>
      <x:c r="H239" s="40" t="n">
        <x:f>SQRT(A239^2+Inputs!$C$6^2)</x:f>
        <x:v>63.61800059731522</x:v>
      </x:c>
      <x:c r="I239" s="40" t="n">
        <x:f>DEGREES(ATAN(H239/B239))</x:f>
        <x:v>8.953204095149154</x:v>
      </x:c>
      <x:c r="J239" s="40" t="n">
        <x:f>DEGREES((2*PI()/Inputs!$C$13)*Inputs!$C$15*SIN(RADIANS(I239)))</x:f>
        <x:v>56.02598128601325</x:v>
      </x:c>
      <x:c r="K239" s="40" t="n">
        <x:f>(C239/D239)^4</x:f>
        <x:v>0.9521466297969774</x:v>
      </x:c>
      <x:c r="L239" s="40" t="n">
        <x:f>10*LOG10(K239)</x:f>
        <x:v>-0.212961654725793</x:v>
      </x:c>
      <x:c r="M239" s="40" t="n">
        <x:f>2*(Inputs!$C$9/(Inputs!$C$10^2))*A239</x:f>
        <x:v>0.13</x:v>
      </x:c>
      <x:c r="N239" s="40" t="n">
        <x:f>M239*Inputs!$C$11</x:f>
        <x:v>0.52</x:v>
      </x:c>
      <x:c r="O239" s="40" t="n">
        <x:f>1000*((A239*Inputs!$C$11)+(B239*N239))/D239</x:f>
        <x:v>1086.0947664911375</x:v>
      </x:c>
      <x:c r="P239" s="40" t="n">
        <x:f>-2*O239/Inputs!$C$13</x:f>
        <x:v>-434.43790659645504</x:v>
      </x:c>
      <x:c r="Q239" s="40" t="n">
        <x:f>-2*O239/Inputs!$C$14</x:f>
        <x:v>-65.23091690637463</x:v>
      </x:c>
      <x:c r="R239" s="40" t="n">
        <x:f>F239-Inputs!$C$16/2</x:f>
        <x:v>2783.1490936689197</x:v>
      </x:c>
      <x:c r="S239" s="40" t="n">
        <x:f>F239+Inputs!$C$16/2</x:f>
        <x:v>2813.1490936689197</x:v>
      </x:c>
      <x:c r="T239" s="40" t="n">
        <x:f>F239-Inputs!$C$17/2</x:f>
        <x:v>2648.1490936689197</x:v>
      </x:c>
      <x:c r="U239" s="40" t="n">
        <x:f>F239+Inputs!$C$17/2</x:f>
        <x:v>2948.1490936689197</x:v>
      </x:c>
      <x:c r="V239" s="40" t="n">
        <x:f>ABS(P239)</x:f>
        <x:v>434.43790659645504</x:v>
      </x:c>
      <x:c r="W239" s="40" t="n">
        <x:f>ABS(Q239)</x:f>
        <x:v>65.23091690637463</x:v>
      </x:c>
      <x:c r="X239" s="40" t="n">
        <x:f>IF(Inputs!$C$27="ON",1,0)*(Inputs!$C$28*EXP(-(((A239)-Inputs!$C$29)^2)/(2*Inputs!$C$31^2))*EXP(-(((0)-Inputs!$C$30)^2)/(2*Inputs!$C$32^2))+-Inputs!$C$33*EXP(-(((((A239)-Inputs!$C$34)^2)+(((0)-Inputs!$C$35)^2))/(2*Inputs!$C$36^2)))+Inputs!$C$37*(0.55*SIN(2*PI()*(A239)/Inputs!$C$39)+0.35*COS(2*PI()*(0)/Inputs!$C$40)+0.2*SIN(2*PI()*((A239)+(0))/(0.5*(Inputs!$C$39+Inputs!$C$40))))+Inputs!$C$38*SIN(2*PI()*(A239)/Inputs!$C$39)*SIN(2*PI()*(0)/Inputs!$C$40)+-Inputs!$C$41*EXP(-(((0)-Inputs!$C$43)^2)/(2*Inputs!$C$44^2))*EXP(-(((A239)-Inputs!$C$42)^2)/(2*Inputs!$C$45^2)))</x:f>
        <x:v>47.67271523074262</x:v>
      </x:c>
      <x:c r="Y239" s="40" t="n">
        <x:f>IF(Inputs!$C$27="ON",1,0)*(Inputs!$C$28*EXP(-(((A239)-Inputs!$C$29)^2)/(2*Inputs!$C$31^2))*EXP(-(((Inputs!$C$6)-Inputs!$C$30)^2)/(2*Inputs!$C$32^2))+-Inputs!$C$33*EXP(-(((((A239)-Inputs!$C$34)^2)+(((Inputs!$C$6)-Inputs!$C$35)^2))/(2*Inputs!$C$36^2)))+Inputs!$C$37*(0.55*SIN(2*PI()*(A239)/Inputs!$C$39)+0.35*COS(2*PI()*(Inputs!$C$6)/Inputs!$C$40)+0.2*SIN(2*PI()*((A239)+(Inputs!$C$6))/(0.5*(Inputs!$C$39+Inputs!$C$40))))+Inputs!$C$38*SIN(2*PI()*(A239)/Inputs!$C$39)*SIN(2*PI()*(Inputs!$C$6)/Inputs!$C$40)+-Inputs!$C$41*EXP(-(((Inputs!$C$6)-Inputs!$C$43)^2)/(2*Inputs!$C$44^2))*EXP(-(((A239)-Inputs!$C$42)^2)/(2*Inputs!$C$45^2)))</x:f>
        <x:v>85.60803920584074</x:v>
      </x:c>
      <x:c r="Z239" s="40" t="n">
        <x:f>B239-X239/1000</x:f>
        <x:v>403.75482728476925</x:v>
      </x:c>
      <x:c r="AA239" s="40" t="n">
        <x:f>SQRT(A239^2+Inputs!$C$6^2+(B239-Y239/1000)^2)</x:f>
        <x:v>408.69864063204756</x:v>
      </x:c>
      <x:c r="AB239" s="40" t="n">
        <x:f>(AA239-Z239)*1000</x:f>
        <x:v>4943.813347278308</x:v>
      </x:c>
      <x:c r="AC239" s="40" t="n">
        <x:f>AB239/Inputs!$C$12</x:f>
        <x:v>2777.4232288080384</x:v>
      </x:c>
      <x:c r="AD239" s="40" t="n">
        <x:f>2*AB239/Inputs!$C$21*1000000</x:f>
        <x:v>32.98157252026873</x:v>
      </x:c>
      <x:c r="AE239" s="40" t="n">
        <x:f>DEGREES(ATAN(H239/(B239-Y239/1000)))</x:f>
        <x:v>8.955071854676161</x:v>
      </x:c>
      <x:c r="AF239" s="40" t="n">
        <x:f>DEGREES((2*PI()/Inputs!$C$13)*Inputs!$C$15*SIN(RADIANS(AE239)))</x:f>
        <x:v>56.037573747774324</x:v>
      </x:c>
      <x:c r="AG239" s="40" t="n">
        <x:f>(Z239/AA239)^4</x:f>
        <x:v>0.9524849852778038</x:v>
      </x:c>
      <x:c r="AH239" s="40" t="n">
        <x:f>10*LOG10(AG239)</x:f>
        <x:v>-0.21141861702099599</x:v>
      </x:c>
      <x:c r="AI239" s="40" t="n">
        <x:f>AC239-F239</x:f>
        <x:v>-20.725864860881302</x:v>
      </x:c>
      <x:c r="AJ239" s="40" t="n">
        <x:f>AD239-G239</x:f>
        <x:v>-0.24611719519887743</x:v>
      </x:c>
      <x:c r="AK239" s="40" t="n">
        <x:f>Y239-X239</x:f>
        <x:v>37.93532397509812</x:v>
      </x:c>
      <x:c r="AL239" s="40" t="n">
        <x:f>1000*(AA240-AA238)/(A240-A238)*Inputs!$C$11</x:f>
        <x:v>1112.9233849901539</x:v>
      </x:c>
      <x:c r="AM239" s="40" t="n">
        <x:f>-2*AL239/Inputs!$C$13</x:f>
        <x:v>-445.16935399606155</x:v>
      </x:c>
      <x:c r="AN239" s="40" t="n">
        <x:f>-2*AL239/Inputs!$C$14</x:f>
        <x:v>-66.84224534475399</x:v>
      </x:c>
      <x:c r="AO239" s="40" t="n">
        <x:f>ABS(AM239)</x:f>
        <x:v>445.16935399606155</x:v>
      </x:c>
      <x:c r="AP239" s="40" t="n">
        <x:f>ABS(AN239)</x:f>
        <x:v>66.84224534475399</x:v>
      </x:c>
      <x:c r="AQ239" s="40" t="n">
        <x:f>IF(Inputs!$C$27="ON",Inputs!$C$46/Inputs!$C$12,0)</x:f>
        <x:v>42.13483146067416</x:v>
      </x:c>
      <x:c r="AR239" s="40" t="n">
        <x:f>AC239-AQ239</x:f>
        <x:v>2735.288397347364</x:v>
      </x:c>
      <x:c r="AS239" s="40" t="n">
        <x:f>AC239+AQ239</x:f>
        <x:v>2819.558060268713</x:v>
      </x:c>
    </x:row>
    <x:row r="240">
      <x:c r="A240" s="40" t="n">
        <x:f>Inputs!$C$7+238*(Inputs!$C$8-Inputs!$C$7)/240</x:f>
        <x:v>59</x:v>
      </x:c>
      <x:c r="B240" s="40" t="n">
        <x:f>Inputs!$C$5+Inputs!$C$9*(A240/Inputs!$C$10)^2</x:f>
        <x:v>403.8677777777778</x:v>
      </x:c>
      <x:c r="C240" s="40" t="n">
        <x:f>B240</x:f>
        <x:v>403.8677777777778</x:v>
      </x:c>
      <x:c r="D240" s="40" t="n">
        <x:f>SQRT(A240^2+Inputs!$C$6^2+B240^2)</x:f>
        <x:v>408.91952989208096</x:v>
      </x:c>
      <x:c r="E240" s="40" t="n">
        <x:f>(D240-C240)*1000</x:f>
        <x:v>5051.752114303155</x:v>
      </x:c>
      <x:c r="F240" s="40" t="n">
        <x:f>E240/Inputs!$C$12</x:f>
        <x:v>2838.0629855635702</x:v>
      </x:c>
      <x:c r="G240" s="40" t="n">
        <x:f>2*E240/Inputs!$C$21*1000000</x:f>
        <x:v>33.70166246345767</x:v>
      </x:c>
      <x:c r="H240" s="40" t="n">
        <x:f>SQRT(A240^2+Inputs!$C$6^2)</x:f>
        <x:v>64.07807737440318</x:v>
      </x:c>
      <x:c r="I240" s="40" t="n">
        <x:f>DEGREES(ATAN(H240/B240))</x:f>
        <x:v>9.015458913989574</x:v>
      </x:c>
      <x:c r="J240" s="40" t="n">
        <x:f>DEGREES((2*PI()/Inputs!$C$13)*Inputs!$C$15*SIN(RADIANS(I240)))</x:f>
        <x:v>56.41234073822082</x:v>
      </x:c>
      <x:c r="K240" s="40" t="n">
        <x:f>(C240/D240)^4</x:f>
        <x:v>0.9514925839256605</x:v>
      </x:c>
      <x:c r="L240" s="40" t="n">
        <x:f>10*LOG10(K240)</x:f>
        <x:v>-0.215945923193827</x:v>
      </x:c>
      <x:c r="M240" s="40" t="n">
        <x:f>2*(Inputs!$C$9/(Inputs!$C$10^2))*A240</x:f>
        <x:v>0.13111111111111112</x:v>
      </x:c>
      <x:c r="N240" s="40" t="n">
        <x:f>M240*Inputs!$C$11</x:f>
        <x:v>0.5244444444444445</x:v>
      </x:c>
      <x:c r="O240" s="40" t="n">
        <x:f>1000*((A240*Inputs!$C$11)+(B240*N240))/D240</x:f>
        <x:v>1095.0961732345256</x:v>
      </x:c>
      <x:c r="P240" s="40" t="n">
        <x:f>-2*O240/Inputs!$C$13</x:f>
        <x:v>-438.03846929381024</x:v>
      </x:c>
      <x:c r="Q240" s="40" t="n">
        <x:f>-2*O240/Inputs!$C$14</x:f>
        <x:v>-65.77154193600755</x:v>
      </x:c>
      <x:c r="R240" s="40" t="n">
        <x:f>F240-Inputs!$C$16/2</x:f>
        <x:v>2823.0629855635702</x:v>
      </x:c>
      <x:c r="S240" s="40" t="n">
        <x:f>F240+Inputs!$C$16/2</x:f>
        <x:v>2853.0629855635702</x:v>
      </x:c>
      <x:c r="T240" s="40" t="n">
        <x:f>F240-Inputs!$C$17/2</x:f>
        <x:v>2688.0629855635702</x:v>
      </x:c>
      <x:c r="U240" s="40" t="n">
        <x:f>F240+Inputs!$C$17/2</x:f>
        <x:v>2988.0629855635702</x:v>
      </x:c>
      <x:c r="V240" s="40" t="n">
        <x:f>ABS(P240)</x:f>
        <x:v>438.03846929381024</x:v>
      </x:c>
      <x:c r="W240" s="40" t="n">
        <x:f>ABS(Q240)</x:f>
        <x:v>65.77154193600755</x:v>
      </x:c>
      <x:c r="X240" s="40" t="n">
        <x:f>IF(Inputs!$C$27="ON",1,0)*(Inputs!$C$28*EXP(-(((A240)-Inputs!$C$29)^2)/(2*Inputs!$C$31^2))*EXP(-(((0)-Inputs!$C$30)^2)/(2*Inputs!$C$32^2))+-Inputs!$C$33*EXP(-(((((A240)-Inputs!$C$34)^2)+(((0)-Inputs!$C$35)^2))/(2*Inputs!$C$36^2)))+Inputs!$C$37*(0.55*SIN(2*PI()*(A240)/Inputs!$C$39)+0.35*COS(2*PI()*(0)/Inputs!$C$40)+0.2*SIN(2*PI()*((A240)+(0))/(0.5*(Inputs!$C$39+Inputs!$C$40))))+Inputs!$C$38*SIN(2*PI()*(A240)/Inputs!$C$39)*SIN(2*PI()*(0)/Inputs!$C$40)+-Inputs!$C$41*EXP(-(((0)-Inputs!$C$43)^2)/(2*Inputs!$C$44^2))*EXP(-(((A240)-Inputs!$C$42)^2)/(2*Inputs!$C$45^2)))</x:f>
        <x:v>49.53438428794515</x:v>
      </x:c>
      <x:c r="Y240" s="40" t="n">
        <x:f>IF(Inputs!$C$27="ON",1,0)*(Inputs!$C$28*EXP(-(((A240)-Inputs!$C$29)^2)/(2*Inputs!$C$31^2))*EXP(-(((Inputs!$C$6)-Inputs!$C$30)^2)/(2*Inputs!$C$32^2))+-Inputs!$C$33*EXP(-(((((A240)-Inputs!$C$34)^2)+(((Inputs!$C$6)-Inputs!$C$35)^2))/(2*Inputs!$C$36^2)))+Inputs!$C$37*(0.55*SIN(2*PI()*(A240)/Inputs!$C$39)+0.35*COS(2*PI()*(Inputs!$C$6)/Inputs!$C$40)+0.2*SIN(2*PI()*((A240)+(Inputs!$C$6))/(0.5*(Inputs!$C$39+Inputs!$C$40))))+Inputs!$C$38*SIN(2*PI()*(A240)/Inputs!$C$39)*SIN(2*PI()*(Inputs!$C$6)/Inputs!$C$40)+-Inputs!$C$41*EXP(-(((Inputs!$C$6)-Inputs!$C$43)^2)/(2*Inputs!$C$44^2))*EXP(-(((A240)-Inputs!$C$42)^2)/(2*Inputs!$C$45^2)))</x:f>
        <x:v>81.5532731907057</x:v>
      </x:c>
      <x:c r="Z240" s="40" t="n">
        <x:f>B240-X240/1000</x:f>
        <x:v>403.81824339348987</x:v>
      </x:c>
      <x:c r="AA240" s="40" t="n">
        <x:f>SQRT(A240^2+Inputs!$C$6^2+(B240-Y240/1000)^2)</x:f>
        <x:v>408.8389843198283</x:v>
      </x:c>
      <x:c r="AB240" s="40" t="n">
        <x:f>(AA240-Z240)*1000</x:f>
        <x:v>5020.74092633842</x:v>
      </x:c>
      <x:c r="AC240" s="40" t="n">
        <x:f>AB240/Inputs!$C$12</x:f>
        <x:v>2820.6409698530447</x:v>
      </x:c>
      <x:c r="AD240" s="40" t="n">
        <x:f>2*AB240/Inputs!$C$21*1000000</x:f>
        <x:v>33.494778086368136</x:v>
      </x:c>
      <x:c r="AE240" s="40" t="n">
        <x:f>DEGREES(ATAN(H240/(B240-Y240/1000)))</x:f>
        <x:v>9.01724986352167</x:v>
      </x:c>
      <x:c r="AF240" s="40" t="n">
        <x:f>DEGREES((2*PI()/Inputs!$C$13)*Inputs!$C$15*SIN(RADIANS(AE240)))</x:f>
        <x:v>56.4234545616113</x:v>
      </x:c>
      <x:c r="AG240" s="40" t="n">
        <x:f>(Z240/AA240)^4</x:f>
        <x:v>0.9517755373494703</x:v>
      </x:c>
      <x:c r="AH240" s="40" t="n">
        <x:f>10*LOG10(AG240)</x:f>
        <x:v>-0.21465461683370002</x:v>
      </x:c>
      <x:c r="AI240" s="40" t="n">
        <x:f>AC240-F240</x:f>
        <x:v>-17.422015710525557</x:v>
      </x:c>
      <x:c r="AJ240" s="40" t="n">
        <x:f>AD240-G240</x:f>
        <x:v>-0.206884377089537</x:v>
      </x:c>
      <x:c r="AK240" s="40" t="n">
        <x:f>Y240-X240</x:f>
        <x:v>32.018888902760544</x:v>
      </x:c>
      <x:c r="AL240" s="40" t="n">
        <x:f>1000*(AA241-AA239)/(A241-A239)*Inputs!$C$11</x:f>
        <x:v>1132.070557306406</x:v>
      </x:c>
      <x:c r="AM240" s="40" t="n">
        <x:f>-2*AL240/Inputs!$C$13</x:f>
        <x:v>-452.8282229225624</x:v>
      </x:c>
      <x:c r="AN240" s="40" t="n">
        <x:f>-2*AL240/Inputs!$C$14</x:f>
        <x:v>-67.99222566404842</x:v>
      </x:c>
      <x:c r="AO240" s="40" t="n">
        <x:f>ABS(AM240)</x:f>
        <x:v>452.8282229225624</x:v>
      </x:c>
      <x:c r="AP240" s="40" t="n">
        <x:f>ABS(AN240)</x:f>
        <x:v>67.99222566404842</x:v>
      </x:c>
      <x:c r="AQ240" s="40" t="n">
        <x:f>IF(Inputs!$C$27="ON",Inputs!$C$46/Inputs!$C$12,0)</x:f>
        <x:v>42.13483146067416</x:v>
      </x:c>
      <x:c r="AR240" s="40" t="n">
        <x:f>AC240-AQ240</x:f>
        <x:v>2778.5061383923703</x:v>
      </x:c>
      <x:c r="AS240" s="40" t="n">
        <x:f>AC240+AQ240</x:f>
        <x:v>2862.775801313719</x:v>
      </x:c>
    </x:row>
    <x:row r="241">
      <x:c r="A241" s="40" t="n">
        <x:f>Inputs!$C$7+239*(Inputs!$C$8-Inputs!$C$7)/240</x:f>
        <x:v>59.5</x:v>
      </x:c>
      <x:c r="B241" s="40" t="n">
        <x:f>Inputs!$C$5+Inputs!$C$9*(A241/Inputs!$C$10)^2</x:f>
        <x:v>403.93361111111113</x:v>
      </x:c>
      <x:c r="C241" s="40" t="n">
        <x:f>B241</x:f>
        <x:v>403.93361111111113</x:v>
      </x:c>
      <x:c r="D241" s="40" t="n">
        <x:f>SQRT(A241^2+Inputs!$C$6^2+B241^2)</x:f>
        <x:v>409.05697914259133</x:v>
      </x:c>
      <x:c r="E241" s="40" t="n">
        <x:f>(D241-C241)*1000</x:f>
        <x:v>5123.368031480197</x:v>
      </x:c>
      <x:c r="F241" s="40" t="n">
        <x:f>E241/Inputs!$C$12</x:f>
        <x:v>2878.296646898987</x:v>
      </x:c>
      <x:c r="G241" s="40" t="n">
        <x:f>2*E241/Inputs!$C$21*1000000</x:f>
        <x:v>34.17943243575658</x:v>
      </x:c>
      <x:c r="H241" s="40" t="n">
        <x:f>SQRT(A241^2+Inputs!$C$6^2)</x:f>
        <x:v>64.53874805107394</x:v>
      </x:c>
      <x:c r="I241" s="40" t="n">
        <x:f>DEGREES(ATAN(H241/B241))</x:f>
        <x:v>9.07774203179775</x:v>
      </x:c>
      <x:c r="J241" s="40" t="n">
        <x:f>DEGREES((2*PI()/Inputs!$C$13)*Inputs!$C$15*SIN(RADIANS(I241)))</x:f>
        <x:v>56.79880917100207</x:v>
      </x:c>
      <x:c r="K241" s="40" t="n">
        <x:f>(C241/D241)^4</x:f>
        <x:v>0.950834083946599</x:v>
      </x:c>
      <x:c r="L241" s="40" t="n">
        <x:f>10*LOG10(K241)</x:f>
        <x:v>-0.218952587858653</x:v>
      </x:c>
      <x:c r="M241" s="40" t="n">
        <x:f>2*(Inputs!$C$9/(Inputs!$C$10^2))*A241</x:f>
        <x:v>0.1322222222222222</x:v>
      </x:c>
      <x:c r="N241" s="40" t="n">
        <x:f>M241*Inputs!$C$11</x:f>
        <x:v>0.5288888888888889</x:v>
      </x:c>
      <x:c r="O241" s="40" t="n">
        <x:f>1000*((A241*Inputs!$C$11)+(B241*N241))/D241</x:f>
        <x:v>1104.0906812348956</x:v>
      </x:c>
      <x:c r="P241" s="40" t="n">
        <x:f>-2*O241/Inputs!$C$13</x:f>
        <x:v>-441.63627249395824</x:v>
      </x:c>
      <x:c r="Q241" s="40" t="n">
        <x:f>-2*O241/Inputs!$C$14</x:f>
        <x:v>-66.31175262672046</x:v>
      </x:c>
      <x:c r="R241" s="40" t="n">
        <x:f>F241-Inputs!$C$16/2</x:f>
        <x:v>2863.296646898987</x:v>
      </x:c>
      <x:c r="S241" s="40" t="n">
        <x:f>F241+Inputs!$C$16/2</x:f>
        <x:v>2893.296646898987</x:v>
      </x:c>
      <x:c r="T241" s="40" t="n">
        <x:f>F241-Inputs!$C$17/2</x:f>
        <x:v>2728.296646898987</x:v>
      </x:c>
      <x:c r="U241" s="40" t="n">
        <x:f>F241+Inputs!$C$17/2</x:f>
        <x:v>3028.296646898987</x:v>
      </x:c>
      <x:c r="V241" s="40" t="n">
        <x:f>ABS(P241)</x:f>
        <x:v>441.63627249395824</x:v>
      </x:c>
      <x:c r="W241" s="40" t="n">
        <x:f>ABS(Q241)</x:f>
        <x:v>66.31175262672046</x:v>
      </x:c>
      <x:c r="X241" s="40" t="n">
        <x:f>IF(Inputs!$C$27="ON",1,0)*(Inputs!$C$28*EXP(-(((A241)-Inputs!$C$29)^2)/(2*Inputs!$C$31^2))*EXP(-(((0)-Inputs!$C$30)^2)/(2*Inputs!$C$32^2))+-Inputs!$C$33*EXP(-(((((A241)-Inputs!$C$34)^2)+(((0)-Inputs!$C$35)^2))/(2*Inputs!$C$36^2)))+Inputs!$C$37*(0.55*SIN(2*PI()*(A241)/Inputs!$C$39)+0.35*COS(2*PI()*(0)/Inputs!$C$40)+0.2*SIN(2*PI()*((A241)+(0))/(0.5*(Inputs!$C$39+Inputs!$C$40))))+Inputs!$C$38*SIN(2*PI()*(A241)/Inputs!$C$39)*SIN(2*PI()*(0)/Inputs!$C$40)+-Inputs!$C$41*EXP(-(((0)-Inputs!$C$43)^2)/(2*Inputs!$C$44^2))*EXP(-(((A241)-Inputs!$C$42)^2)/(2*Inputs!$C$45^2)))</x:f>
        <x:v>50.55711515092797</x:v>
      </x:c>
      <x:c r="Y241" s="40" t="n">
        <x:f>IF(Inputs!$C$27="ON",1,0)*(Inputs!$C$28*EXP(-(((A241)-Inputs!$C$29)^2)/(2*Inputs!$C$31^2))*EXP(-(((Inputs!$C$6)-Inputs!$C$30)^2)/(2*Inputs!$C$32^2))+-Inputs!$C$33*EXP(-(((((A241)-Inputs!$C$34)^2)+(((Inputs!$C$6)-Inputs!$C$35)^2))/(2*Inputs!$C$36^2)))+Inputs!$C$37*(0.55*SIN(2*PI()*(A241)/Inputs!$C$39)+0.35*COS(2*PI()*(Inputs!$C$6)/Inputs!$C$40)+0.2*SIN(2*PI()*((A241)+(Inputs!$C$6))/(0.5*(Inputs!$C$39+Inputs!$C$40))))+Inputs!$C$38*SIN(2*PI()*(A241)/Inputs!$C$39)*SIN(2*PI()*(Inputs!$C$6)/Inputs!$C$40)+-Inputs!$C$41*EXP(-(((Inputs!$C$6)-Inputs!$C$43)^2)/(2*Inputs!$C$44^2))*EXP(-(((A241)-Inputs!$C$42)^2)/(2*Inputs!$C$45^2)))</x:f>
        <x:v>76.276396978336</x:v>
      </x:c>
      <x:c r="Z241" s="40" t="n">
        <x:f>B241-X241/1000</x:f>
        <x:v>403.8830539959602</x:v>
      </x:c>
      <x:c r="AA241" s="40" t="n">
        <x:f>SQRT(A241^2+Inputs!$C$6^2+(B241-Y241/1000)^2)</x:f>
        <x:v>408.98165827137416</x:v>
      </x:c>
      <x:c r="AB241" s="40" t="n">
        <x:f>(AA241-Z241)*1000</x:f>
        <x:v>5098.604275413947</x:v>
      </x:c>
      <x:c r="AC241" s="40" t="n">
        <x:f>AB241/Inputs!$C$12</x:f>
        <x:v>2864.384424389858</x:v>
      </x:c>
      <x:c r="AD241" s="40" t="n">
        <x:f>2*AB241/Inputs!$C$21*1000000</x:f>
        <x:v>34.01422643803765</x:v>
      </x:c>
      <x:c r="AE241" s="40" t="n">
        <x:f>DEGREES(ATAN(H241/(B241-Y241/1000)))</x:f>
        <x:v>9.079427985720146</x:v>
      </x:c>
      <x:c r="AF241" s="40" t="n">
        <x:f>DEGREES((2*PI()/Inputs!$C$13)*Inputs!$C$15*SIN(RADIANS(AE241)))</x:f>
        <x:v>56.8092696298132</x:v>
      </x:c>
      <x:c r="AG241" s="40" t="n">
        <x:f>(Z241/AA241)^4</x:f>
        <x:v>0.9510584317057015</x:v>
      </x:c>
      <x:c r="AH241" s="40" t="n">
        <x:f>10*LOG10(AG241)</x:f>
        <x:v>-0.217927997946703</x:v>
      </x:c>
      <x:c r="AI241" s="40" t="n">
        <x:f>AC241-F241</x:f>
        <x:v>-13.912222509129151</x:v>
      </x:c>
      <x:c r="AJ241" s="40" t="n">
        <x:f>AD241-G241</x:f>
        <x:v>-0.1652059977189282</x:v>
      </x:c>
      <x:c r="AK241" s="40" t="n">
        <x:f>Y241-X241</x:f>
        <x:v>25.719281827408025</x:v>
      </x:c>
      <x:c r="AL241" s="40" t="n">
        <x:f>1000*(AA242-AA240)/(A242-A240)*Inputs!$C$11</x:f>
        <x:v>1150.0742918012747</x:v>
      </x:c>
      <x:c r="AM241" s="40" t="n">
        <x:f>-2*AL241/Inputs!$C$13</x:f>
        <x:v>-460.0297167205099</x:v>
      </x:c>
      <x:c r="AN241" s="40" t="n">
        <x:f>-2*AL241/Inputs!$C$14</x:f>
        <x:v>-69.07353103911561</x:v>
      </x:c>
      <x:c r="AO241" s="40" t="n">
        <x:f>ABS(AM241)</x:f>
        <x:v>460.0297167205099</x:v>
      </x:c>
      <x:c r="AP241" s="40" t="n">
        <x:f>ABS(AN241)</x:f>
        <x:v>69.07353103911561</x:v>
      </x:c>
      <x:c r="AQ241" s="40" t="n">
        <x:f>IF(Inputs!$C$27="ON",Inputs!$C$46/Inputs!$C$12,0)</x:f>
        <x:v>42.13483146067416</x:v>
      </x:c>
      <x:c r="AR241" s="40" t="n">
        <x:f>AC241-AQ241</x:f>
        <x:v>2822.2495929291836</x:v>
      </x:c>
      <x:c r="AS241" s="40" t="n">
        <x:f>AC241+AQ241</x:f>
        <x:v>2906.5192558505323</x:v>
      </x:c>
    </x:row>
    <x:row r="242">
      <x:c r="A242" s="40" t="n">
        <x:f>Inputs!$C$7+240*(Inputs!$C$8-Inputs!$C$7)/240</x:f>
        <x:v>60</x:v>
      </x:c>
      <x:c r="B242" s="40" t="n">
        <x:f>Inputs!$C$5+Inputs!$C$9*(A242/Inputs!$C$10)^2</x:f>
        <x:v>404</x:v>
      </x:c>
      <x:c r="C242" s="40" t="n">
        <x:f>B242</x:f>
        <x:v>404</x:v>
      </x:c>
      <x:c r="D242" s="40" t="n">
        <x:f>SQRT(A242^2+Inputs!$C$6^2+B242^2)</x:f>
        <x:v>409.1955522729933</x:v>
      </x:c>
      <x:c r="E242" s="40" t="n">
        <x:f>(D242-C242)*1000</x:f>
        <x:v>5195.5522729933255</x:v>
      </x:c>
      <x:c r="F242" s="40" t="n">
        <x:f>E242/Inputs!$C$12</x:f>
        <x:v>2918.849591569284</x:v>
      </x:c>
      <x:c r="G242" s="40" t="n">
        <x:f>2*E242/Inputs!$C$21*1000000</x:f>
        <x:v>34.66099385991442</x:v>
      </x:c>
      <x:c r="H242" s="40" t="n">
        <x:f>SQRT(A242^2+Inputs!$C$6^2)</x:f>
        <x:v>65</x:v>
      </x:c>
      <x:c r="I242" s="40" t="n">
        <x:f>DEGREES(ATAN(H242/B242))</x:f>
        <x:v>9.14005123413285</x:v>
      </x:c>
      <x:c r="J242" s="40" t="n">
        <x:f>DEGREES((2*PI()/Inputs!$C$13)*Inputs!$C$15*SIN(RADIANS(I242)))</x:f>
        <x:v>57.185372299425126</x:v>
      </x:c>
      <x:c r="K242" s="40" t="n">
        <x:f>(C242/D242)^4</x:f>
        <x:v>0.9501711554944995</x:v>
      </x:c>
      <x:c r="L242" s="40" t="n">
        <x:f>10*LOG10(K242)</x:f>
        <x:v>-0.221981576673</x:v>
      </x:c>
      <x:c r="M242" s="40" t="n">
        <x:f>2*(Inputs!$C$9/(Inputs!$C$10^2))*A242</x:f>
        <x:v>0.13333333333333333</x:v>
      </x:c>
      <x:c r="N242" s="40" t="n">
        <x:f>M242*Inputs!$C$11</x:f>
        <x:v>0.5333333333333333</x:v>
      </x:c>
      <x:c r="O242" s="40" t="n">
        <x:f>1000*((A242*Inputs!$C$11)+(B242*N242))/D242</x:f>
        <x:v>1113.0782437312607</x:v>
      </x:c>
      <x:c r="P242" s="40" t="n">
        <x:f>-2*O242/Inputs!$C$13</x:f>
        <x:v>-445.23129749250427</x:v>
      </x:c>
      <x:c r="Q242" s="40" t="n">
        <x:f>-2*O242/Inputs!$C$14</x:f>
        <x:v>-66.8515461700457</x:v>
      </x:c>
      <x:c r="R242" s="40" t="n">
        <x:f>F242-Inputs!$C$16/2</x:f>
        <x:v>2903.849591569284</x:v>
      </x:c>
      <x:c r="S242" s="40" t="n">
        <x:f>F242+Inputs!$C$16/2</x:f>
        <x:v>2933.849591569284</x:v>
      </x:c>
      <x:c r="T242" s="40" t="n">
        <x:f>F242-Inputs!$C$17/2</x:f>
        <x:v>2768.849591569284</x:v>
      </x:c>
      <x:c r="U242" s="40" t="n">
        <x:f>F242+Inputs!$C$17/2</x:f>
        <x:v>3068.849591569284</x:v>
      </x:c>
      <x:c r="V242" s="40" t="n">
        <x:f>ABS(P242)</x:f>
        <x:v>445.23129749250427</x:v>
      </x:c>
      <x:c r="W242" s="40" t="n">
        <x:f>ABS(Q242)</x:f>
        <x:v>66.8515461700457</x:v>
      </x:c>
      <x:c r="X242" s="40" t="n">
        <x:f>IF(Inputs!$C$27="ON",1,0)*(Inputs!$C$28*EXP(-(((A242)-Inputs!$C$29)^2)/(2*Inputs!$C$31^2))*EXP(-(((0)-Inputs!$C$30)^2)/(2*Inputs!$C$32^2))+-Inputs!$C$33*EXP(-(((((A242)-Inputs!$C$34)^2)+(((0)-Inputs!$C$35)^2))/(2*Inputs!$C$36^2)))+Inputs!$C$37*(0.55*SIN(2*PI()*(A242)/Inputs!$C$39)+0.35*COS(2*PI()*(0)/Inputs!$C$40)+0.2*SIN(2*PI()*((A242)+(0))/(0.5*(Inputs!$C$39+Inputs!$C$40))))+Inputs!$C$38*SIN(2*PI()*(A242)/Inputs!$C$39)*SIN(2*PI()*(0)/Inputs!$C$40)+-Inputs!$C$41*EXP(-(((0)-Inputs!$C$43)^2)/(2*Inputs!$C$44^2))*EXP(-(((A242)-Inputs!$C$42)^2)/(2*Inputs!$C$45^2)))</x:f>
        <x:v>50.67693627288145</x:v>
      </x:c>
      <x:c r="Y242" s="40" t="n">
        <x:f>IF(Inputs!$C$27="ON",1,0)*(Inputs!$C$28*EXP(-(((A242)-Inputs!$C$29)^2)/(2*Inputs!$C$31^2))*EXP(-(((Inputs!$C$6)-Inputs!$C$30)^2)/(2*Inputs!$C$32^2))+-Inputs!$C$33*EXP(-(((((A242)-Inputs!$C$34)^2)+(((Inputs!$C$6)-Inputs!$C$35)^2))/(2*Inputs!$C$36^2)))+Inputs!$C$37*(0.55*SIN(2*PI()*(A242)/Inputs!$C$39)+0.35*COS(2*PI()*(Inputs!$C$6)/Inputs!$C$40)+0.2*SIN(2*PI()*((A242)+(Inputs!$C$6))/(0.5*(Inputs!$C$39+Inputs!$C$40))))+Inputs!$C$38*SIN(2*PI()*(A242)/Inputs!$C$39)*SIN(2*PI()*(Inputs!$C$6)/Inputs!$C$40)+-Inputs!$C$41*EXP(-(((Inputs!$C$6)-Inputs!$C$43)^2)/(2*Inputs!$C$44^2))*EXP(-(((A242)-Inputs!$C$42)^2)/(2*Inputs!$C$45^2)))</x:f>
        <x:v>69.93752720661232</x:v>
      </x:c>
      <x:c r="Z242" s="40" t="n">
        <x:f>B242-X242/1000</x:f>
        <x:v>403.9493230637271</x:v>
      </x:c>
      <x:c r="AA242" s="40" t="n">
        <x:f>SQRT(A242^2+Inputs!$C$6^2+(B242-Y242/1000)^2)</x:f>
        <x:v>409.1265028927786</x:v>
      </x:c>
      <x:c r="AB242" s="40" t="n">
        <x:f>(AA242-Z242)*1000</x:f>
        <x:v>5177.179829051511</x:v>
      </x:c>
      <x:c r="AC242" s="40" t="n">
        <x:f>AB242/Inputs!$C$12</x:f>
        <x:v>2908.5279938491635</x:v>
      </x:c>
      <x:c r="AD242" s="40" t="n">
        <x:f>2*AB242/Inputs!$C$21*1000000</x:f>
        <x:v>34.538426107113814</x:v>
      </x:c>
      <x:c r="AE242" s="40" t="n">
        <x:f>DEGREES(ATAN(H242/(B242-Y242/1000)))</x:f>
        <x:v>9.141607048378463</x:v>
      </x:c>
      <x:c r="AF242" s="40" t="n">
        <x:f>DEGREES((2*PI()/Inputs!$C$13)*Inputs!$C$15*SIN(RADIANS(AE242)))</x:f>
        <x:v>57.19502362850479</x:v>
      </x:c>
      <x:c r="AG242" s="40" t="n">
        <x:f>(Z242/AA242)^4</x:f>
        <x:v>0.9503357873636104</x:v>
      </x:c>
      <x:c r="AH242" s="40" t="n">
        <x:f>10*LOG10(AG242)</x:f>
        <x:v>-0.221229159400884</x:v>
      </x:c>
      <x:c r="AI242" s="40" t="n">
        <x:f>AC242-F242</x:f>
        <x:v>-10.32159772012028</x:v>
      </x:c>
      <x:c r="AJ242" s="40" t="n">
        <x:f>AD242-G242</x:f>
        <x:v>-0.12256775280060594</x:v>
      </x:c>
      <x:c r="AK242" s="40" t="n">
        <x:f>Y242-X242</x:f>
        <x:v>19.260590933730867</x:v>
      </x:c>
      <x:c r="AL242" s="40" t="n">
        <x:f>1000*(AA242-AA241)/(A242-A241)*Inputs!$C$11</x:f>
        <x:v>1158.7569712355617</x:v>
      </x:c>
      <x:c r="AM242" s="40" t="n">
        <x:f>-2*AL242/Inputs!$C$13</x:f>
        <x:v>-463.50278849422466</x:v>
      </x:c>
      <x:c r="AN242" s="40" t="n">
        <x:f>-2*AL242/Inputs!$C$14</x:f>
        <x:v>-69.59501328742112</x:v>
      </x:c>
      <x:c r="AO242" s="40" t="n">
        <x:f>ABS(AM242)</x:f>
        <x:v>463.50278849422466</x:v>
      </x:c>
      <x:c r="AP242" s="40" t="n">
        <x:f>ABS(AN242)</x:f>
        <x:v>69.59501328742112</x:v>
      </x:c>
      <x:c r="AQ242" s="40" t="n">
        <x:f>IF(Inputs!$C$27="ON",Inputs!$C$46/Inputs!$C$12,0)</x:f>
        <x:v>42.13483146067416</x:v>
      </x:c>
      <x:c r="AR242" s="40" t="n">
        <x:f>AC242-AQ242</x:f>
        <x:v>2866.393162388489</x:v>
      </x:c>
      <x:c r="AS242" s="40" t="n">
        <x:f>AC242+AQ242</x:f>
        <x:v>2950.662825309838</x:v>
      </x:c>
    </x:row>
  </x:sheetData>
  <x:pageMargins left="0.7" right="0.7" top="0.75" bottom="0.75" header="0.3" footer="0.3"/>
  <x:tableParts count="1">
    <x:tablePart xmlns:r="http://schemas.openxmlformats.org/officeDocument/2006/relationships" r:id="R75aa854741464e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4" hidden="0" customWidth="1"/>
    <x:col min="5" max="5" width="12" hidden="0" customWidth="1"/>
    <x:col min="6" max="6" width="24" hidden="0" customWidth="1"/>
    <x:col min="7" max="7" width="24" hidden="0" customWidth="1"/>
    <x:col min="8" max="8" width="4" hidden="0" customWidth="1"/>
    <x:col min="9" max="9" width="12" hidden="0" customWidth="1"/>
    <x:col min="10" max="10" width="26" hidden="0" customWidth="1"/>
    <x:col min="11" max="11" width="26" hidden="0" customWidth="1"/>
    <x:col min="12" max="12" width="4" hidden="0" customWidth="1"/>
    <x:col min="13" max="13" width="12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4" hidden="0" customWidth="1"/>
    <x:col min="19" max="19" width="12" hidden="0" customWidth="1"/>
    <x:col min="20" max="20" width="22" hidden="0" customWidth="1"/>
  </x:cols>
  <x:sheetData>
    <x:row r="1">
      <x:c r="A1" s="14" t="str">
        <x:v>x (km)</x:v>
      </x:c>
      <x:c r="B1" s="14" t="str">
        <x:v>Flat apparent depth (m)</x:v>
      </x:c>
      <x:c r="C1" s="14" t="str">
        <x:v>Topography-adjusted apparent depth (m)</x:v>
      </x:c>
      <x:c r="E1" s="14" t="str">
        <x:v>x (km)</x:v>
      </x:c>
      <x:c r="F1" s="14" t="str">
        <x:v>Target topography height (m)</x:v>
      </x:c>
      <x:c r="G1" s="14" t="str">
        <x:v>Nadir topography height (m)</x:v>
      </x:c>
      <x:c r="I1" s="14" t="str">
        <x:v>x (km)</x:v>
      </x:c>
      <x:c r="J1" s="14" t="str">
        <x:v>Depth change from topography (m)</x:v>
      </x:c>
      <x:c r="K1" s="14" t="str">
        <x:v>Target-minus-nadir height (m)</x:v>
      </x:c>
      <x:c r="M1" s="14" t="str">
        <x:v>x (km)</x:v>
      </x:c>
      <x:c r="N1" s="14" t="str">
        <x:v>Flat VHF Doppler (Hz)</x:v>
      </x:c>
      <x:c r="O1" s="14" t="str">
        <x:v>Topo VHF Doppler (Hz)</x:v>
      </x:c>
      <x:c r="P1" s="14" t="str">
        <x:v>Flat HF Doppler (Hz)</x:v>
      </x:c>
      <x:c r="Q1" s="14" t="str">
        <x:v>Topo HF Doppler (Hz)</x:v>
      </x:c>
      <x:c r="S1" s="14" t="str">
        <x:v>x (km)</x:v>
      </x:c>
      <x:c r="T1" s="14" t="str">
        <x:v>Altitude rise above z0 (km)</x:v>
      </x:c>
    </x:row>
    <x:row r="2">
      <x:c r="A2" s="40" t="n">
        <x:f>Model_Data!A2</x:f>
        <x:v>-60</x:v>
      </x:c>
      <x:c r="B2" s="40" t="n">
        <x:f>Model_Data!F2</x:f>
        <x:v>2918.849591569284</x:v>
      </x:c>
      <x:c r="C2" s="40" t="n">
        <x:f>Model_Data!AC2</x:f>
        <x:v>2925.9740720115797</x:v>
      </x:c>
      <x:c r="D2" s="41"/>
      <x:c r="E2" s="40" t="n">
        <x:f>Model_Data!A2</x:f>
        <x:v>-60</x:v>
      </x:c>
      <x:c r="F2" s="40" t="n">
        <x:f>Model_Data!Y2</x:f>
        <x:v>-22.294197776754185</x:v>
      </x:c>
      <x:c r="G2" s="40" t="n">
        <x:f>Model_Data!X2</x:f>
        <x:v>-9.329568683057762</x:v>
      </x:c>
      <x:c r="H2" s="41"/>
      <x:c r="I2" s="40" t="n">
        <x:f>Model_Data!A2</x:f>
        <x:v>-60</x:v>
      </x:c>
      <x:c r="J2" s="40" t="n">
        <x:f>Model_Data!AI2</x:f>
        <x:v>7.124480442295862</x:v>
      </x:c>
      <x:c r="K2" s="40" t="n">
        <x:f>Model_Data!AK2</x:f>
        <x:v>-12.964629093696423</x:v>
      </x:c>
      <x:c r="L2" s="41"/>
      <x:c r="M2" s="40" t="n">
        <x:f>Model_Data!A2</x:f>
        <x:v>-60</x:v>
      </x:c>
      <x:c r="N2" s="40" t="n">
        <x:f>Model_Data!P2</x:f>
        <x:v>445.23129749250427</x:v>
      </x:c>
      <x:c r="O2" s="40" t="n">
        <x:f>Model_Data!AM2</x:f>
        <x:v>430.11987723184575</x:v>
      </x:c>
      <x:c r="P2" s="40" t="n">
        <x:f>Model_Data!Q2</x:f>
        <x:v>66.8515461700457</x:v>
      </x:c>
      <x:c r="Q2" s="40" t="n">
        <x:f>Model_Data!AN2</x:f>
        <x:v>64.5825641489258</x:v>
      </x:c>
      <x:c r="R2" s="41"/>
      <x:c r="S2" s="40" t="n">
        <x:f>Model_Data!A2</x:f>
        <x:v>-60</x:v>
      </x:c>
      <x:c r="T2" s="40" t="n">
        <x:f>Model_Data!B2-Inputs!$C$5</x:f>
        <x:v>4</x:v>
      </x:c>
    </x:row>
    <x:row r="3">
      <x:c r="A3" s="40" t="n">
        <x:f>Model_Data!A3</x:f>
        <x:v>-59.5</x:v>
      </x:c>
      <x:c r="B3" s="40" t="n">
        <x:f>Model_Data!F3</x:f>
        <x:v>2878.296646898987</x:v>
      </x:c>
      <x:c r="C3" s="40" t="n">
        <x:f>Model_Data!AC3</x:f>
        <x:v>2887.7816465057235</x:v>
      </x:c>
      <x:c r="D3" s="41"/>
      <x:c r="E3" s="40" t="n">
        <x:f>Model_Data!A3</x:f>
        <x:v>-59.5</x:v>
      </x:c>
      <x:c r="F3" s="40" t="n">
        <x:f>Model_Data!Y3</x:f>
        <x:v>-26.503746108972983</x:v>
      </x:c>
      <x:c r="G3" s="40" t="n">
        <x:f>Model_Data!X3</x:f>
        <x:v>-9.288513337400946</x:v>
      </x:c>
      <x:c r="H3" s="41"/>
      <x:c r="I3" s="40" t="n">
        <x:f>Model_Data!A3</x:f>
        <x:v>-59.5</x:v>
      </x:c>
      <x:c r="J3" s="40" t="n">
        <x:f>Model_Data!AI3</x:f>
        <x:v>9.484999606736437</x:v>
      </x:c>
      <x:c r="K3" s="40" t="n">
        <x:f>Model_Data!AK3</x:f>
        <x:v>-17.215232771572037</x:v>
      </x:c>
      <x:c r="L3" s="41"/>
      <x:c r="M3" s="40" t="n">
        <x:f>Model_Data!A3</x:f>
        <x:v>-59.5</x:v>
      </x:c>
      <x:c r="N3" s="40" t="n">
        <x:f>Model_Data!P3</x:f>
        <x:v>441.63627249395824</x:v>
      </x:c>
      <x:c r="O3" s="40" t="n">
        <x:f>Model_Data!AM3</x:f>
        <x:v>431.6330526082311</x:v>
      </x:c>
      <x:c r="P3" s="40" t="n">
        <x:f>Model_Data!Q3</x:f>
        <x:v>66.31175262672046</x:v>
      </x:c>
      <x:c r="Q3" s="40" t="n">
        <x:f>Model_Data!AN3</x:f>
        <x:v>64.80976765889356</x:v>
      </x:c>
      <x:c r="R3" s="41"/>
      <x:c r="S3" s="40" t="n">
        <x:f>Model_Data!A3</x:f>
        <x:v>-59.5</x:v>
      </x:c>
      <x:c r="T3" s="40" t="n">
        <x:f>Model_Data!B3-Inputs!$C$5</x:f>
        <x:v>3.9336111111111336</x:v>
      </x:c>
    </x:row>
    <x:row r="4">
      <x:c r="A4" s="40" t="n">
        <x:f>Model_Data!A4</x:f>
        <x:v>-59</x:v>
      </x:c>
      <x:c r="B4" s="40" t="n">
        <x:f>Model_Data!F4</x:f>
        <x:v>2838.0629855635702</x:v>
      </x:c>
      <x:c r="C4" s="40" t="n">
        <x:f>Model_Data!AC4</x:f>
        <x:v>2849.2525910975837</x:v>
      </x:c>
      <x:c r="D4" s="41"/>
      <x:c r="E4" s="40" t="n">
        <x:f>Model_Data!A4</x:f>
        <x:v>-59</x:v>
      </x:c>
      <x:c r="F4" s="40" t="n">
        <x:f>Model_Data!Y4</x:f>
        <x:v>-28.616366122175435</x:v>
      </x:c>
      <x:c r="G4" s="40" t="n">
        <x:f>Model_Data!X4</x:f>
        <x:v>-8.34536905202821</x:v>
      </x:c>
      <x:c r="H4" s="41"/>
      <x:c r="I4" s="40" t="n">
        <x:f>Model_Data!A4</x:f>
        <x:v>-59</x:v>
      </x:c>
      <x:c r="J4" s="40" t="n">
        <x:f>Model_Data!AI4</x:f>
        <x:v>11.18960553401348</x:v>
      </x:c>
      <x:c r="K4" s="40" t="n">
        <x:f>Model_Data!AK4</x:f>
        <x:v>-20.270997070147224</x:v>
      </x:c>
      <x:c r="L4" s="41"/>
      <x:c r="M4" s="40" t="n">
        <x:f>Model_Data!A4</x:f>
        <x:v>-59</x:v>
      </x:c>
      <x:c r="N4" s="40" t="n">
        <x:f>Model_Data!P4</x:f>
        <x:v>438.03846929381024</x:v>
      </x:c>
      <x:c r="O4" s="40" t="n">
        <x:f>Model_Data!AM4</x:f>
        <x:v>434.81596668543716</x:v>
      </x:c>
      <x:c r="P4" s="40" t="n">
        <x:f>Model_Data!Q4</x:f>
        <x:v>65.77154193600755</x:v>
      </x:c>
      <x:c r="Q4" s="40" t="n">
        <x:f>Model_Data!AN4</x:f>
        <x:v>65.28768268550108</x:v>
      </x:c>
      <x:c r="R4" s="41"/>
      <x:c r="S4" s="40" t="n">
        <x:f>Model_Data!A4</x:f>
        <x:v>-59</x:v>
      </x:c>
      <x:c r="T4" s="40" t="n">
        <x:f>Model_Data!B4-Inputs!$C$5</x:f>
        <x:v>3.8677777777778033</x:v>
      </x:c>
    </x:row>
    <x:row r="5">
      <x:c r="A5" s="40" t="n">
        <x:f>Model_Data!A5</x:f>
        <x:v>-58.5</x:v>
      </x:c>
      <x:c r="B5" s="40" t="n">
        <x:f>Model_Data!F5</x:f>
        <x:v>2798.1490936689197</x:v>
      </x:c>
      <x:c r="C5" s="40" t="n">
        <x:f>Model_Data!AC5</x:f>
        <x:v>2810.2959962971927</x:v>
      </x:c>
      <x:c r="D5" s="41"/>
      <x:c r="E5" s="40" t="n">
        <x:f>Model_Data!A5</x:f>
        <x:v>-58.5</x:v>
      </x:c>
      <x:c r="F5" s="40" t="n">
        <x:f>Model_Data!Y5</x:f>
        <x:v>-28.533220297634156</x:v>
      </x:c>
      <x:c r="G5" s="40" t="n">
        <x:f>Model_Data!X5</x:f>
        <x:v>-6.564102641335559</x:v>
      </x:c>
      <x:c r="H5" s="41"/>
      <x:c r="I5" s="40" t="n">
        <x:f>Model_Data!A5</x:f>
        <x:v>-58.5</x:v>
      </x:c>
      <x:c r="J5" s="40" t="n">
        <x:f>Model_Data!AI5</x:f>
        <x:v>12.146902628272983</x:v>
      </x:c>
      <x:c r="K5" s="40" t="n">
        <x:f>Model_Data!AK5</x:f>
        <x:v>-21.969117656298597</x:v>
      </x:c>
      <x:c r="L5" s="41"/>
      <x:c r="M5" s="40" t="n">
        <x:f>Model_Data!A5</x:f>
        <x:v>-58.5</x:v>
      </x:c>
      <x:c r="N5" s="40" t="n">
        <x:f>Model_Data!P5</x:f>
        <x:v>434.43790659645504</x:v>
      </x:c>
      <x:c r="O5" s="40" t="n">
        <x:f>Model_Data!AM5</x:f>
        <x:v>438.19654259432355</x:v>
      </x:c>
      <x:c r="P5" s="40" t="n">
        <x:f>Model_Data!Q5</x:f>
        <x:v>65.23091690637463</x:v>
      </x:c>
      <x:c r="Q5" s="40" t="n">
        <x:f>Model_Data!AN5</x:f>
        <x:v>65.79527666581436</x:v>
      </x:c>
      <x:c r="R5" s="41"/>
      <x:c r="S5" s="40" t="n">
        <x:f>Model_Data!A5</x:f>
        <x:v>-58.5</x:v>
      </x:c>
      <x:c r="T5" s="40" t="n">
        <x:f>Model_Data!B5-Inputs!$C$5</x:f>
        <x:v>3.802500000000009</x:v>
      </x:c>
    </x:row>
    <x:row r="6">
      <x:c r="A6" s="40" t="n">
        <x:f>Model_Data!A6</x:f>
        <x:v>-58</x:v>
      </x:c>
      <x:c r="B6" s="40" t="n">
        <x:f>Model_Data!F6</x:f>
        <x:v>2758.555454027449</x:v>
      </x:c>
      <x:c r="C6" s="40" t="n">
        <x:f>Model_Data!AC6</x:f>
        <x:v>2770.848907768884</x:v>
      </x:c>
      <x:c r="D6" s="41"/>
      <x:c r="E6" s="40" t="n">
        <x:f>Model_Data!A6</x:f>
        <x:v>-58</x:v>
      </x:c>
      <x:c r="F6" s="40" t="n">
        <x:f>Model_Data!Y6</x:f>
        <x:v>-26.22857081426318</x:v>
      </x:c>
      <x:c r="G6" s="40" t="n">
        <x:f>Model_Data!X6</x:f>
        <x:v>-4.031086255750924</x:v>
      </x:c>
      <x:c r="H6" s="41"/>
      <x:c r="I6" s="40" t="n">
        <x:f>Model_Data!A6</x:f>
        <x:v>-58</x:v>
      </x:c>
      <x:c r="J6" s="40" t="n">
        <x:f>Model_Data!AI6</x:f>
        <x:v>12.293453741435314</x:v>
      </x:c>
      <x:c r="K6" s="40" t="n">
        <x:f>Model_Data!AK6</x:f>
        <x:v>-22.197484558512254</x:v>
      </x:c>
      <x:c r="L6" s="41"/>
      <x:c r="M6" s="40" t="n">
        <x:f>Model_Data!A6</x:f>
        <x:v>-58</x:v>
      </x:c>
      <x:c r="N6" s="40" t="n">
        <x:f>Model_Data!P6</x:f>
        <x:v>430.83460321358444</x:v>
      </x:c>
      <x:c r="O6" s="40" t="n">
        <x:f>Model_Data!AM6</x:f>
        <x:v>441.5425675237202</x:v>
      </x:c>
      <x:c r="P6" s="40" t="n">
        <x:f>Model_Data!Q6</x:f>
        <x:v>64.68988036240007</x:v>
      </x:c>
      <x:c r="Q6" s="40" t="n">
        <x:f>Model_Data!AN6</x:f>
        <x:v>66.29768281136941</x:v>
      </x:c>
      <x:c r="R6" s="41"/>
      <x:c r="S6" s="40" t="n">
        <x:f>Model_Data!A6</x:f>
        <x:v>-58</x:v>
      </x:c>
      <x:c r="T6" s="40" t="n">
        <x:f>Model_Data!B6-Inputs!$C$5</x:f>
        <x:v>3.737777777777751</x:v>
      </x:c>
    </x:row>
    <x:row r="7">
      <x:c r="A7" s="40" t="n">
        <x:f>Model_Data!A7</x:f>
        <x:v>-57.5</x:v>
      </x:c>
      <x:c r="B7" s="40" t="n">
        <x:f>Model_Data!F7</x:f>
        <x:v>2719.282546139775</x:v>
      </x:c>
      <x:c r="C7" s="40" t="n">
        <x:f>Model_Data!AC7</x:f>
        <x:v>2730.8790205628857</x:v>
      </x:c>
      <x:c r="D7" s="41"/>
      <x:c r="E7" s="40" t="n">
        <x:f>Model_Data!A7</x:f>
        <x:v>-57.5</x:v>
      </x:c>
      <x:c r="F7" s="40" t="n">
        <x:f>Model_Data!Y7</x:f>
        <x:v>-21.750528027040612</x:v>
      </x:c>
      <x:c r="G7" s="40" t="n">
        <x:f>Model_Data!X7</x:f>
        <x:v>-0.8511036349853622</x:v>
      </x:c>
      <x:c r="H7" s="41"/>
      <x:c r="I7" s="40" t="n">
        <x:f>Model_Data!A7</x:f>
        <x:v>-57.5</x:v>
      </x:c>
      <x:c r="J7" s="40" t="n">
        <x:f>Model_Data!AI7</x:f>
        <x:v>11.596474423110521</x:v>
      </x:c>
      <x:c r="K7" s="40" t="n">
        <x:f>Model_Data!AK7</x:f>
        <x:v>-20.899424392055252</x:v>
      </x:c>
      <x:c r="L7" s="41"/>
      <x:c r="M7" s="40" t="n">
        <x:f>Model_Data!A7</x:f>
        <x:v>-57.5</x:v>
      </x:c>
      <x:c r="N7" s="40" t="n">
        <x:f>Model_Data!P7</x:f>
        <x:v>427.2285780636811</x:v>
      </x:c>
      <x:c r="O7" s="40" t="n">
        <x:f>Model_Data!AM7</x:f>
        <x:v>444.62333212322847</x:v>
      </x:c>
      <x:c r="P7" s="40" t="n">
        <x:f>Model_Data!Q7</x:f>
        <x:v>64.14843514469686</x:v>
      </x:c>
      <x:c r="Q7" s="40" t="n">
        <x:f>Model_Data!AN7</x:f>
        <x:v>66.76026007856284</x:v>
      </x:c>
      <x:c r="R7" s="41"/>
      <x:c r="S7" s="40" t="n">
        <x:f>Model_Data!A7</x:f>
        <x:v>-57.5</x:v>
      </x:c>
      <x:c r="T7" s="40" t="n">
        <x:f>Model_Data!B7-Inputs!$C$5</x:f>
        <x:v>3.673611111111086</x:v>
      </x:c>
    </x:row>
    <x:row r="8">
      <x:c r="A8" s="40" t="n">
        <x:f>Model_Data!A8</x:f>
        <x:v>-57</x:v>
      </x:c>
      <x:c r="B8" s="40" t="n">
        <x:f>Model_Data!F8</x:f>
        <x:v>2680.330846175745</x:v>
      </x:c>
      <x:c r="C8" s="40" t="n">
        <x:f>Model_Data!AC8</x:f>
        <x:v>2690.3861492832375</x:v>
      </x:c>
      <x:c r="D8" s="41"/>
      <x:c r="E8" s="40" t="n">
        <x:f>Model_Data!A8</x:f>
        <x:v>-57</x:v>
      </x:c>
      <x:c r="F8" s="40" t="n">
        <x:f>Model_Data!Y8</x:f>
        <x:v>-15.2192260199771</x:v>
      </x:c>
      <x:c r="G8" s="40" t="n">
        <x:f>Model_Data!X8</x:f>
        <x:v>2.857008439071281</x:v>
      </x:c>
      <x:c r="H8" s="41"/>
      <x:c r="I8" s="40" t="n">
        <x:f>Model_Data!A8</x:f>
        <x:v>-57</x:v>
      </x:c>
      <x:c r="J8" s="40" t="n">
        <x:f>Model_Data!AI8</x:f>
        <x:v>10.055303107492364</x:v>
      </x:c>
      <x:c r="K8" s="40" t="n">
        <x:f>Model_Data!AK8</x:f>
        <x:v>-18.07623445904838</x:v>
      </x:c>
      <x:c r="L8" s="41"/>
      <x:c r="M8" s="40" t="n">
        <x:f>Model_Data!A8</x:f>
        <x:v>-57</x:v>
      </x:c>
      <x:c r="N8" s="40" t="n">
        <x:f>Model_Data!P8</x:f>
        <x:v>423.6198501715072</x:v>
      </x:c>
      <x:c r="O8" s="40" t="n">
        <x:f>Model_Data!AM8</x:f>
        <x:v>447.2176643777857</x:v>
      </x:c>
      <x:c r="P8" s="40" t="n">
        <x:f>Model_Data!Q8</x:f>
        <x:v>63.60658410983592</x:v>
      </x:c>
      <x:c r="Q8" s="40" t="n">
        <x:f>Model_Data!AN8</x:f>
        <x:v>67.14979945612399</x:v>
      </x:c>
      <x:c r="R8" s="41"/>
      <x:c r="S8" s="40" t="n">
        <x:f>Model_Data!A8</x:f>
        <x:v>-57</x:v>
      </x:c>
      <x:c r="T8" s="40" t="n">
        <x:f>Model_Data!B8-Inputs!$C$5</x:f>
        <x:v>3.6100000000000136</x:v>
      </x:c>
    </x:row>
    <x:row r="9">
      <x:c r="A9" s="40" t="n">
        <x:f>Model_Data!A9</x:f>
        <x:v>-56.5</x:v>
      </x:c>
      <x:c r="B9" s="40" t="n">
        <x:f>Model_Data!F9</x:f>
        <x:v>2641.700826955916</x:v>
      </x:c>
      <x:c r="C9" s="40" t="n">
        <x:f>Model_Data!AC9</x:f>
        <x:v>2649.4024080239396</x:v>
      </x:c>
      <x:c r="D9" s="41"/>
      <x:c r="E9" s="40" t="n">
        <x:f>Model_Data!A9</x:f>
        <x:v>-56.5</x:v>
      </x:c>
      <x:c r="F9" s="40" t="n">
        <x:f>Model_Data!Y9</x:f>
        <x:v>-6.822495104673367</x:v>
      </x:c>
      <x:c r="G9" s="40" t="n">
        <x:f>Model_Data!X9</x:f>
        <x:v>6.9648996151155</x:v>
      </x:c>
      <x:c r="H9" s="41"/>
      <x:c r="I9" s="40" t="n">
        <x:f>Model_Data!A9</x:f>
        <x:v>-56.5</x:v>
      </x:c>
      <x:c r="J9" s="40" t="n">
        <x:f>Model_Data!AI9</x:f>
        <x:v>7.701581068023643</x:v>
      </x:c>
      <x:c r="K9" s="40" t="n">
        <x:f>Model_Data!AK9</x:f>
        <x:v>-13.787394719788868</x:v>
      </x:c>
      <x:c r="L9" s="41"/>
      <x:c r="M9" s="40" t="n">
        <x:f>Model_Data!A9</x:f>
        <x:v>-56.5</x:v>
      </x:c>
      <x:c r="N9" s="40" t="n">
        <x:f>Model_Data!P9</x:f>
        <x:v>420.0084386675802</x:v>
      </x:c>
      <x:c r="O9" s="40" t="n">
        <x:f>Model_Data!AM9</x:f>
        <x:v>449.12160959920584</x:v>
      </x:c>
      <x:c r="P9" s="40" t="n">
        <x:f>Model_Data!Q9</x:f>
        <x:v>63.06433013026731</x:v>
      </x:c>
      <x:c r="Q9" s="40" t="n">
        <x:f>Model_Data!AN9</x:f>
        <x:v>67.43567711699788</x:v>
      </x:c>
      <x:c r="R9" s="41"/>
      <x:c r="S9" s="40" t="n">
        <x:f>Model_Data!A9</x:f>
        <x:v>-56.5</x:v>
      </x:c>
      <x:c r="T9" s="40" t="n">
        <x:f>Model_Data!B9-Inputs!$C$5</x:f>
        <x:v>3.5469444444444207</x:v>
      </x:c>
    </x:row>
    <x:row r="10">
      <x:c r="A10" s="40" t="n">
        <x:f>Model_Data!A10</x:f>
        <x:v>-56</x:v>
      </x:c>
      <x:c r="B10" s="40" t="n">
        <x:f>Model_Data!F10</x:f>
        <x:v>2603.3929579329656</x:v>
      </x:c>
      <x:c r="C10" s="40" t="n">
        <x:f>Model_Data!AC10</x:f>
        <x:v>2607.9910868372544</x:v>
      </x:c>
      <x:c r="D10" s="41"/>
      <x:c r="E10" s="40" t="n">
        <x:f>Model_Data!A10</x:f>
        <x:v>-56</x:v>
      </x:c>
      <x:c r="F10" s="40" t="n">
        <x:f>Model_Data!Y10</x:f>
        <x:v>3.1908090571637384</x:v>
      </x:c>
      <x:c r="G10" s="40" t="n">
        <x:f>Model_Data!X10</x:f>
        <x:v>11.339247729139815</x:v>
      </x:c>
      <x:c r="H10" s="41"/>
      <x:c r="I10" s="40" t="n">
        <x:f>Model_Data!A10</x:f>
        <x:v>-56</x:v>
      </x:c>
      <x:c r="J10" s="40" t="n">
        <x:f>Model_Data!AI10</x:f>
        <x:v>4.598128904288842</x:v>
      </x:c>
      <x:c r="K10" s="40" t="n">
        <x:f>Model_Data!AK10</x:f>
        <x:v>-8.148438671976077</x:v>
      </x:c>
      <x:c r="L10" s="41"/>
      <x:c r="M10" s="40" t="n">
        <x:f>Model_Data!A10</x:f>
        <x:v>-56</x:v>
      </x:c>
      <x:c r="N10" s="40" t="n">
        <x:f>Model_Data!P10</x:f>
        <x:v>416.39436278764407</x:v>
      </x:c>
      <x:c r="O10" s="40" t="n">
        <x:f>Model_Data!AM10</x:f>
        <x:v>450.1554812039103</x:v>
      </x:c>
      <x:c r="P10" s="40" t="n">
        <x:f>Model_Data!Q10</x:f>
        <x:v>62.52167609424085</x:v>
      </x:c>
      <x:c r="Q10" s="40" t="n">
        <x:f>Model_Data!AN10</x:f>
        <x:v>67.59091309368023</x:v>
      </x:c>
      <x:c r="R10" s="41"/>
      <x:c r="S10" s="40" t="n">
        <x:f>Model_Data!A10</x:f>
        <x:v>-56</x:v>
      </x:c>
      <x:c r="T10" s="40" t="n">
        <x:f>Model_Data!B10-Inputs!$C$5</x:f>
        <x:v>3.4844444444444207</x:v>
      </x:c>
    </x:row>
    <x:row r="11">
      <x:c r="A11" s="40" t="n">
        <x:f>Model_Data!A11</x:f>
        <x:v>-55.5</x:v>
      </x:c>
      <x:c r="B11" s="40" t="n">
        <x:f>Model_Data!F11</x:f>
        <x:v>2565.4077051733684</x:v>
      </x:c>
      <x:c r="C11" s="40" t="n">
        <x:f>Model_Data!AC11</x:f>
        <x:v>2566.2442651672995</x:v>
      </x:c>
      <x:c r="D11" s="41"/>
      <x:c r="E11" s="40" t="n">
        <x:f>Model_Data!A11</x:f>
        <x:v>-55.5</x:v>
      </x:c>
      <x:c r="F11" s="40" t="n">
        <x:f>Model_Data!Y11</x:f>
        <x:v>14.519576302097576</x:v>
      </x:c>
      <x:c r="G11" s="40" t="n">
        <x:f>Model_Data!X11</x:f>
        <x:v>15.84613663833629</x:v>
      </x:c>
      <x:c r="H11" s="41"/>
      <x:c r="I11" s="40" t="n">
        <x:f>Model_Data!A11</x:f>
        <x:v>-55.5</x:v>
      </x:c>
      <x:c r="J11" s="40" t="n">
        <x:f>Model_Data!AI11</x:f>
        <x:v>0.8365599939311323</x:v>
      </x:c>
      <x:c r="K11" s="40" t="n">
        <x:f>Model_Data!AK11</x:f>
        <x:v>-1.326560336238714</x:v>
      </x:c>
      <x:c r="L11" s="41"/>
      <x:c r="M11" s="40" t="n">
        <x:f>Model_Data!A11</x:f>
        <x:v>-55.5</x:v>
      </x:c>
      <x:c r="N11" s="40" t="n">
        <x:f>Model_Data!P11</x:f>
        <x:v>412.77764187212813</x:v>
      </x:c>
      <x:c r="O11" s="40" t="n">
        <x:f>Model_Data!AM11</x:f>
        <x:v>450.17003071343424</x:v>
      </x:c>
      <x:c r="P11" s="40" t="n">
        <x:f>Model_Data!Q11</x:f>
        <x:v>61.978624905724956</x:v>
      </x:c>
      <x:c r="Q11" s="40" t="n">
        <x:f>Model_Data!AN11</x:f>
        <x:v>67.59309770471987</x:v>
      </x:c>
      <x:c r="R11" s="41"/>
      <x:c r="S11" s="40" t="n">
        <x:f>Model_Data!A11</x:f>
        <x:v>-55.5</x:v>
      </x:c>
      <x:c r="T11" s="40" t="n">
        <x:f>Model_Data!B11-Inputs!$C$5</x:f>
        <x:v>3.4225000000000136</x:v>
      </x:c>
    </x:row>
    <x:row r="12">
      <x:c r="A12" s="40" t="n">
        <x:f>Model_Data!A12</x:f>
        <x:v>-55</x:v>
      </x:c>
      <x:c r="B12" s="40" t="n">
        <x:f>Model_Data!F12</x:f>
        <x:v>2527.745531338961</x:v>
      </x:c>
      <x:c r="C12" s="40" t="n">
        <x:f>Model_Data!AC12</x:f>
        <x:v>2524.2792548402867</x:v>
      </x:c>
      <x:c r="D12" s="41"/>
      <x:c r="E12" s="40" t="n">
        <x:f>Model_Data!A12</x:f>
        <x:v>-55</x:v>
      </x:c>
      <x:c r="F12" s="40" t="n">
        <x:f>Model_Data!Y12</x:f>
        <x:v>26.820994823959232</x:v>
      </x:c>
      <x:c r="G12" s="40" t="n">
        <x:f>Model_Data!X12</x:f>
        <x:v>20.355122637137168</x:v>
      </x:c>
      <x:c r="H12" s="41"/>
      <x:c r="I12" s="40" t="n">
        <x:f>Model_Data!A12</x:f>
        <x:v>-55</x:v>
      </x:c>
      <x:c r="J12" s="40" t="n">
        <x:f>Model_Data!AI12</x:f>
        <x:v>-3.466276498674233</x:v>
      </x:c>
      <x:c r="K12" s="40" t="n">
        <x:f>Model_Data!AK12</x:f>
        <x:v>6.4658721868220645</x:v>
      </x:c>
      <x:c r="L12" s="41"/>
      <x:c r="M12" s="40" t="n">
        <x:f>Model_Data!A12</x:f>
        <x:v>-55</x:v>
      </x:c>
      <x:c r="N12" s="40" t="n">
        <x:f>Model_Data!P12</x:f>
        <x:v>409.15829536560034</x:v>
      </x:c>
      <x:c r="O12" s="40" t="n">
        <x:f>Model_Data!AM12</x:f>
        <x:v>449.051518453507</x:v>
      </x:c>
      <x:c r="P12" s="40" t="n">
        <x:f>Model_Data!Q12</x:f>
        <x:v>61.43517948432438</x:v>
      </x:c>
      <x:c r="Q12" s="40" t="n">
        <x:f>Model_Data!AN12</x:f>
        <x:v>67.425152920947</x:v>
      </x:c>
      <x:c r="R12" s="41"/>
      <x:c r="S12" s="40" t="n">
        <x:f>Model_Data!A12</x:f>
        <x:v>-55</x:v>
      </x:c>
      <x:c r="T12" s="40" t="n">
        <x:f>Model_Data!B12-Inputs!$C$5</x:f>
        <x:v>3.361111111111086</x:v>
      </x:c>
    </x:row>
    <x:row r="13">
      <x:c r="A13" s="40" t="n">
        <x:f>Model_Data!A13</x:f>
        <x:v>-54.5</x:v>
      </x:c>
      <x:c r="B13" s="40" t="n">
        <x:f>Model_Data!F13</x:f>
        <x:v>2490.406895668812</x:v>
      </x:c>
      <x:c r="C13" s="40" t="n">
        <x:f>Model_Data!AC13</x:f>
        <x:v>2482.2340136670314</x:v>
      </x:c>
      <x:c r="D13" s="41"/>
      <x:c r="E13" s="40" t="n">
        <x:f>Model_Data!A13</x:f>
        <x:v>-54.5</x:v>
      </x:c>
      <x:c r="F13" s="40" t="n">
        <x:f>Model_Data!Y13</x:f>
        <x:v>39.72250543451379</x:v>
      </x:c>
      <x:c r="G13" s="40" t="n">
        <x:f>Model_Data!X13</x:f>
        <x:v>24.74286577905619</x:v>
      </x:c>
      <x:c r="H13" s="41"/>
      <x:c r="I13" s="40" t="n">
        <x:f>Model_Data!A13</x:f>
        <x:v>-54.5</x:v>
      </x:c>
      <x:c r="J13" s="40" t="n">
        <x:f>Model_Data!AI13</x:f>
        <x:v>-8.172882001780636</x:v>
      </x:c>
      <x:c r="K13" s="40" t="n">
        <x:f>Model_Data!AK13</x:f>
        <x:v>14.979639655457603</x:v>
      </x:c>
      <x:c r="L13" s="41"/>
      <x:c r="M13" s="40" t="n">
        <x:f>Model_Data!A13</x:f>
        <x:v>-54.5</x:v>
      </x:c>
      <x:c r="N13" s="40" t="n">
        <x:f>Model_Data!P13</x:f>
        <x:v>405.5363428162093</x:v>
      </x:c>
      <x:c r="O13" s="40" t="n">
        <x:f>Model_Data!AM13</x:f>
        <x:v>446.7255074628156</x:v>
      </x:c>
      <x:c r="P13" s="40" t="n">
        <x:f>Model_Data!Q13</x:f>
        <x:v>60.8913427651966</x:v>
      </x:c>
      <x:c r="Q13" s="40" t="n">
        <x:f>Model_Data!AN13</x:f>
        <x:v>67.07590202144378</x:v>
      </x:c>
      <x:c r="R13" s="41"/>
      <x:c r="S13" s="40" t="n">
        <x:f>Model_Data!A13</x:f>
        <x:v>-54.5</x:v>
      </x:c>
      <x:c r="T13" s="40" t="n">
        <x:f>Model_Data!B13-Inputs!$C$5</x:f>
        <x:v>3.300277777777751</x:v>
      </x:c>
    </x:row>
    <x:row r="14">
      <x:c r="A14" s="40" t="n">
        <x:f>Model_Data!A14</x:f>
        <x:v>-54</x:v>
      </x:c>
      <x:c r="B14" s="40" t="n">
        <x:f>Model_Data!F14</x:f>
        <x:v>2453.3922539609484</x:v>
      </x:c>
      <x:c r="C14" s="40" t="n">
        <x:f>Model_Data!AC14</x:f>
        <x:v>2440.2617134420343</x:v>
      </x:c>
      <x:c r="D14" s="41"/>
      <x:c r="E14" s="40" t="n">
        <x:f>Model_Data!A14</x:f>
        <x:v>-54</x:v>
      </x:c>
      <x:c r="F14" s="40" t="n">
        <x:f>Model_Data!Y14</x:f>
        <x:v>52.834728149479304</x:v>
      </x:c>
      <x:c r="G14" s="40" t="n">
        <x:f>Model_Data!X14</x:f>
        <x:v>28.896230001426368</x:v>
      </x:c>
      <x:c r="H14" s="41"/>
      <x:c r="I14" s="40" t="n">
        <x:f>Model_Data!A14</x:f>
        <x:v>-54</x:v>
      </x:c>
      <x:c r="J14" s="40" t="n">
        <x:f>Model_Data!AI14</x:f>
        <x:v>-13.130540518914131</x:v>
      </x:c>
      <x:c r="K14" s="40" t="n">
        <x:f>Model_Data!AK14</x:f>
        <x:v>23.938498148052936</x:v>
      </x:c>
      <x:c r="L14" s="41"/>
      <x:c r="M14" s="40" t="n">
        <x:f>Model_Data!A14</x:f>
        <x:v>-54</x:v>
      </x:c>
      <x:c r="N14" s="40" t="n">
        <x:f>Model_Data!P14</x:f>
        <x:v>401.9118038751195</x:v>
      </x:c>
      <x:c r="O14" s="40" t="n">
        <x:f>Model_Data!AM14</x:f>
        <x:v>443.1592505766275</x:v>
      </x:c>
      <x:c r="P14" s="40" t="n">
        <x:f>Model_Data!Q14</x:f>
        <x:v>60.347117698966905</x:v>
      </x:c>
      <x:c r="Q14" s="40" t="n">
        <x:f>Model_Data!AN14</x:f>
        <x:v>66.54042801450865</x:v>
      </x:c>
      <x:c r="R14" s="41"/>
      <x:c r="S14" s="40" t="n">
        <x:f>Model_Data!A14</x:f>
        <x:v>-54</x:v>
      </x:c>
      <x:c r="T14" s="40" t="n">
        <x:f>Model_Data!B14-Inputs!$C$5</x:f>
        <x:v>3.240000000000009</x:v>
      </x:c>
    </x:row>
    <x:row r="15">
      <x:c r="A15" s="40" t="n">
        <x:f>Model_Data!A15</x:f>
        <x:v>-53.5</x:v>
      </x:c>
      <x:c r="B15" s="40" t="n">
        <x:f>Model_Data!F15</x:f>
        <x:v>2416.7020585545083</x:v>
      </x:c>
      <x:c r="C15" s="40" t="n">
        <x:f>Model_Data!AC15</x:f>
        <x:v>2398.5246813200647</x:v>
      </x:c>
      <x:c r="D15" s="41"/>
      <x:c r="E15" s="40" t="n">
        <x:f>Model_Data!A15</x:f>
        <x:v>-53.5</x:v>
      </x:c>
      <x:c r="F15" s="40" t="n">
        <x:f>Model_Data!Y15</x:f>
        <x:v>65.76489946712805</x:v>
      </x:c>
      <x:c r="G15" s="40" t="n">
        <x:f>Model_Data!X15</x:f>
        <x:v>32.7147858118972</x:v>
      </x:c>
      <x:c r="H15" s="41"/>
      <x:c r="I15" s="40" t="n">
        <x:f>Model_Data!A15</x:f>
        <x:v>-53.5</x:v>
      </x:c>
      <x:c r="J15" s="40" t="n">
        <x:f>Model_Data!AI15</x:f>
        <x:v>-18.17737723444361</x:v>
      </x:c>
      <x:c r="K15" s="40" t="n">
        <x:f>Model_Data!AK15</x:f>
        <x:v>33.050113655230845</x:v>
      </x:c>
      <x:c r="L15" s="41"/>
      <x:c r="M15" s="40" t="n">
        <x:f>Model_Data!A15</x:f>
        <x:v>-53.5</x:v>
      </x:c>
      <x:c r="N15" s="40" t="n">
        <x:f>Model_Data!P15</x:f>
        <x:v>398.28469829593723</x:v>
      </x:c>
      <x:c r="O15" s="40" t="n">
        <x:f>Model_Data!AM15</x:f>
        <x:v>438.36259268864524</x:v>
      </x:c>
      <x:c r="P15" s="40" t="n">
        <x:f>Model_Data!Q15</x:f>
        <x:v>59.80250725164223</x:v>
      </x:c>
      <x:c r="Q15" s="40" t="n">
        <x:f>Model_Data!AN15</x:f>
        <x:v>65.8202091124092</x:v>
      </x:c>
      <x:c r="R15" s="41"/>
      <x:c r="S15" s="40" t="n">
        <x:f>Model_Data!A15</x:f>
        <x:v>-53.5</x:v>
      </x:c>
      <x:c r="T15" s="40" t="n">
        <x:f>Model_Data!B15-Inputs!$C$5</x:f>
        <x:v>3.1802777777778033</x:v>
      </x:c>
    </x:row>
    <x:row r="16">
      <x:c r="A16" s="40" t="n">
        <x:f>Model_Data!A16</x:f>
        <x:v>-53</x:v>
      </x:c>
      <x:c r="B16" s="40" t="n">
        <x:f>Model_Data!F16</x:f>
        <x:v>2380.3367583116014</x:v>
      </x:c>
      <x:c r="C16" s="40" t="n">
        <x:f>Model_Data!AC16</x:f>
        <x:v>2357.18795973099</x:v>
      </x:c>
      <x:c r="D16" s="41"/>
      <x:c r="E16" s="40" t="n">
        <x:f>Model_Data!A16</x:f>
        <x:v>-53</x:v>
      </x:c>
      <x:c r="F16" s="40" t="n">
        <x:f>Model_Data!Y16</x:f>
        <x:v>78.13034318170592</x:v>
      </x:c>
      <x:c r="G16" s="40" t="n">
        <x:f>Model_Data!X16</x:f>
        <x:v>36.11267993726736</x:v>
      </x:c>
      <x:c r="H16" s="41"/>
      <x:c r="I16" s="40" t="n">
        <x:f>Model_Data!A16</x:f>
        <x:v>-53</x:v>
      </x:c>
      <x:c r="J16" s="40" t="n">
        <x:f>Model_Data!AI16</x:f>
        <x:v>-23.148798580611583</x:v>
      </x:c>
      <x:c r="K16" s="40" t="n">
        <x:f>Model_Data!AK16</x:f>
        <x:v>42.017663244438566</x:v>
      </x:c>
      <x:c r="L16" s="41"/>
      <x:c r="M16" s="40" t="n">
        <x:f>Model_Data!A16</x:f>
        <x:v>-53</x:v>
      </x:c>
      <x:c r="N16" s="40" t="n">
        <x:f>Model_Data!P16</x:f>
        <x:v>394.6550459341274</x:v>
      </x:c>
      <x:c r="O16" s="40" t="n">
        <x:f>Model_Data!AM16</x:f>
        <x:v>432.38736483945104</x:v>
      </x:c>
      <x:c r="P16" s="40" t="n">
        <x:f>Model_Data!Q16</x:f>
        <x:v>59.25751440452363</x:v>
      </x:c>
      <x:c r="Q16" s="40" t="n">
        <x:f>Model_Data!AN16</x:f>
        <x:v>64.92302775367133</x:v>
      </x:c>
      <x:c r="R16" s="41"/>
      <x:c r="S16" s="40" t="n">
        <x:f>Model_Data!A16</x:f>
        <x:v>-53</x:v>
      </x:c>
      <x:c r="T16" s="40" t="n">
        <x:f>Model_Data!B16-Inputs!$C$5</x:f>
        <x:v>3.1211111111111336</x:v>
      </x:c>
    </x:row>
    <x:row r="17">
      <x:c r="A17" s="40" t="n">
        <x:f>Model_Data!A17</x:f>
        <x:v>-52.5</x:v>
      </x:c>
      <x:c r="B17" s="40" t="n">
        <x:f>Model_Data!F17</x:f>
        <x:v>2344.296798599615</x:v>
      </x:c>
      <x:c r="C17" s="40" t="n">
        <x:f>Model_Data!AC17</x:f>
        <x:v>2316.412746050309</x:v>
      </x:c>
      <x:c r="D17" s="41"/>
      <x:c r="E17" s="40" t="n">
        <x:f>Model_Data!A17</x:f>
        <x:v>-52.5</x:v>
      </x:c>
      <x:c r="F17" s="40" t="n">
        <x:f>Model_Data!Y17</x:f>
        <x:v>89.57149955207517</x:v>
      </x:c>
      <x:c r="G17" s="40" t="n">
        <x:f>Model_Data!X17</x:f>
        <x:v>39.01986627858052</x:v>
      </x:c>
      <x:c r="H17" s="41"/>
      <x:c r="I17" s="40" t="n">
        <x:f>Model_Data!A17</x:f>
        <x:v>-52.5</x:v>
      </x:c>
      <x:c r="J17" s="40" t="n">
        <x:f>Model_Data!AI17</x:f>
        <x:v>-27.884052549306034</x:v>
      </x:c>
      <x:c r="K17" s="40" t="n">
        <x:f>Model_Data!AK17</x:f>
        <x:v>50.551633273494645</x:v>
      </x:c>
      <x:c r="L17" s="41"/>
      <x:c r="M17" s="40" t="n">
        <x:f>Model_Data!A17</x:f>
        <x:v>-52.5</x:v>
      </x:c>
      <x:c r="N17" s="40" t="n">
        <x:f>Model_Data!P17</x:f>
        <x:v>391.02286674642266</x:v>
      </x:c>
      <x:c r="O17" s="40" t="n">
        <x:f>Model_Data!AM17</x:f>
        <x:v>425.3253019563999</x:v>
      </x:c>
      <x:c r="P17" s="40" t="n">
        <x:f>Model_Data!Q17</x:f>
        <x:v>58.71214215411752</x:v>
      </x:c>
      <x:c r="Q17" s="40" t="n">
        <x:f>Model_Data!AN17</x:f>
        <x:v>63.86265795141141</x:v>
      </x:c>
      <x:c r="R17" s="41"/>
      <x:c r="S17" s="40" t="n">
        <x:f>Model_Data!A17</x:f>
        <x:v>-52.5</x:v>
      </x:c>
      <x:c r="T17" s="40" t="n">
        <x:f>Model_Data!B17-Inputs!$C$5</x:f>
        <x:v>3.0625</x:v>
      </x:c>
    </x:row>
    <x:row r="18">
      <x:c r="A18" s="40" t="n">
        <x:f>Model_Data!A18</x:f>
        <x:v>-52</x:v>
      </x:c>
      <x:c r="B18" s="40" t="n">
        <x:f>Model_Data!F18</x:f>
        <x:v>2308.5826212735265</x:v>
      </x:c>
      <x:c r="C18" s="40" t="n">
        <x:f>Model_Data!AC18</x:f>
        <x:v>2276.3499784886835</x:v>
      </x:c>
      <x:c r="D18" s="41"/>
      <x:c r="E18" s="40" t="n">
        <x:f>Model_Data!A18</x:f>
        <x:v>-52</x:v>
      </x:c>
      <x:c r="F18" s="40" t="n">
        <x:f>Model_Data!Y18</x:f>
        <x:v>99.7640569358666</x:v>
      </x:c>
      <x:c r="G18" s="40" t="n">
        <x:f>Model_Data!X18</x:f>
        <x:v>41.38272038206525</x:v>
      </x:c>
      <x:c r="H18" s="41"/>
      <x:c r="I18" s="40" t="n">
        <x:f>Model_Data!A18</x:f>
        <x:v>-52</x:v>
      </x:c>
      <x:c r="J18" s="40" t="n">
        <x:f>Model_Data!AI18</x:f>
        <x:v>-32.23264278484294</x:v>
      </x:c>
      <x:c r="K18" s="40" t="n">
        <x:f>Model_Data!AK18</x:f>
        <x:v>58.381336553801354</x:v>
      </x:c>
      <x:c r="L18" s="41"/>
      <x:c r="M18" s="40" t="n">
        <x:f>Model_Data!A18</x:f>
        <x:v>-52</x:v>
      </x:c>
      <x:c r="N18" s="40" t="n">
        <x:f>Model_Data!P18</x:f>
        <x:v>387.38818079022377</x:v>
      </x:c>
      <x:c r="O18" s="40" t="n">
        <x:f>Model_Data!AM18</x:f>
        <x:v>417.30456967570717</x:v>
      </x:c>
      <x:c r="P18" s="40" t="n">
        <x:f>Model_Data!Q18</x:f>
        <x:v>58.166393512045616</x:v>
      </x:c>
      <x:c r="Q18" s="40" t="n">
        <x:f>Model_Data!AN18</x:f>
        <x:v>62.65834379515123</x:v>
      </x:c>
      <x:c r="R18" s="41"/>
      <x:c r="S18" s="40" t="n">
        <x:f>Model_Data!A18</x:f>
        <x:v>-52</x:v>
      </x:c>
      <x:c r="T18" s="40" t="n">
        <x:f>Model_Data!B18-Inputs!$C$5</x:f>
        <x:v>3.0044444444444594</x:v>
      </x:c>
    </x:row>
    <x:row r="19">
      <x:c r="A19" s="40" t="n">
        <x:f>Model_Data!A19</x:f>
        <x:v>-51.5</x:v>
      </x:c>
      <x:c r="B19" s="40" t="n">
        <x:f>Model_Data!F19</x:f>
        <x:v>2273.194664658047</x:v>
      </x:c>
      <x:c r="C19" s="40" t="n">
        <x:f>Model_Data!AC19</x:f>
        <x:v>2237.134328879045</x:v>
      </x:c>
      <x:c r="D19" s="41"/>
      <x:c r="E19" s="40" t="n">
        <x:f>Model_Data!A19</x:f>
        <x:v>-51.5</x:v>
      </x:c>
      <x:c r="F19" s="40" t="n">
        <x:f>Model_Data!Y19</x:f>
        <x:v>108.42976575796148</x:v>
      </x:c>
      <x:c r="G19" s="40" t="n">
        <x:f>Model_Data!X19</x:f>
        <x:v>43.16408420550662</x:v>
      </x:c>
      <x:c r="H19" s="41"/>
      <x:c r="I19" s="40" t="n">
        <x:f>Model_Data!A19</x:f>
        <x:v>-51.5</x:v>
      </x:c>
      <x:c r="J19" s="40" t="n">
        <x:f>Model_Data!AI19</x:f>
        <x:v>-36.06033577900189</x:v>
      </x:c>
      <x:c r="K19" s="40" t="n">
        <x:f>Model_Data!AK19</x:f>
        <x:v>65.26568155245485</x:v>
      </x:c>
      <x:c r="L19" s="41"/>
      <x:c r="M19" s="40" t="n">
        <x:f>Model_Data!A19</x:f>
        <x:v>-51.5</x:v>
      </x:c>
      <x:c r="N19" s="40" t="n">
        <x:f>Model_Data!P19</x:f>
        <x:v>383.75100822299083</x:v>
      </x:c>
      <x:c r="O19" s="40" t="n">
        <x:f>Model_Data!AM19</x:f>
        <x:v>408.48503572442496</x:v>
      </x:c>
      <x:c r="P19" s="40" t="n">
        <x:f>Model_Data!Q19</x:f>
        <x:v>57.62027150495358</x:v>
      </x:c>
      <x:c r="Q19" s="40" t="n">
        <x:f>Model_Data!AN19</x:f>
        <x:v>61.33408944811186</x:v>
      </x:c>
      <x:c r="R19" s="41"/>
      <x:c r="S19" s="40" t="n">
        <x:f>Model_Data!A19</x:f>
        <x:v>-51.5</x:v>
      </x:c>
      <x:c r="T19" s="40" t="n">
        <x:f>Model_Data!B19-Inputs!$C$5</x:f>
        <x:v>2.946944444444455</x:v>
      </x:c>
    </x:row>
    <x:row r="20">
      <x:c r="A20" s="40" t="n">
        <x:f>Model_Data!A20</x:f>
        <x:v>-51</x:v>
      </x:c>
      <x:c r="B20" s="40" t="n">
        <x:f>Model_Data!F20</x:f>
        <x:v>2238.133363530445</x:v>
      </x:c>
      <x:c r="C20" s="40" t="n">
        <x:f>Model_Data!AC20</x:f>
        <x:v>2198.878846446773</x:v>
      </x:c>
      <x:c r="D20" s="41"/>
      <x:c r="E20" s="40" t="n">
        <x:f>Model_Data!A20</x:f>
        <x:v>-51</x:v>
      </x:c>
      <x:c r="F20" s="40" t="n">
        <x:f>Model_Data!Y20</x:f>
        <x:v>115.34556545150139</x:v>
      </x:c>
      <x:c r="G20" s="40" t="n">
        <x:f>Model_Data!X20</x:f>
        <x:v>44.34280823075312</x:v>
      </x:c>
      <x:c r="H20" s="41"/>
      <x:c r="I20" s="40" t="n">
        <x:f>Model_Data!A20</x:f>
        <x:v>-51</x:v>
      </x:c>
      <x:c r="J20" s="40" t="n">
        <x:f>Model_Data!AI20</x:f>
        <x:v>-39.254517083672</x:v>
      </x:c>
      <x:c r="K20" s="40" t="n">
        <x:f>Model_Data!AK20</x:f>
        <x:v>71.00275722074826</x:v>
      </x:c>
      <x:c r="L20" s="41"/>
      <x:c r="M20" s="40" t="n">
        <x:f>Model_Data!A20</x:f>
        <x:v>-51</x:v>
      </x:c>
      <x:c r="N20" s="40" t="n">
        <x:f>Model_Data!P20</x:f>
        <x:v>380.1113693016265</x:v>
      </x:c>
      <x:c r="O20" s="40" t="n">
        <x:f>Model_Data!AM20</x:f>
        <x:v>399.0524659541734</x:v>
      </x:c>
      <x:c r="P20" s="40" t="n">
        <x:f>Model_Data!Q20</x:f>
        <x:v>57.0737791744184</x:v>
      </x:c>
      <x:c r="Q20" s="40" t="n">
        <x:f>Model_Data!AN20</x:f>
        <x:v>59.91778768080682</x:v>
      </x:c>
      <x:c r="R20" s="41"/>
      <x:c r="S20" s="40" t="n">
        <x:f>Model_Data!A20</x:f>
        <x:v>-51</x:v>
      </x:c>
      <x:c r="T20" s="40" t="n">
        <x:f>Model_Data!B20-Inputs!$C$5</x:f>
        <x:v>2.8899999999999864</x:v>
      </x:c>
    </x:row>
    <x:row r="21">
      <x:c r="A21" s="40" t="n">
        <x:f>Model_Data!A21</x:f>
        <x:v>-50.5</x:v>
      </x:c>
      <x:c r="B21" s="40" t="n">
        <x:f>Model_Data!F21</x:f>
        <x:v>2203.39914910282</x:v>
      </x:c>
      <x:c r="C21" s="40" t="n">
        <x:f>Model_Data!AC21</x:f>
        <x:v>2161.6704699492207</x:v>
      </x:c>
      <x:c r="D21" s="41"/>
      <x:c r="E21" s="40" t="n">
        <x:f>Model_Data!A21</x:f>
        <x:v>-50.5</x:v>
      </x:c>
      <x:c r="F21" s="40" t="n">
        <x:f>Model_Data!Y21</x:f>
        <x:v>120.35071877782931</x:v>
      </x:c>
      <x:c r="G21" s="40" t="n">
        <x:f>Model_Data!X21</x:f>
        <x:v>44.912873198450285</x:v>
      </x:c>
      <x:c r="H21" s="41"/>
      <x:c r="I21" s="40" t="n">
        <x:f>Model_Data!A21</x:f>
        <x:v>-50.5</x:v>
      </x:c>
      <x:c r="J21" s="40" t="n">
        <x:f>Model_Data!AI21</x:f>
        <x:v>-41.72867915359939</x:v>
      </x:c>
      <x:c r="K21" s="40" t="n">
        <x:f>Model_Data!AK21</x:f>
        <x:v>75.43784557937903</x:v>
      </x:c>
      <x:c r="L21" s="41"/>
      <x:c r="M21" s="40" t="n">
        <x:f>Model_Data!A21</x:f>
        <x:v>-50.5</x:v>
      </x:c>
      <x:c r="N21" s="40" t="n">
        <x:f>Model_Data!P21</x:f>
        <x:v>376.4692843818514</x:v>
      </x:c>
      <x:c r="O21" s="40" t="n">
        <x:f>Model_Data!AM21</x:f>
        <x:v>389.2118626624324</x:v>
      </x:c>
      <x:c r="P21" s="40" t="n">
        <x:f>Model_Data!Q21</x:f>
        <x:v>56.526919576854574</x:v>
      </x:c>
      <x:c r="Q21" s="40" t="n">
        <x:f>Model_Data!AN21</x:f>
        <x:v>58.440219618983846</x:v>
      </x:c>
      <x:c r="R21" s="41"/>
      <x:c r="S21" s="40" t="n">
        <x:f>Model_Data!A21</x:f>
        <x:v>-50.5</x:v>
      </x:c>
      <x:c r="T21" s="40" t="n">
        <x:f>Model_Data!B21-Inputs!$C$5</x:f>
        <x:v>2.833611111111111</x:v>
      </x:c>
    </x:row>
    <x:row r="22">
      <x:c r="A22" s="40" t="n">
        <x:f>Model_Data!A22</x:f>
        <x:v>-50</x:v>
      </x:c>
      <x:c r="B22" s="40" t="n">
        <x:f>Model_Data!F22</x:f>
        <x:v>2168.9924490050507</x:v>
      </x:c>
      <x:c r="C22" s="40" t="n">
        <x:f>Model_Data!AC22</x:f>
        <x:v>2125.566589866024</x:v>
      </x:c>
      <x:c r="D22" s="41"/>
      <x:c r="E22" s="40" t="n">
        <x:f>Model_Data!A22</x:f>
        <x:v>-50</x:v>
      </x:c>
      <x:c r="F22" s="40" t="n">
        <x:f>Model_Data!Y22</x:f>
        <x:v>123.35172221419694</x:v>
      </x:c>
      <x:c r="G22" s="40" t="n">
        <x:f>Model_Data!X22</x:f>
        <x:v>44.88218345882624</x:v>
      </x:c>
      <x:c r="H22" s="41"/>
      <x:c r="I22" s="40" t="n">
        <x:f>Model_Data!A22</x:f>
        <x:v>-50</x:v>
      </x:c>
      <x:c r="J22" s="40" t="n">
        <x:f>Model_Data!AI22</x:f>
        <x:v>-43.42585913902667</x:v>
      </x:c>
      <x:c r="K22" s="40" t="n">
        <x:f>Model_Data!AK22</x:f>
        <x:v>78.4695387553707</x:v>
      </x:c>
      <x:c r="L22" s="41"/>
      <x:c r="M22" s="40" t="n">
        <x:f>Model_Data!A22</x:f>
        <x:v>-50</x:v>
      </x:c>
      <x:c r="N22" s="40" t="n">
        <x:f>Model_Data!P22</x:f>
        <x:v>372.8247739175692</x:v>
      </x:c>
      <x:c r="O22" s="40" t="n">
        <x:f>Model_Data!AM22</x:f>
        <x:v>379.18019196849855</x:v>
      </x:c>
      <x:c r="P22" s="40" t="n">
        <x:f>Model_Data!Q22</x:f>
        <x:v>55.979695783418805</x:v>
      </x:c>
      <x:c r="Q22" s="40" t="n">
        <x:f>Model_Data!AN22</x:f>
        <x:v>56.93396275803282</x:v>
      </x:c>
      <x:c r="R22" s="41"/>
      <x:c r="S22" s="40" t="n">
        <x:f>Model_Data!A22</x:f>
        <x:v>-50</x:v>
      </x:c>
      <x:c r="T22" s="40" t="n">
        <x:f>Model_Data!B22-Inputs!$C$5</x:f>
        <x:v>2.7777777777777715</x:v>
      </x:c>
    </x:row>
    <x:row r="23">
      <x:c r="A23" s="40" t="n">
        <x:f>Model_Data!A23</x:f>
        <x:v>-49.5</x:v>
      </x:c>
      <x:c r="B23" s="40" t="n">
        <x:f>Model_Data!F23</x:f>
        <x:v>2134.9136872674544</x:v>
      </x:c>
      <x:c r="C23" s="40" t="n">
        <x:f>Model_Data!AC23</x:f>
        <x:v>2090.592799113163</x:v>
      </x:c>
      <x:c r="D23" s="41"/>
      <x:c r="E23" s="40" t="n">
        <x:f>Model_Data!A23</x:f>
        <x:v>-49.5</x:v>
      </x:c>
      <x:c r="F23" s="40" t="n">
        <x:f>Model_Data!Y23</x:f>
        <x:v>124.3248430370301</x:v>
      </x:c>
      <x:c r="G23" s="40" t="n">
        <x:f>Model_Data!X23</x:f>
        <x:v>44.27112797946913</x:v>
      </x:c>
      <x:c r="H23" s="41"/>
      <x:c r="I23" s="40" t="n">
        <x:f>Model_Data!A23</x:f>
        <x:v>-49.5</x:v>
      </x:c>
      <x:c r="J23" s="40" t="n">
        <x:f>Model_Data!AI23</x:f>
        <x:v>-44.320888154291424</x:v>
      </x:c>
      <x:c r="K23" s="40" t="n">
        <x:f>Model_Data!AK23</x:f>
        <x:v>80.05371505756098</x:v>
      </x:c>
      <x:c r="L23" s="41"/>
      <x:c r="M23" s="40" t="n">
        <x:f>Model_Data!A23</x:f>
        <x:v>-49.5</x:v>
      </x:c>
      <x:c r="N23" s="40" t="n">
        <x:f>Model_Data!P23</x:f>
        <x:v>369.17785846022554</x:v>
      </x:c>
      <x:c r="O23" s="40" t="n">
        <x:f>Model_Data!AM23</x:f>
        <x:v>369.1787667018616</x:v>
      </x:c>
      <x:c r="P23" s="40" t="n">
        <x:f>Model_Data!Q23</x:f>
        <x:v>55.43211087991375</x:v>
      </x:c>
      <x:c r="Q23" s="40" t="n">
        <x:f>Model_Data!AN23</x:f>
        <x:v>55.43224725253178</x:v>
      </x:c>
      <x:c r="R23" s="41"/>
      <x:c r="S23" s="40" t="n">
        <x:f>Model_Data!A23</x:f>
        <x:v>-49.5</x:v>
      </x:c>
      <x:c r="T23" s="40" t="n">
        <x:f>Model_Data!B23-Inputs!$C$5</x:f>
        <x:v>2.722500000000025</x:v>
      </x:c>
    </x:row>
    <x:row r="24">
      <x:c r="A24" s="40" t="n">
        <x:f>Model_Data!A24</x:f>
        <x:v>-49</x:v>
      </x:c>
      <x:c r="B24" s="40" t="n">
        <x:f>Model_Data!F24</x:f>
        <x:v>2101.1632843038606</x:v>
      </x:c>
      <x:c r="C24" s="40" t="n">
        <x:f>Model_Data!AC24</x:f>
        <x:v>2056.741921840926</x:v>
      </x:c>
      <x:c r="D24" s="41"/>
      <x:c r="E24" s="40" t="n">
        <x:f>Model_Data!A24</x:f>
        <x:v>-49</x:v>
      </x:c>
      <x:c r="F24" s="40" t="n">
        <x:f>Model_Data!Y24</x:f>
        <x:v>123.31622020621384</x:v>
      </x:c>
      <x:c r="G24" s="40" t="n">
        <x:f>Model_Data!X24</x:f>
        <x:v>43.11100356277044</x:v>
      </x:c>
      <x:c r="H24" s="41"/>
      <x:c r="I24" s="40" t="n">
        <x:f>Model_Data!A24</x:f>
        <x:v>-49</x:v>
      </x:c>
      <x:c r="J24" s="40" t="n">
        <x:f>Model_Data!AI24</x:f>
        <x:v>-44.42136246293467</x:v>
      </x:c>
      <x:c r="K24" s="40" t="n">
        <x:f>Model_Data!AK24</x:f>
        <x:v>80.2052166434434</x:v>
      </x:c>
      <x:c r="L24" s="41"/>
      <x:c r="M24" s="40" t="n">
        <x:f>Model_Data!A24</x:f>
        <x:v>-49</x:v>
      </x:c>
      <x:c r="N24" s="40" t="n">
        <x:f>Model_Data!P24</x:f>
        <x:v>365.5285586581568</x:v>
      </x:c>
      <x:c r="O24" s="40" t="n">
        <x:f>Model_Data!AM24</x:f>
        <x:v>359.42556086693</x:v>
      </x:c>
      <x:c r="P24" s="40" t="n">
        <x:f>Model_Data!Q24</x:f>
        <x:v>54.884167966690214</x:v>
      </x:c>
      <x:c r="Q24" s="40" t="n">
        <x:f>Model_Data!AN24</x:f>
        <x:v>53.96780193197148</x:v>
      </x:c>
      <x:c r="R24" s="41"/>
      <x:c r="S24" s="40" t="n">
        <x:f>Model_Data!A24</x:f>
        <x:v>-49</x:v>
      </x:c>
      <x:c r="T24" s="40" t="n">
        <x:f>Model_Data!B24-Inputs!$C$5</x:f>
        <x:v>2.667777777777758</x:v>
      </x:c>
    </x:row>
    <x:row r="25">
      <x:c r="A25" s="40" t="n">
        <x:f>Model_Data!A25</x:f>
        <x:v>-48.5</x:v>
      </x:c>
      <x:c r="B25" s="40" t="n">
        <x:f>Model_Data!F25</x:f>
        <x:v>2067.7416568945596</x:v>
      </x:c>
      <x:c r="C25" s="40" t="n">
        <x:f>Model_Data!AC25</x:f>
        <x:v>2023.9743573085889</x:v>
      </x:c>
      <x:c r="D25" s="41"/>
      <x:c r="E25" s="40" t="n">
        <x:f>Model_Data!A25</x:f>
        <x:v>-48.5</x:v>
      </x:c>
      <x:c r="F25" s="40" t="n">
        <x:f>Model_Data!Y25</x:f>
        <x:v>120.43955391663755</x:v>
      </x:c>
      <x:c r="G25" s="40" t="n">
        <x:f>Model_Data!X25</x:f>
        <x:v>41.44238822020011</x:v>
      </x:c>
      <x:c r="H25" s="41"/>
      <x:c r="I25" s="40" t="n">
        <x:f>Model_Data!A25</x:f>
        <x:v>-48.5</x:v>
      </x:c>
      <x:c r="J25" s="40" t="n">
        <x:f>Model_Data!AI25</x:f>
        <x:v>-43.767299585970704</x:v>
      </x:c>
      <x:c r="K25" s="40" t="n">
        <x:f>Model_Data!AK25</x:f>
        <x:v>78.99716569643743</x:v>
      </x:c>
      <x:c r="L25" s="41"/>
      <x:c r="M25" s="40" t="n">
        <x:f>Model_Data!A25</x:f>
        <x:v>-48.5</x:v>
      </x:c>
      <x:c r="N25" s="40" t="n">
        <x:f>Model_Data!P25</x:f>
        <x:v>361.87689525593146</x:v>
      </x:c>
      <x:c r="O25" s="40" t="n">
        <x:f>Model_Data!AM25</x:f>
        <x:v>350.1277310164369</x:v>
      </x:c>
      <x:c r="P25" s="40" t="n">
        <x:f>Model_Data!Q25</x:f>
        <x:v>54.335870158548275</x:v>
      </x:c>
      <x:c r="Q25" s="40" t="n">
        <x:f>Model_Data!AN25</x:f>
        <x:v>52.57173138384939</x:v>
      </x:c>
      <x:c r="R25" s="41"/>
      <x:c r="S25" s="40" t="n">
        <x:f>Model_Data!A25</x:f>
        <x:v>-48.5</x:v>
      </x:c>
      <x:c r="T25" s="40" t="n">
        <x:f>Model_Data!B25-Inputs!$C$5</x:f>
        <x:v>2.6136111111110836</x:v>
      </x:c>
    </x:row>
    <x:row r="26">
      <x:c r="A26" s="40" t="n">
        <x:f>Model_Data!A26</x:f>
        <x:v>-48</x:v>
      </x:c>
      <x:c r="B26" s="40" t="n">
        <x:f>Model_Data!F26</x:f>
        <x:v>2034.6492181694086</x:v>
      </x:c>
      <x:c r="C26" s="40" t="n">
        <x:f>Model_Data!AC26</x:f>
        <x:v>1992.2197218013953</x:v>
      </x:c>
      <x:c r="D26" s="41"/>
      <x:c r="E26" s="40" t="n">
        <x:f>Model_Data!A26</x:f>
        <x:v>-48</x:v>
      </x:c>
      <x:c r="F26" s="40" t="n">
        <x:f>Model_Data!Y26</x:f>
        <x:v>115.871494460014</x:v>
      </x:c>
      <x:c r="G26" s="40" t="n">
        <x:f>Model_Data!X26</x:f>
        <x:v>39.31354159994106</x:v>
      </x:c>
      <x:c r="H26" s="41"/>
      <x:c r="I26" s="40" t="n">
        <x:f>Model_Data!A26</x:f>
        <x:v>-48</x:v>
      </x:c>
      <x:c r="J26" s="40" t="n">
        <x:f>Model_Data!AI26</x:f>
        <x:v>-42.42949636801336</x:v>
      </x:c>
      <x:c r="K26" s="40" t="n">
        <x:f>Model_Data!AK26</x:f>
        <x:v>76.55795286007294</x:v>
      </x:c>
      <x:c r="L26" s="41"/>
      <x:c r="M26" s="40" t="n">
        <x:f>Model_Data!A26</x:f>
        <x:v>-48</x:v>
      </x:c>
      <x:c r="N26" s="40" t="n">
        <x:f>Model_Data!P26</x:f>
        <x:v>358.22288909368314</x:v>
      </x:c>
      <x:c r="O26" s="40" t="n">
        <x:f>Model_Data!AM26</x:f>
        <x:v>341.4746089413711</x:v>
      </x:c>
      <x:c r="P26" s="40" t="n">
        <x:f>Model_Data!Q26</x:f>
        <x:v>53.78722058463711</x:v>
      </x:c>
      <x:c r="Q26" s="40" t="n">
        <x:f>Model_Data!AN26</x:f>
        <x:v>51.27246380501068</x:v>
      </x:c>
      <x:c r="R26" s="41"/>
      <x:c r="S26" s="40" t="n">
        <x:f>Model_Data!A26</x:f>
        <x:v>-48</x:v>
      </x:c>
      <x:c r="T26" s="40" t="n">
        <x:f>Model_Data!B26-Inputs!$C$5</x:f>
        <x:v>2.5600000000000023</x:v>
      </x:c>
    </x:row>
    <x:row r="27">
      <x:c r="A27" s="40" t="n">
        <x:f>Model_Data!A27</x:f>
        <x:v>-47.5</x:v>
      </x:c>
      <x:c r="B27" s="40" t="n">
        <x:f>Model_Data!F27</x:f>
        <x:v>2001.8863775912891</x:v>
      </x:c>
      <x:c r="C27" s="40" t="n">
        <x:f>Model_Data!AC27</x:f>
        <x:v>1961.3797183264876</x:v>
      </x:c>
      <x:c r="D27" s="41"/>
      <x:c r="E27" s="40" t="n">
        <x:f>Model_Data!A27</x:f>
        <x:v>-47.5</x:v>
      </x:c>
      <x:c r="F27" s="40" t="n">
        <x:f>Model_Data!Y27</x:f>
        <x:v>109.84492167972658</x:v>
      </x:c>
      <x:c r="G27" s="40" t="n">
        <x:f>Model_Data!X27</x:f>
        <x:v>36.778894753797296</x:v>
      </x:c>
      <x:c r="H27" s="41"/>
      <x:c r="I27" s="40" t="n">
        <x:f>Model_Data!A27</x:f>
        <x:v>-47.5</x:v>
      </x:c>
      <x:c r="J27" s="40" t="n">
        <x:f>Model_Data!AI27</x:f>
        <x:v>-40.506659264801556</x:v>
      </x:c>
      <x:c r="K27" s="40" t="n">
        <x:f>Model_Data!AK27</x:f>
        <x:v>73.0660269259293</x:v>
      </x:c>
      <x:c r="L27" s="41"/>
      <x:c r="M27" s="40" t="n">
        <x:f>Model_Data!A27</x:f>
        <x:v>-47.5</x:v>
      </x:c>
      <x:c r="N27" s="40" t="n">
        <x:f>Model_Data!P27</x:f>
        <x:v>354.5665611064348</x:v>
      </x:c>
      <x:c r="O27" s="40" t="n">
        <x:f>Model_Data!AM27</x:f>
        <x:v>333.6314095007765</x:v>
      </x:c>
      <x:c r="P27" s="40" t="n">
        <x:f>Model_Data!Q27</x:f>
        <x:v>53.23822238835358</x:v>
      </x:c>
      <x:c r="Q27" s="40" t="n">
        <x:f>Model_Data!AN27</x:f>
        <x:v>50.094806231347825</x:v>
      </x:c>
      <x:c r="R27" s="41"/>
      <x:c r="S27" s="40" t="n">
        <x:f>Model_Data!A27</x:f>
        <x:v>-47.5</x:v>
      </x:c>
      <x:c r="T27" s="40" t="n">
        <x:f>Model_Data!B27-Inputs!$C$5</x:f>
        <x:v>2.506944444444457</x:v>
      </x:c>
    </x:row>
    <x:row r="28">
      <x:c r="A28" s="40" t="n">
        <x:f>Model_Data!A28</x:f>
        <x:v>-47</x:v>
      </x:c>
      <x:c r="B28" s="40" t="n">
        <x:f>Model_Data!F28</x:f>
        <x:v>1969.4535409394057</x:v>
      </x:c>
      <x:c r="C28" s="40" t="n">
        <x:f>Model_Data!AC28</x:f>
        <x:v>1931.3321136124753</x:v>
      </x:c>
      <x:c r="D28" s="41"/>
      <x:c r="E28" s="40" t="n">
        <x:f>Model_Data!A28</x:f>
        <x:v>-47</x:v>
      </x:c>
      <x:c r="F28" s="40" t="n">
        <x:f>Model_Data!Y28</x:f>
        <x:v>102.64037888490984</x:v>
      </x:c>
      <x:c r="G28" s="40" t="n">
        <x:f>Model_Data!X28</x:f>
        <x:v>33.89767440608287</x:v>
      </x:c>
      <x:c r="H28" s="41"/>
      <x:c r="I28" s="40" t="n">
        <x:f>Model_Data!A28</x:f>
        <x:v>-47</x:v>
      </x:c>
      <x:c r="J28" s="40" t="n">
        <x:f>Model_Data!AI28</x:f>
        <x:v>-38.121427326930416</x:v>
      </x:c>
      <x:c r="K28" s="40" t="n">
        <x:f>Model_Data!AK28</x:f>
        <x:v>68.74270447882697</x:v>
      </x:c>
      <x:c r="L28" s="41"/>
      <x:c r="M28" s="40" t="n">
        <x:f>Model_Data!A28</x:f>
        <x:v>-47</x:v>
      </x:c>
      <x:c r="N28" s="40" t="n">
        <x:f>Model_Data!P28</x:f>
        <x:v>350.90793232341497</x:v>
      </x:c>
      <x:c r="O28" s="40" t="n">
        <x:f>Model_Data!AM28</x:f>
        <x:v>326.73386807109637</x:v>
      </x:c>
      <x:c r="P28" s="40" t="n">
        <x:f>Model_Data!Q28</x:f>
        <x:v>52.68887872723949</x:v>
      </x:c>
      <x:c r="Q28" s="40" t="n">
        <x:f>Model_Data!AN28</x:f>
        <x:v>49.059139350014476</x:v>
      </x:c>
      <x:c r="R28" s="41"/>
      <x:c r="S28" s="40" t="n">
        <x:f>Model_Data!A28</x:f>
        <x:v>-47</x:v>
      </x:c>
      <x:c r="T28" s="40" t="n">
        <x:f>Model_Data!B28-Inputs!$C$5</x:f>
        <x:v>2.454444444444448</x:v>
      </x:c>
    </x:row>
    <x:row r="29">
      <x:c r="A29" s="40" t="n">
        <x:f>Model_Data!A29</x:f>
        <x:v>-46.5</x:v>
      </x:c>
      <x:c r="B29" s="40" t="n">
        <x:f>Model_Data!F29</x:f>
        <x:v>1937.3511102927434</x:v>
      </x:c>
      <x:c r="C29" s="40" t="n">
        <x:f>Model_Data!AC29</x:f>
        <x:v>1901.935656837243</x:v>
      </x:c>
      <x:c r="D29" s="41"/>
      <x:c r="E29" s="40" t="n">
        <x:f>Model_Data!A29</x:f>
        <x:v>-46.5</x:v>
      </x:c>
      <x:c r="F29" s="40" t="n">
        <x:f>Model_Data!Y29</x:f>
        <x:v>94.57598704087006</x:v>
      </x:c>
      <x:c r="G29" s="40" t="n">
        <x:f>Model_Data!X29</x:f>
        <x:v>30.732688402904408</x:v>
      </x:c>
      <x:c r="H29" s="41"/>
      <x:c r="I29" s="40" t="n">
        <x:f>Model_Data!A29</x:f>
        <x:v>-46.5</x:v>
      </x:c>
      <x:c r="J29" s="40" t="n">
        <x:f>Model_Data!AI29</x:f>
        <x:v>-35.41545345550048</x:v>
      </x:c>
      <x:c r="K29" s="40" t="n">
        <x:f>Model_Data!AK29</x:f>
        <x:v>63.84329863796565</x:v>
      </x:c>
      <x:c r="L29" s="41"/>
      <x:c r="M29" s="40" t="n">
        <x:f>Model_Data!A29</x:f>
        <x:v>-46.5</x:v>
      </x:c>
      <x:c r="N29" s="40" t="n">
        <x:f>Model_Data!P29</x:f>
        <x:v>347.2470238673663</x:v>
      </x:c>
      <x:c r="O29" s="40" t="n">
        <x:f>Model_Data!AM29</x:f>
        <x:v>320.8839852141864</x:v>
      </x:c>
      <x:c r="P29" s="40" t="n">
        <x:f>Model_Data!Q29</x:f>
        <x:v>52.13919277287783</x:v>
      </x:c>
      <x:c r="Q29" s="40" t="n">
        <x:f>Model_Data!AN29</x:f>
        <x:v>48.18077856068865</x:v>
      </x:c>
      <x:c r="R29" s="41"/>
      <x:c r="S29" s="40" t="n">
        <x:f>Model_Data!A29</x:f>
        <x:v>-46.5</x:v>
      </x:c>
      <x:c r="T29" s="40" t="n">
        <x:f>Model_Data!B29-Inputs!$C$5</x:f>
        <x:v>2.402499999999975</x:v>
      </x:c>
    </x:row>
    <x:row r="30">
      <x:c r="A30" s="40" t="n">
        <x:f>Model_Data!A30</x:f>
        <x:v>-46</x:v>
      </x:c>
      <x:c r="B30" s="40" t="n">
        <x:f>Model_Data!F30</x:f>
        <x:v>1905.5794840138458</x:v>
      </x:c>
      <x:c r="C30" s="40" t="n">
        <x:f>Model_Data!AC30</x:f>
        <x:v>1873.0357363857388</x:v>
      </x:c>
      <x:c r="D30" s="41"/>
      <x:c r="E30" s="40" t="n">
        <x:f>Model_Data!A30</x:f>
        <x:v>-46</x:v>
      </x:c>
      <x:c r="F30" s="40" t="n">
        <x:f>Model_Data!Y30</x:f>
        <x:v>85.99621423254672</x:v>
      </x:c>
      <x:c r="G30" s="40" t="n">
        <x:f>Model_Data!X30</x:f>
        <x:v>27.349280368001587</x:v>
      </x:c>
      <x:c r="H30" s="41"/>
      <x:c r="I30" s="40" t="n">
        <x:f>Model_Data!A30</x:f>
        <x:v>-46</x:v>
      </x:c>
      <x:c r="J30" s="40" t="n">
        <x:f>Model_Data!AI30</x:f>
        <x:v>-32.543747628106985</x:v>
      </x:c>
      <x:c r="K30" s="40" t="n">
        <x:f>Model_Data!AK30</x:f>
        <x:v>58.64693386454513</x:v>
      </x:c>
      <x:c r="L30" s="41"/>
      <x:c r="M30" s="40" t="n">
        <x:f>Model_Data!A30</x:f>
        <x:v>-46</x:v>
      </x:c>
      <x:c r="N30" s="40" t="n">
        <x:f>Model_Data!P30</x:f>
        <x:v>343.58385695384493</x:v>
      </x:c>
      <x:c r="O30" s="40" t="n">
        <x:f>Model_Data!AM30</x:f>
        <x:v>316.14701324124326</x:v>
      </x:c>
      <x:c r="P30" s="40" t="n">
        <x:f>Model_Data!Q30</x:f>
        <x:v>51.58916771078753</x:v>
      </x:c>
      <x:c r="Q30" s="40" t="n">
        <x:f>Model_Data!AN30</x:f>
        <x:v>47.46952150769419</x:v>
      </x:c>
      <x:c r="R30" s="41"/>
      <x:c r="S30" s="40" t="n">
        <x:f>Model_Data!A30</x:f>
        <x:v>-46</x:v>
      </x:c>
      <x:c r="T30" s="40" t="n">
        <x:f>Model_Data!B30-Inputs!$C$5</x:f>
        <x:v>2.351111111111095</x:v>
      </x:c>
    </x:row>
    <x:row r="31">
      <x:c r="A31" s="40" t="n">
        <x:f>Model_Data!A31</x:f>
        <x:v>-45.5</x:v>
      </x:c>
      <x:c r="B31" s="40" t="n">
        <x:f>Model_Data!F31</x:f>
        <x:v>1874.139056732528</x:v>
      </x:c>
      <x:c r="C31" s="40" t="n">
        <x:f>Model_Data!AC31</x:f>
        <x:v>1844.470541379714</x:v>
      </x:c>
      <x:c r="D31" s="41"/>
      <x:c r="E31" s="40" t="n">
        <x:f>Model_Data!A31</x:f>
        <x:v>-45.5</x:v>
      </x:c>
      <x:c r="F31" s="40" t="n">
        <x:f>Model_Data!Y31</x:f>
        <x:v>77.25991018092577</x:v>
      </x:c>
      <x:c r="G31" s="40" t="n">
        <x:f>Model_Data!X31</x:f>
        <x:v>23.814443942079276</x:v>
      </x:c>
      <x:c r="H31" s="41"/>
      <x:c r="I31" s="40" t="n">
        <x:f>Model_Data!A31</x:f>
        <x:v>-45.5</x:v>
      </x:c>
      <x:c r="J31" s="40" t="n">
        <x:f>Model_Data!AI31</x:f>
        <x:v>-29.668515352813984</x:v>
      </x:c>
      <x:c r="K31" s="40" t="n">
        <x:f>Model_Data!AK31</x:f>
        <x:v>53.44546623884649</x:v>
      </x:c>
      <x:c r="L31" s="41"/>
      <x:c r="M31" s="40" t="n">
        <x:f>Model_Data!A31</x:f>
        <x:v>-45.5</x:v>
      </x:c>
      <x:c r="N31" s="40" t="n">
        <x:f>Model_Data!P31</x:f>
        <x:v>339.9184528905128</x:v>
      </x:c>
      <x:c r="O31" s="40" t="n">
        <x:f>Model_Data!AM31</x:f>
        <x:v>312.5497721048305</x:v>
      </x:c>
      <x:c r="P31" s="40" t="n">
        <x:f>Model_Data!Q31</x:f>
        <x:v>51.03880674031724</x:v>
      </x:c>
      <x:c r="Q31" s="40" t="n">
        <x:f>Model_Data!AN31</x:f>
        <x:v>46.92939521093551</x:v>
      </x:c>
      <x:c r="R31" s="41"/>
      <x:c r="S31" s="40" t="n">
        <x:f>Model_Data!A31</x:f>
        <x:v>-45.5</x:v>
      </x:c>
      <x:c r="T31" s="40" t="n">
        <x:f>Model_Data!B31-Inputs!$C$5</x:f>
        <x:v>2.300277777777751</x:v>
      </x:c>
    </x:row>
    <x:row r="32">
      <x:c r="A32" s="40" t="n">
        <x:f>Model_Data!A32</x:f>
        <x:v>-45</x:v>
      </x:c>
      <x:c r="B32" s="40" t="n">
        <x:f>Model_Data!F32</x:f>
        <x:v>1843.0302193297173</x:v>
      </x:c>
      <x:c r="C32" s="40" t="n">
        <x:f>Model_Data!AC32</x:f>
        <x:v>1816.0774749255486</x:v>
      </x:c>
      <x:c r="D32" s="41"/>
      <x:c r="E32" s="40" t="n">
        <x:f>Model_Data!A32</x:f>
        <x:v>-45</x:v>
      </x:c>
      <x:c r="F32" s="40" t="n">
        <x:f>Model_Data!Y32</x:f>
        <x:v>68.72803492291186</x:v>
      </x:c>
      <x:c r="G32" s="40" t="n">
        <x:f>Model_Data!X32</x:f>
        <x:v>20.196071423272823</x:v>
      </x:c>
      <x:c r="H32" s="41"/>
      <x:c r="I32" s="40" t="n">
        <x:f>Model_Data!A32</x:f>
        <x:v>-45</x:v>
      </x:c>
      <x:c r="J32" s="40" t="n">
        <x:f>Model_Data!AI32</x:f>
        <x:v>-26.952744404168698</x:v>
      </x:c>
      <x:c r="K32" s="40" t="n">
        <x:f>Model_Data!AK32</x:f>
        <x:v>48.53196349963903</x:v>
      </x:c>
      <x:c r="L32" s="41"/>
      <x:c r="M32" s="40" t="n">
        <x:f>Model_Data!A32</x:f>
        <x:v>-45</x:v>
      </x:c>
      <x:c r="N32" s="40" t="n">
        <x:f>Model_Data!P32</x:f>
        <x:v>336.250833076421</x:v>
      </x:c>
      <x:c r="O32" s="40" t="n">
        <x:f>Model_Data!AM32</x:f>
        <x:v>310.08033232719754</x:v>
      </x:c>
      <x:c r="P32" s="40" t="n">
        <x:f>Model_Data!Q32</x:f>
        <x:v>50.48811307453769</x:v>
      </x:c>
      <x:c r="Q32" s="40" t="n">
        <x:f>Model_Data!AN32</x:f>
        <x:v>46.55860845753717</x:v>
      </x:c>
      <x:c r="R32" s="41"/>
      <x:c r="S32" s="40" t="n">
        <x:f>Model_Data!A32</x:f>
        <x:v>-45</x:v>
      </x:c>
      <x:c r="T32" s="40" t="n">
        <x:f>Model_Data!B32-Inputs!$C$5</x:f>
        <x:v>2.25</x:v>
      </x:c>
    </x:row>
    <x:row r="33">
      <x:c r="A33" s="40" t="n">
        <x:f>Model_Data!A33</x:f>
        <x:v>-44.5</x:v>
      </x:c>
      <x:c r="B33" s="40" t="n">
        <x:f>Model_Data!F33</x:f>
        <x:v>1812.253358921519</x:v>
      </x:c>
      <x:c r="C33" s="40" t="n">
        <x:f>Model_Data!AC33</x:f>
        <x:v>1787.6995568045277</x:v>
      </x:c>
      <x:c r="D33" s="41"/>
      <x:c r="E33" s="40" t="n">
        <x:f>Model_Data!A33</x:f>
        <x:v>-44.5</x:v>
      </x:c>
      <x:c r="F33" s="40" t="n">
        <x:f>Model_Data!Y33</x:f>
        <x:v>60.75151418773373</x:v>
      </x:c>
      <x:c r="G33" s="40" t="n">
        <x:f>Model_Data!X33</x:f>
        <x:v>16.5622991027781</x:v>
      </x:c>
      <x:c r="H33" s="41"/>
      <x:c r="I33" s="40" t="n">
        <x:f>Model_Data!A33</x:f>
        <x:v>-44.5</x:v>
      </x:c>
      <x:c r="J33" s="40" t="n">
        <x:f>Model_Data!AI33</x:f>
        <x:v>-24.553802116991392</x:v>
      </x:c>
      <x:c r="K33" s="40" t="n">
        <x:f>Model_Data!AK33</x:f>
        <x:v>44.189215084955634</x:v>
      </x:c>
      <x:c r="L33" s="41"/>
      <x:c r="M33" s="40" t="n">
        <x:f>Model_Data!A33</x:f>
        <x:v>-44.5</x:v>
      </x:c>
      <x:c r="N33" s="40" t="n">
        <x:f>Model_Data!P33</x:f>
        <x:v>332.58101900128577</x:v>
      </x:c>
      <x:c r="O33" s="40" t="n">
        <x:f>Model_Data!AM33</x:f>
        <x:v>308.68905238558</x:v>
      </x:c>
      <x:c r="P33" s="40" t="n">
        <x:f>Model_Data!Q33</x:f>
        <x:v>49.937089940133</x:v>
      </x:c>
      <x:c r="Q33" s="40" t="n">
        <x:f>Model_Data!AN33</x:f>
        <x:v>46.349707565402404</x:v>
      </x:c>
      <x:c r="R33" s="41"/>
      <x:c r="S33" s="40" t="n">
        <x:f>Model_Data!A33</x:f>
        <x:v>-44.5</x:v>
      </x:c>
      <x:c r="T33" s="40" t="n">
        <x:f>Model_Data!B33-Inputs!$C$5</x:f>
        <x:v>2.200277777777785</x:v>
      </x:c>
    </x:row>
    <x:row r="34">
      <x:c r="A34" s="40" t="n">
        <x:f>Model_Data!A34</x:f>
        <x:v>-44</x:v>
      </x:c>
      <x:c r="B34" s="40" t="n">
        <x:f>Model_Data!F34</x:f>
        <x:v>1781.8088588434077</x:v>
      </x:c>
      <x:c r="C34" s="40" t="n">
        <x:f>Model_Data!AC34</x:f>
        <x:v>1759.1915550275799</x:v>
      </x:c>
      <x:c r="D34" s="41"/>
      <x:c r="E34" s="40" t="n">
        <x:f>Model_Data!A34</x:f>
        <x:v>-44</x:v>
      </x:c>
      <x:c r="F34" s="40" t="n">
        <x:f>Model_Data!Y34</x:f>
        <x:v>53.659641671091876</x:v>
      </x:c>
      <x:c r="G34" s="40" t="n">
        <x:f>Model_Data!X34</x:f>
        <x:v>12.980902857013113</x:v>
      </x:c>
      <x:c r="H34" s="41"/>
      <x:c r="I34" s="40" t="n">
        <x:f>Model_Data!A34</x:f>
        <x:v>-44</x:v>
      </x:c>
      <x:c r="J34" s="40" t="n">
        <x:f>Model_Data!AI34</x:f>
        <x:v>-22.61730381582788</x:v>
      </x:c>
      <x:c r="K34" s="40" t="n">
        <x:f>Model_Data!AK34</x:f>
        <x:v>40.67873881407876</x:v>
      </x:c>
      <x:c r="L34" s="41"/>
      <x:c r="M34" s="40" t="n">
        <x:f>Model_Data!A34</x:f>
        <x:v>-44</x:v>
      </x:c>
      <x:c r="N34" s="40" t="n">
        <x:f>Model_Data!P34</x:f>
        <x:v>328.9090322447558</x:v>
      </x:c>
      <x:c r="O34" s="40" t="n">
        <x:f>Model_Data!AM34</x:f>
        <x:v>308.29090905599514</x:v>
      </x:c>
      <x:c r="P34" s="40" t="n">
        <x:f>Model_Data!Q34</x:f>
        <x:v>49.38574057729066</x:v>
      </x:c>
      <x:c r="Q34" s="40" t="n">
        <x:f>Model_Data!AN34</x:f>
        <x:v>46.28992628468396</x:v>
      </x:c>
      <x:c r="R34" s="41"/>
      <x:c r="S34" s="40" t="n">
        <x:f>Model_Data!A34</x:f>
        <x:v>-44</x:v>
      </x:c>
      <x:c r="T34" s="40" t="n">
        <x:f>Model_Data!B34-Inputs!$C$5</x:f>
        <x:v>2.1511111111111063</x:v>
      </x:c>
    </x:row>
    <x:row r="35">
      <x:c r="A35" s="40" t="n">
        <x:f>Model_Data!A35</x:f>
        <x:v>-43.5</x:v>
      </x:c>
      <x:c r="B35" s="40" t="n">
        <x:f>Model_Data!F35</x:f>
        <x:v>1751.6970986344204</x:v>
      </x:c>
      <x:c r="C35" s="40" t="n">
        <x:f>Model_Data!AC35</x:f>
        <x:v>1730.4255981844938</x:v>
      </x:c>
      <x:c r="D35" s="41"/>
      <x:c r="E35" s="40" t="n">
        <x:f>Model_Data!A35</x:f>
        <x:v>-43.5</x:v>
      </x:c>
      <x:c r="F35" s="40" t="n">
        <x:f>Model_Data!Y35</x:f>
        <x:v>47.749421068538865</x:v>
      </x:c>
      <x:c r="G35" s="40" t="n">
        <x:f>Model_Data!X35</x:f>
        <x:v>9.518693141311164</x:v>
      </x:c>
      <x:c r="H35" s="41"/>
      <x:c r="I35" s="40" t="n">
        <x:f>Model_Data!A35</x:f>
        <x:v>-43.5</x:v>
      </x:c>
      <x:c r="J35" s="40" t="n">
        <x:f>Model_Data!AI35</x:f>
        <x:v>-21.271500449926634</x:v>
      </x:c>
      <x:c r="K35" s="40" t="n">
        <x:f>Model_Data!AK35</x:f>
        <x:v>38.230727927227704</x:v>
      </x:c>
      <x:c r="L35" s="41"/>
      <x:c r="M35" s="40" t="n">
        <x:f>Model_Data!A35</x:f>
        <x:v>-43.5</x:v>
      </x:c>
      <x:c r="N35" s="40" t="n">
        <x:f>Model_Data!P35</x:f>
        <x:v>325.2348944756723</x:v>
      </x:c>
      <x:c r="O35" s="40" t="n">
        <x:f>Model_Data!AM35</x:f>
        <x:v>308.76901347073726</x:v>
      </x:c>
      <x:c r="P35" s="40" t="n">
        <x:f>Model_Data!Q35</x:f>
        <x:v>48.834068239590444</x:v>
      </x:c>
      <x:c r="Q35" s="40" t="n">
        <x:f>Model_Data!AN35</x:f>
        <x:v>46.36171373434494</x:v>
      </x:c>
      <x:c r="R35" s="41"/>
      <x:c r="S35" s="40" t="n">
        <x:f>Model_Data!A35</x:f>
        <x:v>-43.5</x:v>
      </x:c>
      <x:c r="T35" s="40" t="n">
        <x:f>Model_Data!B35-Inputs!$C$5</x:f>
        <x:v>2.1025000000000205</x:v>
      </x:c>
    </x:row>
    <x:row r="36">
      <x:c r="A36" s="40" t="n">
        <x:f>Model_Data!A36</x:f>
        <x:v>-43</x:v>
      </x:c>
      <x:c r="B36" s="40" t="n">
        <x:f>Model_Data!F36</x:f>
        <x:v>1721.9184540215401</x:v>
      </x:c>
      <x:c r="C36" s="40" t="n">
        <x:f>Model_Data!AC36</x:f>
        <x:v>1701.2960432796224</x:v>
      </x:c>
      <x:c r="D36" s="41"/>
      <x:c r="E36" s="40" t="n">
        <x:f>Model_Data!A36</x:f>
        <x:v>-43</x:v>
      </x:c>
      <x:c r="F36" s="40" t="n">
        <x:f>Model_Data!Y36</x:f>
        <x:v>43.27619968268002</x:v>
      </x:c>
      <x:c r="G36" s="40" t="n">
        <x:f>Model_Data!X36</x:f>
        <x:v>6.240858698215646</x:v>
      </x:c>
      <x:c r="H36" s="41"/>
      <x:c r="I36" s="40" t="n">
        <x:f>Model_Data!A36</x:f>
        <x:v>-43</x:v>
      </x:c>
      <x:c r="J36" s="40" t="n">
        <x:f>Model_Data!AI36</x:f>
        <x:v>-20.622410741917747</x:v>
      </x:c>
      <x:c r="K36" s="40" t="n">
        <x:f>Model_Data!AK36</x:f>
        <x:v>37.035340984464376</x:v>
      </x:c>
      <x:c r="L36" s="41"/>
      <x:c r="M36" s="40" t="n">
        <x:f>Model_Data!A36</x:f>
        <x:v>-43</x:v>
      </x:c>
      <x:c r="N36" s="40" t="n">
        <x:f>Model_Data!P36</x:f>
        <x:v>321.55862745132083</x:v>
      </x:c>
      <x:c r="O36" s="40" t="n">
        <x:f>Model_Data!AM36</x:f>
        <x:v>309.9791647544407</x:v>
      </x:c>
      <x:c r="P36" s="40" t="n">
        <x:f>Model_Data!Q36</x:f>
        <x:v>48.282076193892024</x:v>
      </x:c>
      <x:c r="Q36" s="40" t="n">
        <x:f>Model_Data!AN36</x:f>
        <x:v>46.54341813129741</x:v>
      </x:c>
      <x:c r="R36" s="41"/>
      <x:c r="S36" s="40" t="n">
        <x:f>Model_Data!A36</x:f>
        <x:v>-43</x:v>
      </x:c>
      <x:c r="T36" s="40" t="n">
        <x:f>Model_Data!B36-Inputs!$C$5</x:f>
        <x:v>2.0544444444444707</x:v>
      </x:c>
    </x:row>
    <x:row r="37">
      <x:c r="A37" s="40" t="n">
        <x:f>Model_Data!A37</x:f>
        <x:v>-42.5</x:v>
      </x:c>
      <x:c r="B37" s="40" t="n">
        <x:f>Model_Data!F37</x:f>
        <x:v>1692.4732969044633</x:v>
      </x:c>
      <x:c r="C37" s="40" t="n">
        <x:f>Model_Data!AC37</x:f>
        <x:v>1671.7234057605847</x:v>
      </x:c>
      <x:c r="D37" s="41"/>
      <x:c r="E37" s="40" t="n">
        <x:f>Model_Data!A37</x:f>
        <x:v>-42.5</x:v>
      </x:c>
      <x:c r="F37" s="40" t="n">
        <x:f>Model_Data!Y37</x:f>
        <x:v>40.445892459379714</x:v>
      </x:c>
      <x:c r="G37" s="40" t="n">
        <x:f>Model_Data!X37</x:f>
        <x:v>3.210213042737767</x:v>
      </x:c>
      <x:c r="H37" s="41"/>
      <x:c r="I37" s="40" t="n">
        <x:f>Model_Data!A37</x:f>
        <x:v>-42.5</x:v>
      </x:c>
      <x:c r="J37" s="40" t="n">
        <x:f>Model_Data!AI37</x:f>
        <x:v>-20.749891143878585</x:v>
      </x:c>
      <x:c r="K37" s="40" t="n">
        <x:f>Model_Data!AK37</x:f>
        <x:v>37.23567941664194</x:v>
      </x:c>
      <x:c r="L37" s="41"/>
      <x:c r="M37" s="40" t="n">
        <x:f>Model_Data!A37</x:f>
        <x:v>-42.5</x:v>
      </x:c>
      <x:c r="N37" s="40" t="n">
        <x:f>Model_Data!P37</x:f>
        <x:v>317.88025301667517</x:v>
      </x:c>
      <x:c r="O37" s="40" t="n">
        <x:f>Model_Data!AM37</x:f>
        <x:v>311.75525853641375</x:v>
      </x:c>
      <x:c r="P37" s="40" t="n">
        <x:f>Model_Data!Q37</x:f>
        <x:v>47.7297677202215</x:v>
      </x:c>
      <x:c r="Q37" s="40" t="n">
        <x:f>Model_Data!AN37</x:f>
        <x:v>46.81009887934141</x:v>
      </x:c>
      <x:c r="R37" s="41"/>
      <x:c r="S37" s="40" t="n">
        <x:f>Model_Data!A37</x:f>
        <x:v>-42.5</x:v>
      </x:c>
      <x:c r="T37" s="40" t="n">
        <x:f>Model_Data!B37-Inputs!$C$5</x:f>
        <x:v>2.006944444444457</x:v>
      </x:c>
    </x:row>
    <x:row r="38">
      <x:c r="A38" s="40" t="n">
        <x:f>Model_Data!A38</x:f>
        <x:v>-42</x:v>
      </x:c>
      <x:c r="B38" s="40" t="n">
        <x:f>Model_Data!F38</x:f>
        <x:v>1663.3619953398884</x:v>
      </x:c>
      <x:c r="C38" s="40" t="n">
        <x:f>Model_Data!AC38</x:f>
        <x:v>1641.6571983379692</x:v>
      </x:c>
      <x:c r="D38" s="41"/>
      <x:c r="E38" s="40" t="n">
        <x:f>Model_Data!A38</x:f>
        <x:v>-42</x:v>
      </x:c>
      <x:c r="F38" s="40" t="n">
        <x:f>Model_Data!Y38</x:f>
        <x:v>39.4090326464364</x:v>
      </x:c>
      <x:c r="G38" s="40" t="n">
        <x:f>Model_Data!X38</x:f>
        <x:v>0.48630684281670655</x:v>
      </x:c>
      <x:c r="H38" s="41"/>
      <x:c r="I38" s="40" t="n">
        <x:f>Model_Data!A38</x:f>
        <x:v>-42</x:v>
      </x:c>
      <x:c r="J38" s="40" t="n">
        <x:f>Model_Data!AI38</x:f>
        <x:v>-21.704797001919133</x:v>
      </x:c>
      <x:c r="K38" s="40" t="n">
        <x:f>Model_Data!AK38</x:f>
        <x:v>38.92272580361969</x:v>
      </x:c>
      <x:c r="L38" s="41"/>
      <x:c r="M38" s="40" t="n">
        <x:f>Model_Data!A38</x:f>
        <x:v>-42</x:v>
      </x:c>
      <x:c r="N38" s="40" t="n">
        <x:f>Model_Data!P38</x:f>
        <x:v>314.1997931036334</x:v>
      </x:c>
      <x:c r="O38" s="40" t="n">
        <x:f>Model_Data!AM38</x:f>
        <x:v>313.9153405637444</x:v>
      </x:c>
      <x:c r="P38" s="40" t="n">
        <x:f>Model_Data!Q38</x:f>
        <x:v>47.17714611165667</x:v>
      </x:c>
      <x:c r="Q38" s="40" t="n">
        <x:f>Model_Data!AN38</x:f>
        <x:v>47.134435520081745</x:v>
      </x:c>
      <x:c r="R38" s="41"/>
      <x:c r="S38" s="40" t="n">
        <x:f>Model_Data!A38</x:f>
        <x:v>-42</x:v>
      </x:c>
      <x:c r="T38" s="40" t="n">
        <x:f>Model_Data!B38-Inputs!$C$5</x:f>
        <x:v>1.9599999999999795</x:v>
      </x:c>
    </x:row>
    <x:row r="39">
      <x:c r="A39" s="40" t="n">
        <x:f>Model_Data!A39</x:f>
        <x:v>-41.5</x:v>
      </x:c>
      <x:c r="B39" s="40" t="n">
        <x:f>Model_Data!F39</x:f>
        <x:v>1634.5849135267295</x:v>
      </x:c>
      <x:c r="C39" s="40" t="n">
        <x:f>Model_Data!AC39</x:f>
        <x:v>1611.0775712559637</x:v>
      </x:c>
      <x:c r="D39" s="41"/>
      <x:c r="E39" s="40" t="n">
        <x:f>Model_Data!A39</x:f>
        <x:v>-41.5</x:v>
      </x:c>
      <x:c r="F39" s="40" t="n">
        <x:f>Model_Data!Y39</x:f>
        <x:v>40.256815436439396</x:v>
      </x:c>
      <x:c r="G39" s="40" t="n">
        <x:f>Model_Data!X39</x:f>
        <x:v>-1.87561785651812</x:v>
      </x:c>
      <x:c r="H39" s="41"/>
      <x:c r="I39" s="40" t="n">
        <x:f>Model_Data!A39</x:f>
        <x:v>-41.5</x:v>
      </x:c>
      <x:c r="J39" s="40" t="n">
        <x:f>Model_Data!AI39</x:f>
        <x:v>-23.507342270765776</x:v>
      </x:c>
      <x:c r="K39" s="40" t="n">
        <x:f>Model_Data!AK39</x:f>
        <x:v>42.132433292957515</x:v>
      </x:c>
      <x:c r="L39" s="41"/>
      <x:c r="M39" s="40" t="n">
        <x:f>Model_Data!A39</x:f>
        <x:v>-41.5</x:v>
      </x:c>
      <x:c r="N39" s="40" t="n">
        <x:f>Model_Data!P39</x:f>
        <x:v>310.51726973024654</x:v>
      </x:c>
      <x:c r="O39" s="40" t="n">
        <x:f>Model_Data!AM39</x:f>
        <x:v>316.26807693110095</x:v>
      </x:c>
      <x:c r="P39" s="40" t="n">
        <x:f>Model_Data!Q39</x:f>
        <x:v>46.624214674211196</x:v>
      </x:c>
      <x:c r="Q39" s="40" t="n">
        <x:f>Model_Data!AN39</x:f>
        <x:v>47.48769923890405</x:v>
      </x:c>
      <x:c r="R39" s="41"/>
      <x:c r="S39" s="40" t="n">
        <x:f>Model_Data!A39</x:f>
        <x:v>-41.5</x:v>
      </x:c>
      <x:c r="T39" s="40" t="n">
        <x:f>Model_Data!B39-Inputs!$C$5</x:f>
        <x:v>1.913611111111095</x:v>
      </x:c>
    </x:row>
    <x:row r="40">
      <x:c r="A40" s="40" t="n">
        <x:f>Model_Data!A40</x:f>
        <x:v>-41</x:v>
      </x:c>
      <x:c r="B40" s="40" t="n">
        <x:f>Model_Data!F40</x:f>
        <x:v>1606.1424117907243</x:v>
      </x:c>
      <x:c r="C40" s="40" t="n">
        <x:f>Model_Data!AC40</x:f>
        <x:v>1579.9956969462446</x:v>
      </x:c>
      <x:c r="D40" s="41"/>
      <x:c r="E40" s="40" t="n">
        <x:f>Model_Data!A40</x:f>
        <x:v>-41</x:v>
      </x:c>
      <x:c r="F40" s="40" t="n">
        <x:f>Model_Data!Y40</x:f>
        <x:v>43.01922670362901</x:v>
      </x:c>
      <x:c r="G40" s="40" t="n">
        <x:f>Model_Data!X40</x:f>
        <x:v>-3.8258397746835655</x:v>
      </x:c>
      <x:c r="H40" s="41"/>
      <x:c r="I40" s="40" t="n">
        <x:f>Model_Data!A40</x:f>
        <x:v>-41</x:v>
      </x:c>
      <x:c r="J40" s="40" t="n">
        <x:f>Model_Data!AI40</x:f>
        <x:v>-26.146714844479675</x:v>
      </x:c>
      <x:c r="K40" s="40" t="n">
        <x:f>Model_Data!AK40</x:f>
        <x:v>46.845066478312575</x:v>
      </x:c>
      <x:c r="L40" s="41"/>
      <x:c r="M40" s="40" t="n">
        <x:f>Model_Data!A40</x:f>
        <x:v>-41</x:v>
      </x:c>
      <x:c r="N40" s="40" t="n">
        <x:f>Model_Data!P40</x:f>
        <x:v>306.8327049999392</x:v>
      </x:c>
      <x:c r="O40" s="40" t="n">
        <x:f>Model_Data!AM40</x:f>
        <x:v>318.61940265025623</x:v>
      </x:c>
      <x:c r="P40" s="40" t="n">
        <x:f>Model_Data!Q40</x:f>
        <x:v>46.070976726717596</x:v>
      </x:c>
      <x:c r="Q40" s="40" t="n">
        <x:f>Model_Data!AN40</x:f>
        <x:v>47.840751148687126</x:v>
      </x:c>
      <x:c r="R40" s="41"/>
      <x:c r="S40" s="40" t="n">
        <x:f>Model_Data!A40</x:f>
        <x:v>-41</x:v>
      </x:c>
      <x:c r="T40" s="40" t="n">
        <x:f>Model_Data!B40-Inputs!$C$5</x:f>
        <x:v>1.8677777777778033</x:v>
      </x:c>
    </x:row>
    <x:row r="41">
      <x:c r="A41" s="40" t="n">
        <x:f>Model_Data!A41</x:f>
        <x:v>-40.5</x:v>
      </x:c>
      <x:c r="B41" s="40" t="n">
        <x:f>Model_Data!F41</x:f>
        <x:v>1578.0348465697127</x:v>
      </x:c>
      <x:c r="C41" s="40" t="n">
        <x:f>Model_Data!AC41</x:f>
        <x:v>1548.452894345467</x:v>
      </x:c>
      <x:c r="D41" s="41"/>
      <x:c r="E41" s="40" t="n">
        <x:f>Model_Data!A41</x:f>
        <x:v>-40.5</x:v>
      </x:c>
      <x:c r="F41" s="40" t="n">
        <x:f>Model_Data!Y41</x:f>
        <x:v>47.6652731290673</x:v>
      </x:c>
      <x:c r="G41" s="40" t="n">
        <x:f>Model_Data!X41</x:f>
        <x:v>-5.321527211901541</x:v>
      </x:c>
      <x:c r="H41" s="41"/>
      <x:c r="I41" s="40" t="n">
        <x:f>Model_Data!A41</x:f>
        <x:v>-40.5</x:v>
      </x:c>
      <x:c r="J41" s="40" t="n">
        <x:f>Model_Data!AI41</x:f>
        <x:v>-29.581952224245697</x:v>
      </x:c>
      <x:c r="K41" s="40" t="n">
        <x:f>Model_Data!AK41</x:f>
        <x:v>52.98680034096884</x:v>
      </x:c>
      <x:c r="L41" s="41"/>
      <x:c r="M41" s="40" t="n">
        <x:f>Model_Data!A41</x:f>
        <x:v>-40.5</x:v>
      </x:c>
      <x:c r="N41" s="40" t="n">
        <x:f>Model_Data!P41</x:f>
        <x:v>303.14612110072255</x:v>
      </x:c>
      <x:c r="O41" s="40" t="n">
        <x:f>Model_Data!AM41</x:f>
        <x:v>320.7791095498578</x:v>
      </x:c>
      <x:c r="P41" s="40" t="n">
        <x:f>Model_Data!Q41</x:f>
        <x:v>45.5174356007091</x:v>
      </x:c>
      <x:c r="Q41" s="40" t="n">
        <x:f>Model_Data!AN41</x:f>
        <x:v>48.16503146394262</x:v>
      </x:c>
      <x:c r="R41" s="41"/>
      <x:c r="S41" s="40" t="n">
        <x:f>Model_Data!A41</x:f>
        <x:v>-40.5</x:v>
      </x:c>
      <x:c r="T41" s="40" t="n">
        <x:f>Model_Data!B41-Inputs!$C$5</x:f>
        <x:v>1.822499999999991</x:v>
      </x:c>
    </x:row>
    <x:row r="42">
      <x:c r="A42" s="40" t="n">
        <x:f>Model_Data!A42</x:f>
        <x:v>-40</x:v>
      </x:c>
      <x:c r="B42" s="40" t="n">
        <x:f>Model_Data!F42</x:f>
        <x:v>1550.26257039885</x:v>
      </x:c>
      <x:c r="C42" s="40" t="n">
        <x:f>Model_Data!AC42</x:f>
        <x:v>1516.5185403841942</x:v>
      </x:c>
      <x:c r="D42" s="41"/>
      <x:c r="E42" s="40" t="n">
        <x:f>Model_Data!A42</x:f>
        <x:v>-40</x:v>
      </x:c>
      <x:c r="F42" s="40" t="n">
        <x:f>Model_Data!Y42</x:f>
        <x:v>54.10525547928794</x:v>
      </x:c>
      <x:c r="G42" s="40" t="n">
        <x:f>Model_Data!X42</x:f>
        <x:v>-6.328234986465404</x:v>
      </x:c>
      <x:c r="H42" s="41"/>
      <x:c r="I42" s="40" t="n">
        <x:f>Model_Data!A42</x:f>
        <x:v>-40</x:v>
      </x:c>
      <x:c r="J42" s="40" t="n">
        <x:f>Model_Data!AI42</x:f>
        <x:v>-33.744030014655664</x:v>
      </x:c>
      <x:c r="K42" s="40" t="n">
        <x:f>Model_Data!AK42</x:f>
        <x:v>60.433490465753344</x:v>
      </x:c>
      <x:c r="L42" s="41"/>
      <x:c r="M42" s="40" t="n">
        <x:f>Model_Data!A42</x:f>
        <x:v>-40</x:v>
      </x:c>
      <x:c r="N42" s="40" t="n">
        <x:f>Model_Data!P42</x:f>
        <x:v>299.4575403044</x:v>
      </x:c>
      <x:c r="O42" s="40" t="n">
        <x:f>Model_Data!AM42</x:f>
        <x:v>322.5671426635017</x:v>
      </x:c>
      <x:c r="P42" s="40" t="n">
        <x:f>Model_Data!Q42</x:f>
        <x:v>44.96359464030031</x:v>
      </x:c>
      <x:c r="Q42" s="40" t="n">
        <x:f>Model_Data!AN42</x:f>
        <x:v>48.43350490442969</x:v>
      </x:c>
      <x:c r="R42" s="41"/>
      <x:c r="S42" s="40" t="n">
        <x:f>Model_Data!A42</x:f>
        <x:v>-40</x:v>
      </x:c>
      <x:c r="T42" s="40" t="n">
        <x:f>Model_Data!B42-Inputs!$C$5</x:f>
        <x:v>1.7777777777777715</x:v>
      </x:c>
    </x:row>
    <x:row r="43">
      <x:c r="A43" s="40" t="n">
        <x:f>Model_Data!A43</x:f>
        <x:v>-39.5</x:v>
      </x:c>
      <x:c r="B43" s="40" t="n">
        <x:f>Model_Data!F43</x:f>
        <x:v>1522.82593189579</x:v>
      </x:c>
      <x:c r="C43" s="40" t="n">
        <x:f>Model_Data!AC43</x:f>
        <x:v>1484.2868660549213</x:v>
      </x:c>
      <x:c r="D43" s="41"/>
      <x:c r="E43" s="40" t="n">
        <x:f>Model_Data!A43</x:f>
        <x:v>-39.5</x:v>
      </x:c>
      <x:c r="F43" s="40" t="n">
        <x:f>Model_Data!Y43</x:f>
        <x:v>62.19495629384811</x:v>
      </x:c>
      <x:c r="G43" s="40" t="n">
        <x:f>Model_Data!X43</x:f>
        <x:v>-6.8214822932495665</x:v>
      </x:c>
      <x:c r="H43" s="41"/>
      <x:c r="I43" s="40" t="n">
        <x:f>Model_Data!A43</x:f>
        <x:v>-39.5</x:v>
      </x:c>
      <x:c r="J43" s="40" t="n">
        <x:f>Model_Data!AI43</x:f>
        <x:v>-38.539065840868716</x:v>
      </x:c>
      <x:c r="K43" s="40" t="n">
        <x:f>Model_Data!AK43</x:f>
        <x:v>69.01643858709767</x:v>
      </x:c>
      <x:c r="L43" s="41"/>
      <x:c r="M43" s="40" t="n">
        <x:f>Model_Data!A43</x:f>
        <x:v>-39.5</x:v>
      </x:c>
      <x:c r="N43" s="40" t="n">
        <x:f>Model_Data!P43</x:f>
        <x:v>295.766984965765</x:v>
      </x:c>
      <x:c r="O43" s="40" t="n">
        <x:f>Model_Data!AM43</x:f>
        <x:v>323.8193907916866</x:v>
      </x:c>
      <x:c r="P43" s="40" t="n">
        <x:f>Model_Data!Q43</x:f>
        <x:v>44.40945720206682</x:v>
      </x:c>
      <x:c r="Q43" s="40" t="n">
        <x:f>Model_Data!AN43</x:f>
        <x:v>48.6215301489019</x:v>
      </x:c>
      <x:c r="R43" s="41"/>
      <x:c r="S43" s="40" t="n">
        <x:f>Model_Data!A43</x:f>
        <x:v>-39.5</x:v>
      </x:c>
      <x:c r="T43" s="40" t="n">
        <x:f>Model_Data!B43-Inputs!$C$5</x:f>
        <x:v>1.7336111111110881</x:v>
      </x:c>
    </x:row>
    <x:row r="44">
      <x:c r="A44" s="40" t="n">
        <x:f>Model_Data!A44</x:f>
        <x:v>-39</x:v>
      </x:c>
      <x:c r="B44" s="40" t="n">
        <x:f>Model_Data!F44</x:f>
        <x:v>1495.7252757464753</x:v>
      </x:c>
      <x:c r="C44" s="40" t="n">
        <x:f>Model_Data!AC44</x:f>
        <x:v>1451.872779969325</x:v>
      </x:c>
      <x:c r="D44" s="41"/>
      <x:c r="E44" s="40" t="n">
        <x:f>Model_Data!A44</x:f>
        <x:v>-39</x:v>
      </x:c>
      <x:c r="F44" s="40" t="n">
        <x:f>Model_Data!Y44</x:f>
        <x:v>71.7415492592762</x:v>
      </x:c>
      <x:c r="G44" s="40" t="n">
        <x:f>Model_Data!X44</x:f>
        <x:v>-6.788347057942317</x:v>
      </x:c>
      <x:c r="H44" s="41"/>
      <x:c r="I44" s="40" t="n">
        <x:f>Model_Data!A44</x:f>
        <x:v>-39</x:v>
      </x:c>
      <x:c r="J44" s="40" t="n">
        <x:f>Model_Data!AI44</x:f>
        <x:v>-43.85249577715035</x:v>
      </x:c>
      <x:c r="K44" s="40" t="n">
        <x:f>Model_Data!AK44</x:f>
        <x:v>78.52989631721852</x:v>
      </x:c>
      <x:c r="L44" s="41"/>
      <x:c r="M44" s="40" t="n">
        <x:f>Model_Data!A44</x:f>
        <x:v>-39</x:v>
      </x:c>
      <x:c r="N44" s="40" t="n">
        <x:f>Model_Data!P44</x:f>
        <x:v>292.0744775217912</x:v>
      </x:c>
      <x:c r="O44" s="40" t="n">
        <x:f>Model_Data!AM44</x:f>
        <x:v>324.39278097817805</x:v>
      </x:c>
      <x:c r="P44" s="40" t="n">
        <x:f>Model_Data!Q44</x:f>
        <x:v>43.855026654923606</x:v>
      </x:c>
      <x:c r="Q44" s="40" t="n">
        <x:f>Model_Data!AN44</x:f>
        <x:v>48.70762477149821</x:v>
      </x:c>
      <x:c r="R44" s="41"/>
      <x:c r="S44" s="40" t="n">
        <x:f>Model_Data!A44</x:f>
        <x:v>-39</x:v>
      </x:c>
      <x:c r="T44" s="40" t="n">
        <x:f>Model_Data!B44-Inputs!$C$5</x:f>
        <x:v>1.6899999999999977</x:v>
      </x:c>
    </x:row>
    <x:row r="45">
      <x:c r="A45" s="40" t="n">
        <x:f>Model_Data!A45</x:f>
        <x:v>-38.5</x:v>
      </x:c>
      <x:c r="B45" s="40" t="n">
        <x:f>Model_Data!F45</x:f>
        <x:v>1468.9609426904447</x:v>
      </x:c>
      <x:c r="C45" s="40" t="n">
        <x:f>Model_Data!AC45</x:f>
        <x:v>1419.4069015223038</x:v>
      </x:c>
      <x:c r="D45" s="41"/>
      <x:c r="E45" s="40" t="n">
        <x:f>Model_Data!A45</x:f>
        <x:v>-38.5</x:v>
      </x:c>
      <x:c r="F45" s="40" t="n">
        <x:f>Model_Data!Y45</x:f>
        <x:v>82.51098230009727</x:v>
      </x:c>
      <x:c r="G45" s="40" t="n">
        <x:f>Model_Data!X45</x:f>
        <x:v>-6.228997716606727</x:v>
      </x:c>
      <x:c r="H45" s="41"/>
      <x:c r="I45" s="40" t="n">
        <x:f>Model_Data!A45</x:f>
        <x:v>-38.5</x:v>
      </x:c>
      <x:c r="J45" s="40" t="n">
        <x:f>Model_Data!AI45</x:f>
        <x:v>-49.554041168140884</x:v>
      </x:c>
      <x:c r="K45" s="40" t="n">
        <x:f>Model_Data!AK45</x:f>
        <x:v>88.739980016704</x:v>
      </x:c>
      <x:c r="L45" s="41"/>
      <x:c r="M45" s="40" t="n">
        <x:f>Model_Data!A45</x:f>
        <x:v>-38.5</x:v>
      </x:c>
      <x:c r="N45" s="40" t="n">
        <x:f>Model_Data!P45</x:f>
        <x:v>288.38004049081604</x:v>
      </x:c>
      <x:c r="O45" s="40" t="n">
        <x:f>Model_Data!AM45</x:f>
        <x:v>324.16951711466027</x:v>
      </x:c>
      <x:c r="P45" s="40" t="n">
        <x:f>Model_Data!Q45</x:f>
        <x:v>43.30030638000241</x:v>
      </x:c>
      <x:c r="Q45" s="40" t="n">
        <x:f>Model_Data!AN45</x:f>
        <x:v>48.67410166886791</x:v>
      </x:c>
      <x:c r="R45" s="41"/>
      <x:c r="S45" s="40" t="n">
        <x:f>Model_Data!A45</x:f>
        <x:v>-38.5</x:v>
      </x:c>
      <x:c r="T45" s="40" t="n">
        <x:f>Model_Data!B45-Inputs!$C$5</x:f>
        <x:v>1.6469444444444434</x:v>
      </x:c>
    </x:row>
    <x:row r="46">
      <x:c r="A46" s="40" t="n">
        <x:f>Model_Data!A46</x:f>
        <x:v>-38</x:v>
      </x:c>
      <x:c r="B46" s="40" t="n">
        <x:f>Model_Data!F46</x:f>
        <x:v>1442.533269506944</x:v>
      </x:c>
      <x:c r="C46" s="40" t="n">
        <x:f>Model_Data!AC46</x:f>
        <x:v>1387.0300170894418</x:v>
      </x:c>
      <x:c r="D46" s="41"/>
      <x:c r="E46" s="40" t="n">
        <x:f>Model_Data!A46</x:f>
        <x:v>-38</x:v>
      </x:c>
      <x:c r="F46" s="40" t="n">
        <x:f>Model_Data!Y46</x:f>
        <x:v>94.2365417100589</x:v>
      </x:c>
      <x:c r="G46" s="40" t="n">
        <x:f>Model_Data!X46</x:f>
        <x:v>-5.158072342999348</x:v>
      </x:c>
      <x:c r="H46" s="41"/>
      <x:c r="I46" s="40" t="n">
        <x:f>Model_Data!A46</x:f>
        <x:v>-38</x:v>
      </x:c>
      <x:c r="J46" s="40" t="n">
        <x:f>Model_Data!AI46</x:f>
        <x:v>-55.50325241750215</x:v>
      </x:c>
      <x:c r="K46" s="40" t="n">
        <x:f>Model_Data!AK46</x:f>
        <x:v>99.39461405305825</x:v>
      </x:c>
      <x:c r="L46" s="41"/>
      <x:c r="M46" s="40" t="n">
        <x:f>Model_Data!A46</x:f>
        <x:v>-38</x:v>
      </x:c>
      <x:c r="N46" s="40" t="n">
        <x:f>Model_Data!P46</x:f>
        <x:v>284.68369647171596</x:v>
      </x:c>
      <x:c r="O46" s="40" t="n">
        <x:f>Model_Data!AM46</x:f>
        <x:v>323.0603384312417</x:v>
      </x:c>
      <x:c r="P46" s="40" t="n">
        <x:f>Model_Data!Q46</x:f>
        <x:v>42.74529977052792</x:v>
      </x:c>
      <x:c r="Q46" s="40" t="n">
        <x:f>Model_Data!AN46</x:f>
        <x:v>48.50755832300926</x:v>
      </x:c>
      <x:c r="R46" s="41"/>
      <x:c r="S46" s="40" t="n">
        <x:f>Model_Data!A46</x:f>
        <x:v>-38</x:v>
      </x:c>
      <x:c r="T46" s="40" t="n">
        <x:f>Model_Data!B46-Inputs!$C$5</x:f>
        <x:v>1.6044444444444252</x:v>
      </x:c>
    </x:row>
    <x:row r="47">
      <x:c r="A47" s="40" t="n">
        <x:f>Model_Data!A47</x:f>
        <x:v>-37.5</x:v>
      </x:c>
      <x:c r="B47" s="40" t="n">
        <x:f>Model_Data!F47</x:f>
        <x:v>1416.4425890006503</x:v>
      </x:c>
      <x:c r="C47" s="40" t="n">
        <x:f>Model_Data!AC47</x:f>
        <x:v>1354.8871948207275</x:v>
      </x:c>
      <x:c r="D47" s="41"/>
      <x:c r="E47" s="40" t="n">
        <x:f>Model_Data!A47</x:f>
        <x:v>-37.5</x:v>
      </x:c>
      <x:c r="F47" s="40" t="n">
        <x:f>Model_Data!Y47</x:f>
        <x:v>106.62827183468133</x:v>
      </x:c>
      <x:c r="G47" s="40" t="n">
        <x:f>Model_Data!X47</x:f>
        <x:v>-3.6058085703461344</x:v>
      </x:c>
      <x:c r="H47" s="41"/>
      <x:c r="I47" s="40" t="n">
        <x:f>Model_Data!A47</x:f>
        <x:v>-37.5</x:v>
      </x:c>
      <x:c r="J47" s="40" t="n">
        <x:f>Model_Data!AI47</x:f>
        <x:v>-61.555394179922814</x:v>
      </x:c>
      <x:c r="K47" s="40" t="n">
        <x:f>Model_Data!AK47</x:f>
        <x:v>110.23408040502747</x:v>
      </x:c>
      <x:c r="L47" s="41"/>
      <x:c r="M47" s="40" t="n">
        <x:f>Model_Data!A47</x:f>
        <x:v>-37.5</x:v>
      </x:c>
      <x:c r="N47" s="40" t="n">
        <x:f>Model_Data!P47</x:f>
        <x:v>280.98546814307457</x:v>
      </x:c>
      <x:c r="O47" s="40" t="n">
        <x:f>Model_Data!AM47</x:f>
        <x:v>321.00671276348294</x:v>
      </x:c>
      <x:c r="P47" s="40" t="n">
        <x:f>Model_Data!Q47</x:f>
        <x:v>42.19001023169288</x:v>
      </x:c>
      <x:c r="Q47" s="40" t="n">
        <x:f>Model_Data!AN47</x:f>
        <x:v>48.19920612064309</x:v>
      </x:c>
      <x:c r="R47" s="41"/>
      <x:c r="S47" s="40" t="n">
        <x:f>Model_Data!A47</x:f>
        <x:v>-37.5</x:v>
      </x:c>
      <x:c r="T47" s="40" t="n">
        <x:f>Model_Data!B47-Inputs!$C$5</x:f>
        <x:v>1.5625</x:v>
      </x:c>
    </x:row>
    <x:row r="48">
      <x:c r="A48" s="40" t="n">
        <x:f>Model_Data!A48</x:f>
        <x:v>-37</x:v>
      </x:c>
      <x:c r="B48" s="40" t="n">
        <x:f>Model_Data!F48</x:f>
        <x:v>1390.689229987749</x:v>
      </x:c>
      <x:c r="C48" s="40" t="n">
        <x:f>Model_Data!AC48</x:f>
        <x:v>1323.1218056904354</x:v>
      </x:c>
      <x:c r="D48" s="41"/>
      <x:c r="E48" s="40" t="n">
        <x:f>Model_Data!A48</x:f>
        <x:v>-37</x:v>
      </x:c>
      <x:c r="F48" s="40" t="n">
        <x:f>Model_Data!Y48</x:f>
        <x:v>119.38290476319311</x:v>
      </x:c>
      <x:c r="G48" s="40" t="n">
        <x:f>Model_Data!X48</x:f>
        <x:v>-1.6188264893844657</x:v>
      </x:c>
      <x:c r="H48" s="41"/>
      <x:c r="I48" s="40" t="n">
        <x:f>Model_Data!A48</x:f>
        <x:v>-37</x:v>
      </x:c>
      <x:c r="J48" s="40" t="n">
        <x:f>Model_Data!AI48</x:f>
        <x:v>-67.56742429731366</x:v>
      </x:c>
      <x:c r="K48" s="40" t="n">
        <x:f>Model_Data!AK48</x:f>
        <x:v>121.00173125257757</x:v>
      </x:c>
      <x:c r="L48" s="41"/>
      <x:c r="M48" s="40" t="n">
        <x:f>Model_Data!A48</x:f>
        <x:v>-37</x:v>
      </x:c>
      <x:c r="N48" s="40" t="n">
        <x:f>Model_Data!P48</x:f>
        <x:v>277.2853782623445</x:v>
      </x:c>
      <x:c r="O48" s="40" t="n">
        <x:f>Model_Data!AM48</x:f>
        <x:v>317.9819205869535</x:v>
      </x:c>
      <x:c r="P48" s="40" t="n">
        <x:f>Model_Data!Q48</x:f>
        <x:v>41.634441180532214</x:v>
      </x:c>
      <x:c r="Q48" s="40" t="n">
        <x:f>Model_Data!AN48</x:f>
        <x:v>47.74503312116419</x:v>
      </x:c>
      <x:c r="R48" s="41"/>
      <x:c r="S48" s="40" t="n">
        <x:f>Model_Data!A48</x:f>
        <x:v>-37</x:v>
      </x:c>
      <x:c r="T48" s="40" t="n">
        <x:f>Model_Data!B48-Inputs!$C$5</x:f>
        <x:v>1.5211111111111109</x:v>
      </x:c>
    </x:row>
    <x:row r="49">
      <x:c r="A49" s="40" t="n">
        <x:f>Model_Data!A49</x:f>
        <x:v>-36.5</x:v>
      </x:c>
      <x:c r="B49" s="40" t="n">
        <x:f>Model_Data!F49</x:f>
        <x:v>1365.2735172823614</x:v>
      </x:c>
      <x:c r="C49" s="40" t="n">
        <x:f>Model_Data!AC49</x:f>
        <x:v>1291.8697000745633</x:v>
      </x:c>
      <x:c r="D49" s="41"/>
      <x:c r="E49" s="40" t="n">
        <x:f>Model_Data!A49</x:f>
        <x:v>-36.5</x:v>
      </x:c>
      <x:c r="F49" s="40" t="n">
        <x:f>Model_Data!Y49</x:f>
        <x:v>132.19394754373033</x:v>
      </x:c>
      <x:c r="G49" s="40" t="n">
        <x:f>Model_Data!X49</x:f>
        <x:v>0.7395289260654683</x:v>
      </x:c>
      <x:c r="H49" s="41"/>
      <x:c r="I49" s="40" t="n">
        <x:f>Model_Data!A49</x:f>
        <x:v>-36.5</x:v>
      </x:c>
      <x:c r="J49" s="40" t="n">
        <x:f>Model_Data!AI49</x:f>
        <x:v>-73.40381720779806</x:v>
      </x:c>
      <x:c r="K49" s="40" t="n">
        <x:f>Model_Data!AK49</x:f>
        <x:v>131.45441861766486</x:v>
      </x:c>
      <x:c r="L49" s="41"/>
      <x:c r="M49" s="40" t="n">
        <x:f>Model_Data!A49</x:f>
        <x:v>-36.5</x:v>
      </x:c>
      <x:c r="N49" s="40" t="n">
        <x:f>Model_Data!P49</x:f>
        <x:v>273.5834496650001</x:v>
      </x:c>
      <x:c r="O49" s="40" t="n">
        <x:f>Model_Data!AM49</x:f>
        <x:v>313.99102726963974</x:v>
      </x:c>
      <x:c r="P49" s="40" t="n">
        <x:f>Model_Data!Q49</x:f>
        <x:v>41.07859604579582</x:v>
      </x:c>
      <x:c r="Q49" s="40" t="n">
        <x:f>Model_Data!AN49</x:f>
        <x:v>47.1457998903363</x:v>
      </x:c>
      <x:c r="R49" s="41"/>
      <x:c r="S49" s="40" t="n">
        <x:f>Model_Data!A49</x:f>
        <x:v>-36.5</x:v>
      </x:c>
      <x:c r="T49" s="40" t="n">
        <x:f>Model_Data!B49-Inputs!$C$5</x:f>
        <x:v>1.4802777777777578</x:v>
      </x:c>
    </x:row>
    <x:row r="50">
      <x:c r="A50" s="40" t="n">
        <x:f>Model_Data!A50</x:f>
        <x:v>-36</x:v>
      </x:c>
      <x:c r="B50" s="40" t="n">
        <x:f>Model_Data!F50</x:f>
        <x:v>1340.195771682717</x:v>
      </x:c>
      <x:c r="C50" s="40" t="n">
        <x:f>Model_Data!AC50</x:f>
        <x:v>1261.2537802577876</x:v>
      </x:c>
      <x:c r="D50" s="41"/>
      <x:c r="E50" s="40" t="n">
        <x:f>Model_Data!A50</x:f>
        <x:v>-36</x:v>
      </x:c>
      <x:c r="F50" s="40" t="n">
        <x:f>Model_Data!Y50</x:f>
        <x:v>144.7615804376427</x:v>
      </x:c>
      <x:c r="G50" s="40" t="n">
        <x:f>Model_Data!X50</x:f>
        <x:v>3.389369172934504</x:v>
      </x:c>
      <x:c r="H50" s="41"/>
      <x:c r="I50" s="40" t="n">
        <x:f>Model_Data!A50</x:f>
        <x:v>-36</x:v>
      </x:c>
      <x:c r="J50" s="40" t="n">
        <x:f>Model_Data!AI50</x:f>
        <x:v>-78.94199142492926</x:v>
      </x:c>
      <x:c r="K50" s="40" t="n">
        <x:f>Model_Data!AK50</x:f>
        <x:v>141.3722112647082</x:v>
      </x:c>
      <x:c r="L50" s="41"/>
      <x:c r="M50" s="40" t="n">
        <x:f>Model_Data!A50</x:f>
        <x:v>-36</x:v>
      </x:c>
      <x:c r="N50" s="40" t="n">
        <x:f>Model_Data!P50</x:f>
        <x:v>269.8797052636854</x:v>
      </x:c>
      <x:c r="O50" s="40" t="n">
        <x:f>Model_Data!AM50</x:f>
        <x:v>309.0697811908285</x:v>
      </x:c>
      <x:c r="P50" s="40" t="n">
        <x:f>Model_Data!Q50</x:f>
        <x:v>40.52247826782064</x:v>
      </x:c>
      <x:c r="Q50" s="40" t="n">
        <x:f>Model_Data!AN50</x:f>
        <x:v>46.406874052676955</x:v>
      </x:c>
      <x:c r="R50" s="41"/>
      <x:c r="S50" s="40" t="n">
        <x:f>Model_Data!A50</x:f>
        <x:v>-36</x:v>
      </x:c>
      <x:c r="T50" s="40" t="n">
        <x:f>Model_Data!B50-Inputs!$C$5</x:f>
        <x:v>1.4399999999999977</x:v>
      </x:c>
    </x:row>
    <x:row r="51">
      <x:c r="A51" s="40" t="n">
        <x:f>Model_Data!A51</x:f>
        <x:v>-35.5</x:v>
      </x:c>
      <x:c r="B51" s="40" t="n">
        <x:f>Model_Data!F51</x:f>
        <x:v>1315.4563099576765</x:v>
      </x:c>
      <x:c r="C51" s="40" t="n">
        <x:f>Model_Data!AC51</x:f>
        <x:v>1231.3791903767935</x:v>
      </x:c>
      <x:c r="D51" s="41"/>
      <x:c r="E51" s="40" t="n">
        <x:f>Model_Data!A51</x:f>
        <x:v>-35.5</x:v>
      </x:c>
      <x:c r="F51" s="40" t="n">
        <x:f>Model_Data!Y51</x:f>
        <x:v>156.80203802266877</x:v>
      </x:c>
      <x:c r="G51" s="40" t="n">
        <x:f>Model_Data!X51</x:f>
        <x:v>6.235034908342186</x:v>
      </x:c>
      <x:c r="H51" s="41"/>
      <x:c r="I51" s="40" t="n">
        <x:f>Model_Data!A51</x:f>
        <x:v>-35.5</x:v>
      </x:c>
      <x:c r="J51" s="40" t="n">
        <x:f>Model_Data!AI51</x:f>
        <x:v>-84.07711958088294</x:v>
      </x:c>
      <x:c r="K51" s="40" t="n">
        <x:f>Model_Data!AK51</x:f>
        <x:v>150.56700311432658</x:v>
      </x:c>
      <x:c r="L51" s="41"/>
      <x:c r="M51" s="40" t="n">
        <x:f>Model_Data!A51</x:f>
        <x:v>-35.5</x:v>
      </x:c>
      <x:c r="N51" s="40" t="n">
        <x:f>Model_Data!P51</x:f>
        <x:v>266.1741680473529</x:v>
      </x:c>
      <x:c r="O51" s="40" t="n">
        <x:f>Model_Data!AM51</x:f>
        <x:v>303.28251281243865</x:v>
      </x:c>
      <x:c r="P51" s="40" t="n">
        <x:f>Model_Data!Q51</x:f>
        <x:v>39.96609129840134</x:v>
      </x:c>
      <x:c r="Q51" s="40" t="n">
        <x:f>Model_Data!AN51</x:f>
        <x:v>45.537914836702505</x:v>
      </x:c>
      <x:c r="R51" s="41"/>
      <x:c r="S51" s="40" t="n">
        <x:f>Model_Data!A51</x:f>
        <x:v>-35.5</x:v>
      </x:c>
      <x:c r="T51" s="40" t="n">
        <x:f>Model_Data!B51-Inputs!$C$5</x:f>
        <x:v>1.4002777777777737</x:v>
      </x:c>
    </x:row>
    <x:row r="52">
      <x:c r="A52" s="40" t="n">
        <x:f>Model_Data!A52</x:f>
        <x:v>-35</x:v>
      </x:c>
      <x:c r="B52" s="40" t="n">
        <x:f>Model_Data!F52</x:f>
        <x:v>1291.0554448335768</x:v>
      </x:c>
      <x:c r="C52" s="40" t="n">
        <x:f>Model_Data!AC52</x:f>
        <x:v>1202.3293172497301</x:v>
      </x:c>
      <x:c r="D52" s="41"/>
      <x:c r="E52" s="40" t="n">
        <x:f>Model_Data!A52</x:f>
        <x:v>-35</x:v>
      </x:c>
      <x:c r="F52" s="40" t="n">
        <x:f>Model_Data!Y52</x:f>
        <x:v>168.0561744354785</x:v>
      </x:c>
      <x:c r="G52" s="40" t="n">
        <x:f>Model_Data!X52</x:f>
        <x:v>9.166506637401378</x:v>
      </x:c>
      <x:c r="H52" s="41"/>
      <x:c r="I52" s="40" t="n">
        <x:f>Model_Data!A52</x:f>
        <x:v>-35</x:v>
      </x:c>
      <x:c r="J52" s="40" t="n">
        <x:f>Model_Data!AI52</x:f>
        <x:v>-88.72612758384662</x:v>
      </x:c>
      <x:c r="K52" s="40" t="n">
        <x:f>Model_Data!AK52</x:f>
        <x:v>158.88966779807714</x:v>
      </x:c>
      <x:c r="L52" s="41"/>
      <x:c r="M52" s="40" t="n">
        <x:f>Model_Data!A52</x:f>
        <x:v>-35</x:v>
      </x:c>
      <x:c r="N52" s="40" t="n">
        <x:f>Model_Data!P52</x:f>
        <x:v>262.4668610803968</x:v>
      </x:c>
      <x:c r="O52" s="40" t="n">
        <x:f>Model_Data!AM52</x:f>
        <x:v>296.71914312957597</x:v>
      </x:c>
      <x:c r="P52" s="40" t="n">
        <x:f>Model_Data!Q52</x:f>
        <x:v>39.40943860066018</x:v>
      </x:c>
      <x:c r="Q52" s="40" t="n">
        <x:f>Model_Data!AN52</x:f>
        <x:v>44.55242389332973</x:v>
      </x:c>
      <x:c r="R52" s="41"/>
      <x:c r="S52" s="40" t="n">
        <x:f>Model_Data!A52</x:f>
        <x:v>-35</x:v>
      </x:c>
      <x:c r="T52" s="40" t="n">
        <x:f>Model_Data!B52-Inputs!$C$5</x:f>
        <x:v>1.3611111111110858</x:v>
      </x:c>
    </x:row>
    <x:row r="53">
      <x:c r="A53" s="40" t="n">
        <x:f>Model_Data!A53</x:f>
        <x:v>-34.5</x:v>
      </x:c>
      <x:c r="B53" s="40" t="n">
        <x:f>Model_Data!F53</x:f>
        <x:v>1266.9934849810077</x:v>
      </x:c>
      <x:c r="C53" s="40" t="n">
        <x:f>Model_Data!AC53</x:f>
        <x:v>1174.1627595874365</x:v>
      </x:c>
      <x:c r="D53" s="41"/>
      <x:c r="E53" s="40" t="n">
        <x:f>Model_Data!A53</x:f>
        <x:v>-34.5</x:v>
      </x:c>
      <x:c r="F53" s="40" t="n">
        <x:f>Model_Data!Y53</x:f>
        <x:v>178.29695321315808</x:v>
      </x:c>
      <x:c r="G53" s="40" t="n">
        <x:f>Model_Data!X53</x:f>
        <x:v>12.061474781480538</x:v>
      </x:c>
      <x:c r="H53" s="41"/>
      <x:c r="I53" s="40" t="n">
        <x:f>Model_Data!A53</x:f>
        <x:v>-34.5</x:v>
      </x:c>
      <x:c r="J53" s="40" t="n">
        <x:f>Model_Data!AI53</x:f>
        <x:v>-92.83072539357113</x:v>
      </x:c>
      <x:c r="K53" s="40" t="n">
        <x:f>Model_Data!AK53</x:f>
        <x:v>166.23547843167754</x:v>
      </x:c>
      <x:c r="L53" s="41"/>
      <x:c r="M53" s="40" t="n">
        <x:f>Model_Data!A53</x:f>
        <x:v>-34.5</x:v>
      </x:c>
      <x:c r="N53" s="40" t="n">
        <x:f>Model_Data!P53</x:f>
        <x:v>258.75780750177796</x:v>
      </x:c>
      <x:c r="O53" s="40" t="n">
        <x:f>Model_Data!AM53</x:f>
        <x:v>289.49143801009996</x:v>
      </x:c>
      <x:c r="P53" s="40" t="n">
        <x:f>Model_Data!Q53</x:f>
        <x:v>38.852523648915614</x:v>
      </x:c>
      <x:c r="Q53" s="40" t="n">
        <x:f>Model_Data!AN53</x:f>
        <x:v>43.4671828843994</x:v>
      </x:c>
      <x:c r="R53" s="41"/>
      <x:c r="S53" s="40" t="n">
        <x:f>Model_Data!A53</x:f>
        <x:v>-34.5</x:v>
      </x:c>
      <x:c r="T53" s="40" t="n">
        <x:f>Model_Data!B53-Inputs!$C$5</x:f>
        <x:v>1.322499999999991</x:v>
      </x:c>
    </x:row>
    <x:row r="54">
      <x:c r="A54" s="40" t="n">
        <x:f>Model_Data!A54</x:f>
        <x:v>-34</x:v>
      </x:c>
      <x:c r="B54" s="40" t="n">
        <x:f>Model_Data!F54</x:f>
        <x:v>1243.2707350015928</x:v>
      </x:c>
      <x:c r="C54" s="40" t="n">
        <x:f>Model_Data!AC54</x:f>
        <x:v>1146.911380806255</x:v>
      </x:c>
      <x:c r="D54" s="41"/>
      <x:c r="E54" s="40" t="n">
        <x:f>Model_Data!A54</x:f>
        <x:v>-34</x:v>
      </x:c>
      <x:c r="F54" s="40" t="n">
        <x:f>Model_Data!Y54</x:f>
        <x:v>187.33564923068332</x:v>
      </x:c>
      <x:c r="G54" s="40" t="n">
        <x:f>Model_Data!X54</x:f>
        <x:v>14.788061857717963</x:v>
      </x:c>
      <x:c r="H54" s="41"/>
      <x:c r="I54" s="40" t="n">
        <x:f>Model_Data!A54</x:f>
        <x:v>-34</x:v>
      </x:c>
      <x:c r="J54" s="40" t="n">
        <x:f>Model_Data!AI54</x:f>
        <x:v>-96.3593541953378</x:v>
      </x:c>
      <x:c r="K54" s="40" t="n">
        <x:f>Model_Data!AK54</x:f>
        <x:v>172.54758737296535</x:v>
      </x:c>
      <x:c r="L54" s="41"/>
      <x:c r="M54" s="40" t="n">
        <x:f>Model_Data!A54</x:f>
        <x:v>-34</x:v>
      </x:c>
      <x:c r="N54" s="40" t="n">
        <x:f>Model_Data!P54</x:f>
        <x:v>255.04703052414416</x:v>
      </x:c>
      <x:c r="O54" s="40" t="n">
        <x:f>Model_Data!AM54</x:f>
        <x:v>281.7286668631823</x:v>
      </x:c>
      <x:c r="P54" s="40" t="n">
        <x:f>Model_Data!Q54</x:f>
        <x:v>38.29534992855017</x:v>
      </x:c>
      <x:c r="Q54" s="40" t="n">
        <x:f>Model_Data!AN54</x:f>
        <x:v>42.301601631108454</x:v>
      </x:c>
      <x:c r="R54" s="41"/>
      <x:c r="S54" s="40" t="n">
        <x:f>Model_Data!A54</x:f>
        <x:v>-34</x:v>
      </x:c>
      <x:c r="T54" s="40" t="n">
        <x:f>Model_Data!B54-Inputs!$C$5</x:f>
        <x:v>1.284444444444432</x:v>
      </x:c>
    </x:row>
    <x:row r="55">
      <x:c r="A55" s="40" t="n">
        <x:f>Model_Data!A55</x:f>
        <x:v>-33.5</x:v>
      </x:c>
      <x:c r="B55" s="40" t="n">
        <x:f>Model_Data!F55</x:f>
        <x:v>1219.8874954154699</x:v>
      </x:c>
      <x:c r="C55" s="40" t="n">
        <x:f>Model_Data!AC55</x:f>
        <x:v>1120.5795139129564</x:v>
      </x:c>
      <x:c r="D55" s="41"/>
      <x:c r="E55" s="40" t="n">
        <x:f>Model_Data!A55</x:f>
        <x:v>-33.5</x:v>
      </x:c>
      <x:c r="F55" s="40" t="n">
        <x:f>Model_Data!Y55</x:f>
        <x:v>195.02660307876914</x:v>
      </x:c>
      <x:c r="G55" s="40" t="n">
        <x:f>Model_Data!X55</x:f>
        <x:v>17.208158714852885</x:v>
      </x:c>
      <x:c r="H55" s="41"/>
      <x:c r="I55" s="40" t="n">
        <x:f>Model_Data!A55</x:f>
        <x:v>-33.5</x:v>
      </x:c>
      <x:c r="J55" s="40" t="n">
        <x:f>Model_Data!AI55</x:f>
        <x:v>-99.30798150251348</x:v>
      </x:c>
      <x:c r="K55" s="40" t="n">
        <x:f>Model_Data!AK55</x:f>
        <x:v>177.81844436391626</x:v>
      </x:c>
      <x:c r="L55" s="41"/>
      <x:c r="M55" s="40" t="n">
        <x:f>Model_Data!A55</x:f>
        <x:v>-33.5</x:v>
      </x:c>
      <x:c r="N55" s="40" t="n">
        <x:f>Model_Data!P55</x:f>
        <x:v>251.33455343294068</x:v>
      </x:c>
      <x:c r="O55" s="40" t="n">
        <x:f>Model_Data!AM55</x:f>
        <x:v>273.57283924266085</x:v>
      </x:c>
      <x:c r="P55" s="40" t="n">
        <x:f>Model_Data!Q55</x:f>
        <x:v>37.73792093587698</x:v>
      </x:c>
      <x:c r="Q55" s="40" t="n">
        <x:f>Model_Data!AN55</x:f>
        <x:v>41.077002889288416</x:v>
      </x:c>
      <x:c r="R55" s="41"/>
      <x:c r="S55" s="40" t="n">
        <x:f>Model_Data!A55</x:f>
        <x:v>-33.5</x:v>
      </x:c>
      <x:c r="T55" s="40" t="n">
        <x:f>Model_Data!B55-Inputs!$C$5</x:f>
        <x:v>1.2469444444444662</x:v>
      </x:c>
    </x:row>
    <x:row r="56">
      <x:c r="A56" s="40" t="n">
        <x:f>Model_Data!A56</x:f>
        <x:v>-33</x:v>
      </x:c>
      <x:c r="B56" s="40" t="n">
        <x:f>Model_Data!F56</x:f>
        <x:v>1196.8440626483268</x:v>
      </x:c>
      <x:c r="C56" s="40" t="n">
        <x:f>Model_Data!AC56</x:f>
        <x:v>1095.1443377235767</x:v>
      </x:c>
      <x:c r="D56" s="41"/>
      <x:c r="E56" s="40" t="n">
        <x:f>Model_Data!A56</x:f>
        <x:v>-33</x:v>
      </x:c>
      <x:c r="F56" s="40" t="n">
        <x:f>Model_Data!Y56</x:f>
        <x:v>201.27042467663705</x:v>
      </x:c>
      <x:c r="G56" s="40" t="n">
        <x:f>Model_Data!X56</x:f>
        <x:v>19.181305252741918</x:v>
      </x:c>
      <x:c r="H56" s="41"/>
      <x:c r="I56" s="40" t="n">
        <x:f>Model_Data!A56</x:f>
        <x:v>-33</x:v>
      </x:c>
      <x:c r="J56" s="40" t="n">
        <x:f>Model_Data!AI56</x:f>
        <x:v>-101.69972492475017</x:v>
      </x:c>
      <x:c r="K56" s="40" t="n">
        <x:f>Model_Data!AK56</x:f>
        <x:v>182.08911942389514</x:v>
      </x:c>
      <x:c r="L56" s="41"/>
      <x:c r="M56" s="40" t="n">
        <x:f>Model_Data!A56</x:f>
        <x:v>-33</x:v>
      </x:c>
      <x:c r="N56" s="40" t="n">
        <x:f>Model_Data!P56</x:f>
        <x:v>247.62039958551682</x:v>
      </x:c>
      <x:c r="O56" s="40" t="n">
        <x:f>Model_Data!AM56</x:f>
        <x:v>265.1737010387478</x:v>
      </x:c>
      <x:c r="P56" s="40" t="n">
        <x:f>Model_Data!Q56</x:f>
        <x:v>37.18024017800553</x:v>
      </x:c>
      <x:c r="Q56" s="40" t="n">
        <x:f>Model_Data!AN56</x:f>
        <x:v>39.81587102683901</x:v>
      </x:c>
      <x:c r="R56" s="41"/>
      <x:c r="S56" s="40" t="n">
        <x:f>Model_Data!A56</x:f>
        <x:v>-33</x:v>
      </x:c>
      <x:c r="T56" s="40" t="n">
        <x:f>Model_Data!B56-Inputs!$C$5</x:f>
        <x:v>1.2099999999999795</x:v>
      </x:c>
    </x:row>
    <x:row r="57">
      <x:c r="A57" s="40" t="n">
        <x:f>Model_Data!A57</x:f>
        <x:v>-32.5</x:v>
      </x:c>
      <x:c r="B57" s="40" t="n">
        <x:f>Model_Data!F57</x:f>
        <x:v>1174.1407290190098</x:v>
      </x:c>
      <x:c r="C57" s="40" t="n">
        <x:f>Model_Data!AC57</x:f>
        <x:v>1070.557394125623</x:v>
      </x:c>
      <x:c r="D57" s="41"/>
      <x:c r="E57" s="40" t="n">
        <x:f>Model_Data!A57</x:f>
        <x:v>-32.5</x:v>
      </x:c>
      <x:c r="F57" s="40" t="n">
        <x:f>Model_Data!Y57</x:f>
        <x:v>206.0156007050652</x:v>
      </x:c>
      <x:c r="G57" s="40" t="n">
        <x:f>Model_Data!X57</x:f>
        <x:v>20.56901530926051</x:v>
      </x:c>
      <x:c r="H57" s="41"/>
      <x:c r="I57" s="40" t="n">
        <x:f>Model_Data!A57</x:f>
        <x:v>-32.5</x:v>
      </x:c>
      <x:c r="J57" s="40" t="n">
        <x:f>Model_Data!AI57</x:f>
        <x:v>-103.58333489338679</x:v>
      </x:c>
      <x:c r="K57" s="40" t="n">
        <x:f>Model_Data!AK57</x:f>
        <x:v>185.44658539580468</x:v>
      </x:c>
      <x:c r="L57" s="41"/>
      <x:c r="M57" s="40" t="n">
        <x:f>Model_Data!A57</x:f>
        <x:v>-32.5</x:v>
      </x:c>
      <x:c r="N57" s="40" t="n">
        <x:f>Model_Data!P57</x:f>
        <x:v>243.9045924102238</x:v>
      </x:c>
      <x:c r="O57" s="40" t="n">
        <x:f>Model_Data!AM57</x:f>
        <x:v>256.6836728226008</x:v>
      </x:c>
      <x:c r="P57" s="40" t="n">
        <x:f>Model_Data!Q57</x:f>
        <x:v>36.62231117270628</x:v>
      </x:c>
      <x:c r="Q57" s="40" t="n">
        <x:f>Model_Data!AN57</x:f>
        <x:v>38.541092015405525</x:v>
      </x:c>
      <x:c r="R57" s="41"/>
      <x:c r="S57" s="40" t="n">
        <x:f>Model_Data!A57</x:f>
        <x:v>-32.5</x:v>
      </x:c>
      <x:c r="T57" s="40" t="n">
        <x:f>Model_Data!B57-Inputs!$C$5</x:f>
        <x:v>1.1736111111110858</x:v>
      </x:c>
    </x:row>
    <x:row r="58">
      <x:c r="A58" s="40" t="n">
        <x:f>Model_Data!A58</x:f>
        <x:v>-32</x:v>
      </x:c>
      <x:c r="B58" s="40" t="n">
        <x:f>Model_Data!F58</x:f>
        <x:v>1151.7777827269733</x:v>
      </x:c>
      <x:c r="C58" s="40" t="n">
        <x:f>Model_Data!AC58</x:f>
        <x:v>1046.7471682988944</x:v>
      </x:c>
      <x:c r="D58" s="41"/>
      <x:c r="E58" s="40" t="n">
        <x:f>Model_Data!A58</x:f>
        <x:v>-32</x:v>
      </x:c>
      <x:c r="F58" s="40" t="n">
        <x:f>Model_Data!Y58</x:f>
        <x:v>209.25851735196042</x:v>
      </x:c>
      <x:c r="G58" s="40" t="n">
        <x:f>Model_Data!X58</x:f>
        <x:v>21.239416968730204</x:v>
      </x:c>
      <x:c r="H58" s="41"/>
      <x:c r="I58" s="40" t="n">
        <x:f>Model_Data!A58</x:f>
        <x:v>-32</x:v>
      </x:c>
      <x:c r="J58" s="40" t="n">
        <x:f>Model_Data!AI58</x:f>
        <x:v>-105.03061442807893</x:v>
      </x:c>
      <x:c r="K58" s="40" t="n">
        <x:f>Model_Data!AK58</x:f>
        <x:v>188.0191003832302</x:v>
      </x:c>
      <x:c r="L58" s="41"/>
      <x:c r="M58" s="40" t="n">
        <x:f>Model_Data!A58</x:f>
        <x:v>-32</x:v>
      </x:c>
      <x:c r="N58" s="40" t="n">
        <x:f>Model_Data!P58</x:f>
        <x:v>240.18715540550747</x:v>
      </x:c>
      <x:c r="O58" s="40" t="n">
        <x:f>Model_Data!AM58</x:f>
        <x:v>248.25290692851922</x:v>
      </x:c>
      <x:c r="P58" s="40" t="n">
        <x:f>Model_Data!Q58</x:f>
        <x:v>36.0641374482744</x:v>
      </x:c>
      <x:c r="Q58" s="40" t="n">
        <x:f>Model_Data!AN58</x:f>
        <x:v>37.275211250528415</x:v>
      </x:c>
      <x:c r="R58" s="41"/>
      <x:c r="S58" s="40" t="n">
        <x:f>Model_Data!A58</x:f>
        <x:v>-32</x:v>
      </x:c>
      <x:c r="T58" s="40" t="n">
        <x:f>Model_Data!B58-Inputs!$C$5</x:f>
        <x:v>1.137777777777785</x:v>
      </x:c>
    </x:row>
    <x:row r="59">
      <x:c r="A59" s="40" t="n">
        <x:f>Model_Data!A59</x:f>
        <x:v>-31.5</x:v>
      </x:c>
      <x:c r="B59" s="40" t="n">
        <x:f>Model_Data!F59</x:f>
        <x:v>1129.7555078402418</x:v>
      </x:c>
      <x:c r="C59" s="40" t="n">
        <x:f>Model_Data!AC59</x:f>
        <x:v>1023.6226098016097</x:v>
      </x:c>
      <x:c r="D59" s="41"/>
      <x:c r="E59" s="40" t="n">
        <x:f>Model_Data!A59</x:f>
        <x:v>-31.5</x:v>
      </x:c>
      <x:c r="F59" s="40" t="n">
        <x:f>Model_Data!Y59</x:f>
        <x:v>211.04196378675329</x:v>
      </x:c>
      <x:c r="G59" s="40" t="n">
        <x:f>Model_Data!X59</x:f>
        <x:v>21.07205493178826</x:v>
      </x:c>
      <x:c r="H59" s="41"/>
      <x:c r="I59" s="40" t="n">
        <x:f>Model_Data!A59</x:f>
        <x:v>-31.5</x:v>
      </x:c>
      <x:c r="J59" s="40" t="n">
        <x:f>Model_Data!AI59</x:f>
        <x:v>-106.1328980386321</x:v>
      </x:c>
      <x:c r="K59" s="40" t="n">
        <x:f>Model_Data!AK59</x:f>
        <x:v>189.969908854965</x:v>
      </x:c>
      <x:c r="L59" s="41"/>
      <x:c r="M59" s="40" t="n">
        <x:f>Model_Data!A59</x:f>
        <x:v>-31.5</x:v>
      </x:c>
      <x:c r="N59" s="40" t="n">
        <x:f>Model_Data!P59</x:f>
        <x:v>236.46811213899355</x:v>
      </x:c>
      <x:c r="O59" s="40" t="n">
        <x:f>Model_Data!AM59</x:f>
        <x:v>240.02462749513143</x:v>
      </x:c>
      <x:c r="P59" s="40" t="n">
        <x:f>Model_Data!Q59</x:f>
        <x:v>35.50572254339243</x:v>
      </x:c>
      <x:c r="Q59" s="40" t="n">
        <x:f>Model_Data!AN59</x:f>
        <x:v>36.039733858127846</x:v>
      </x:c>
      <x:c r="R59" s="41"/>
      <x:c r="S59" s="40" t="n">
        <x:f>Model_Data!A59</x:f>
        <x:v>-31.5</x:v>
      </x:c>
      <x:c r="T59" s="40" t="n">
        <x:f>Model_Data!B59-Inputs!$C$5</x:f>
        <x:v>1.1025000000000205</x:v>
      </x:c>
    </x:row>
    <x:row r="60">
      <x:c r="A60" s="40" t="n">
        <x:f>Model_Data!A60</x:f>
        <x:v>-31</x:v>
      </x:c>
      <x:c r="B60" s="40" t="n">
        <x:f>Model_Data!F60</x:f>
        <x:v>1108.0741842832733</x:v>
      </x:c>
      <x:c r="C60" s="40" t="n">
        <x:f>Model_Data!AC60</x:f>
        <x:v>1001.0774340425255</x:v>
      </x:c>
      <x:c r="D60" s="41"/>
      <x:c r="E60" s="40" t="n">
        <x:f>Model_Data!A60</x:f>
        <x:v>-31</x:v>
      </x:c>
      <x:c r="F60" s="40" t="n">
        <x:f>Model_Data!Y60</x:f>
        <x:v>211.45223082792285</x:v>
      </x:c>
      <x:c r="G60" s="40" t="n">
        <x:f>Model_Data!X60</x:f>
        <x:v>19.962682176885743</x:v>
      </x:c>
      <x:c r="H60" s="41"/>
      <x:c r="I60" s="40" t="n">
        <x:f>Model_Data!A60</x:f>
        <x:v>-31</x:v>
      </x:c>
      <x:c r="J60" s="40" t="n">
        <x:f>Model_Data!AI60</x:f>
        <x:v>-106.99675024074782</x:v>
      </x:c>
      <x:c r="K60" s="40" t="n">
        <x:f>Model_Data!AK60</x:f>
        <x:v>191.4895486510371</x:v>
      </x:c>
      <x:c r="L60" s="41"/>
      <x:c r="M60" s="40" t="n">
        <x:f>Model_Data!A60</x:f>
        <x:v>-31</x:v>
      </x:c>
      <x:c r="N60" s="40" t="n">
        <x:f>Model_Data!P60</x:f>
        <x:v>232.74748624656678</x:v>
      </x:c>
      <x:c r="O60" s="40" t="n">
        <x:f>Model_Data!AM60</x:f>
        <x:v>232.13089972796297</x:v>
      </x:c>
      <x:c r="P60" s="40" t="n">
        <x:f>Model_Data!Q60</x:f>
        <x:v>34.94707000699201</x:v>
      </x:c>
      <x:c r="Q60" s="40" t="n">
        <x:f>Model_Data!AN60</x:f>
        <x:v>34.85448944864309</x:v>
      </x:c>
      <x:c r="R60" s="41"/>
      <x:c r="S60" s="40" t="n">
        <x:f>Model_Data!A60</x:f>
        <x:v>-31</x:v>
      </x:c>
      <x:c r="T60" s="40" t="n">
        <x:f>Model_Data!B60-Inputs!$C$5</x:f>
        <x:v>1.067777777777792</x:v>
      </x:c>
    </x:row>
    <x:row r="61">
      <x:c r="A61" s="40" t="n">
        <x:f>Model_Data!A61</x:f>
        <x:v>-30.5</x:v>
      </x:c>
      <x:c r="B61" s="40" t="n">
        <x:f>Model_Data!F61</x:f>
        <x:v>1086.7340878249845</x:v>
      </x:c>
      <x:c r="C61" s="40" t="n">
        <x:f>Model_Data!AC61</x:f>
        <x:v>978.9950124828973</x:v>
      </x:c>
      <x:c r="D61" s="41"/>
      <x:c r="E61" s="40" t="n">
        <x:f>Model_Data!A61</x:f>
        <x:v>-30.5</x:v>
      </x:c>
      <x:c r="F61" s="40" t="n">
        <x:f>Model_Data!Y61</x:f>
        <x:v>210.61496182111875</x:v>
      </x:c>
      <x:c r="G61" s="40" t="n">
        <x:f>Model_Data!X61</x:f>
        <x:v>17.827855145550924</x:v>
      </x:c>
      <x:c r="H61" s="41"/>
      <x:c r="I61" s="40" t="n">
        <x:f>Model_Data!A61</x:f>
        <x:v>-30.5</x:v>
      </x:c>
      <x:c r="J61" s="40" t="n">
        <x:f>Model_Data!AI61</x:f>
        <x:v>-107.73907534208718</x:v>
      </x:c>
      <x:c r="K61" s="40" t="n">
        <x:f>Model_Data!AK61</x:f>
        <x:v>192.78710667556783</x:v>
      </x:c>
      <x:c r="L61" s="41"/>
      <x:c r="M61" s="40" t="n">
        <x:f>Model_Data!A61</x:f>
        <x:v>-30.5</x:v>
      </x:c>
      <x:c r="N61" s="40" t="n">
        <x:f>Model_Data!P61</x:f>
        <x:v>229.02530143144403</x:v>
      </x:c>
      <x:c r="O61" s="40" t="n">
        <x:f>Model_Data!AM61</x:f>
        <x:v>224.6889520172772</x:v>
      </x:c>
      <x:c r="P61" s="40" t="n">
        <x:f>Model_Data!Q61</x:f>
        <x:v>34.38818339811473</x:v>
      </x:c>
      <x:c r="Q61" s="40" t="n">
        <x:f>Model_Data!AN61</x:f>
        <x:v>33.737079882474056</x:v>
      </x:c>
      <x:c r="R61" s="41"/>
      <x:c r="S61" s="40" t="n">
        <x:f>Model_Data!A61</x:f>
        <x:v>-30.5</x:v>
      </x:c>
      <x:c r="T61" s="40" t="n">
        <x:f>Model_Data!B61-Inputs!$C$5</x:f>
        <x:v>1.0336111111110995</x:v>
      </x:c>
    </x:row>
    <x:row r="62">
      <x:c r="A62" s="40" t="n">
        <x:f>Model_Data!A62</x:f>
        <x:v>-30</x:v>
      </x:c>
      <x:c r="B62" s="40" t="n">
        <x:f>Model_Data!F62</x:f>
        <x:v>1065.7354900670628</x:v>
      </x:c>
      <x:c r="C62" s="40" t="n">
        <x:f>Model_Data!AC62</x:f>
        <x:v>957.2536372161586</x:v>
      </x:c>
      <x:c r="D62" s="41"/>
      <x:c r="E62" s="40" t="n">
        <x:f>Model_Data!A62</x:f>
        <x:v>-30</x:v>
      </x:c>
      <x:c r="F62" s="40" t="n">
        <x:f>Model_Data!Y62</x:f>
        <x:v>208.68994751406225</x:v>
      </x:c>
      <x:c r="G62" s="40" t="n">
        <x:f>Model_Data!X62</x:f>
        <x:v>14.609141058939281</x:v>
      </x:c>
      <x:c r="H62" s="41"/>
      <x:c r="I62" s="40" t="n">
        <x:f>Model_Data!A62</x:f>
        <x:v>-30</x:v>
      </x:c>
      <x:c r="J62" s="40" t="n">
        <x:f>Model_Data!AI62</x:f>
        <x:v>-108.48185285090415</x:v>
      </x:c>
      <x:c r="K62" s="40" t="n">
        <x:f>Model_Data!AK62</x:f>
        <x:v>194.08080645512297</x:v>
      </x:c>
      <x:c r="L62" s="41"/>
      <x:c r="M62" s="40" t="n">
        <x:f>Model_Data!A62</x:f>
        <x:v>-30</x:v>
      </x:c>
      <x:c r="N62" s="40" t="n">
        <x:f>Model_Data!P62</x:f>
        <x:v>225.30158146324067</x:v>
      </x:c>
      <x:c r="O62" s="40" t="n">
        <x:f>Model_Data!AM62</x:f>
        <x:v>217.7981483617259</x:v>
      </x:c>
      <x:c r="P62" s="40" t="n">
        <x:f>Model_Data!Q62</x:f>
        <x:v>33.82906628577187</x:v>
      </x:c>
      <x:c r="Q62" s="40" t="n">
        <x:f>Model_Data!AN62</x:f>
        <x:v>32.702424678937824</x:v>
      </x:c>
      <x:c r="R62" s="41"/>
      <x:c r="S62" s="40" t="n">
        <x:f>Model_Data!A62</x:f>
        <x:v>-30</x:v>
      </x:c>
      <x:c r="T62" s="40" t="n">
        <x:f>Model_Data!B62-Inputs!$C$5</x:f>
        <x:v>1</x:v>
      </x:c>
    </x:row>
    <x:row r="63">
      <x:c r="A63" s="40" t="n">
        <x:f>Model_Data!A63</x:f>
        <x:v>-29.5</x:v>
      </x:c>
      <x:c r="B63" s="40" t="n">
        <x:f>Model_Data!F63</x:f>
        <x:v>1045.0786584324383</x:v>
      </x:c>
      <x:c r="C63" s="40" t="n">
        <x:f>Model_Data!AC63</x:f>
        <x:v>935.731932246733</x:v>
      </x:c>
      <x:c r="D63" s="41"/>
      <x:c r="E63" s="40" t="n">
        <x:f>Model_Data!A63</x:f>
        <x:v>-29.5</x:v>
      </x:c>
      <x:c r="F63" s="40" t="n">
        <x:f>Model_Data!Y63</x:f>
        <x:v>205.86508277741686</x:v>
      </x:c>
      <x:c r="G63" s="40" t="n">
        <x:f>Model_Data!X63</x:f>
        <x:v>10.276748384578244</x:v>
      </x:c>
      <x:c r="H63" s="41"/>
      <x:c r="I63" s="40" t="n">
        <x:f>Model_Data!A63</x:f>
        <x:v>-29.5</x:v>
      </x:c>
      <x:c r="J63" s="40" t="n">
        <x:f>Model_Data!AI63</x:f>
        <x:v>-109.34672618570528</x:v>
      </x:c>
      <x:c r="K63" s="40" t="n">
        <x:f>Model_Data!AK63</x:f>
        <x:v>195.58833439283862</x:v>
      </x:c>
      <x:c r="L63" s="41"/>
      <x:c r="M63" s="40" t="n">
        <x:f>Model_Data!A63</x:f>
        <x:v>-29.5</x:v>
      </x:c>
      <x:c r="N63" s="40" t="n">
        <x:f>Model_Data!P63</x:f>
        <x:v>221.57635017703063</x:v>
      </x:c>
      <x:c r="O63" s="40" t="n">
        <x:f>Model_Data!AM63</x:f>
        <x:v>211.53768003105142</x:v>
      </x:c>
      <x:c r="P63" s="40" t="n">
        <x:f>Model_Data!Q63</x:f>
        <x:v>33.269722248803404</x:v>
      </x:c>
      <x:c r="Q63" s="40" t="n">
        <x:f>Model_Data!AN63</x:f>
        <x:v>31.762414419076794</x:v>
      </x:c>
      <x:c r="R63" s="41"/>
      <x:c r="S63" s="40" t="n">
        <x:f>Model_Data!A63</x:f>
        <x:v>-29.5</x:v>
      </x:c>
      <x:c r="T63" s="40" t="n">
        <x:f>Model_Data!B63-Inputs!$C$5</x:f>
        <x:v>0.9669444444444366</x:v>
      </x:c>
    </x:row>
    <x:row r="64">
      <x:c r="A64" s="40" t="n">
        <x:f>Model_Data!A64</x:f>
        <x:v>-29</x:v>
      </x:c>
      <x:c r="B64" s="40" t="n">
        <x:f>Model_Data!F64</x:f>
        <x:v>1024.763856153882</x:v>
      </x:c>
      <x:c r="C64" s="40" t="n">
        <x:f>Model_Data!AC64</x:f>
        <x:v>914.3141803165465</x:v>
      </x:c>
      <x:c r="D64" s="41"/>
      <x:c r="E64" s="40" t="n">
        <x:f>Model_Data!A64</x:f>
        <x:v>-29</x:v>
      </x:c>
      <x:c r="F64" s="40" t="n">
        <x:f>Model_Data!Y64</x:f>
        <x:v>202.34971984726246</x:v>
      </x:c>
      <x:c r="G64" s="40" t="n">
        <x:f>Model_Data!X64</x:f>
        <x:v>4.83240224150707</x:v>
      </x:c>
      <x:c r="H64" s="41"/>
      <x:c r="I64" s="40" t="n">
        <x:f>Model_Data!A64</x:f>
        <x:v>-29</x:v>
      </x:c>
      <x:c r="J64" s="40" t="n">
        <x:f>Model_Data!AI64</x:f>
        <x:v>-110.44967583733546</x:v>
      </x:c>
      <x:c r="K64" s="40" t="n">
        <x:f>Model_Data!AK64</x:f>
        <x:v>197.51731760575538</x:v>
      </x:c>
      <x:c r="L64" s="41"/>
      <x:c r="M64" s="40" t="n">
        <x:f>Model_Data!A64</x:f>
        <x:v>-29</x:v>
      </x:c>
      <x:c r="N64" s="40" t="n">
        <x:f>Model_Data!P64</x:f>
        <x:v>217.849631472401</x:v>
      </x:c>
      <x:c r="O64" s="40" t="n">
        <x:f>Model_Data!AM64</x:f>
        <x:v>205.96501578820607</x:v>
      </x:c>
      <x:c r="P64" s="40" t="n">
        <x:f>Model_Data!Q64</x:f>
        <x:v>32.71015487573589</x:v>
      </x:c>
      <x:c r="Q64" s="40" t="n">
        <x:f>Model_Data!AN64</x:f>
        <x:v>30.92567804627719</x:v>
      </x:c>
      <x:c r="R64" s="41"/>
      <x:c r="S64" s="40" t="n">
        <x:f>Model_Data!A64</x:f>
        <x:v>-29</x:v>
      </x:c>
      <x:c r="T64" s="40" t="n">
        <x:f>Model_Data!B64-Inputs!$C$5</x:f>
        <x:v>0.9344444444444662</x:v>
      </x:c>
    </x:row>
    <x:row r="65">
      <x:c r="A65" s="40" t="n">
        <x:f>Model_Data!A65</x:f>
        <x:v>-28.5</x:v>
      </x:c>
      <x:c r="B65" s="40" t="n">
        <x:f>Model_Data!F65</x:f>
        <x:v>1004.7913422626065</x:v>
      </x:c>
      <x:c r="C65" s="40" t="n">
        <x:f>Model_Data!AC65</x:f>
        <x:v>892.8953405645924</x:v>
      </x:c>
      <x:c r="D65" s="41"/>
      <x:c r="E65" s="40" t="n">
        <x:f>Model_Data!A65</x:f>
        <x:v>-28.5</x:v>
      </x:c>
      <x:c r="F65" s="40" t="n">
        <x:f>Model_Data!Y65</x:f>
        <x:v>198.36766021899913</x:v>
      </x:c>
      <x:c r="G65" s="40" t="n">
        <x:f>Model_Data!X65</x:f>
        <x:v>-1.6886943864876</x:v>
      </x:c>
      <x:c r="H65" s="41"/>
      <x:c r="I65" s="40" t="n">
        <x:f>Model_Data!A65</x:f>
        <x:v>-28.5</x:v>
      </x:c>
      <x:c r="J65" s="40" t="n">
        <x:f>Model_Data!AI65</x:f>
        <x:v>-111.89600169801406</x:v>
      </x:c>
      <x:c r="K65" s="40" t="n">
        <x:f>Model_Data!AK65</x:f>
        <x:v>200.05635460548675</x:v>
      </x:c>
      <x:c r="L65" s="41"/>
      <x:c r="M65" s="40" t="n">
        <x:f>Model_Data!A65</x:f>
        <x:v>-28.5</x:v>
      </x:c>
      <x:c r="N65" s="40" t="n">
        <x:f>Model_Data!P65</x:f>
        <x:v>214.12144931249978</x:v>
      </x:c>
      <x:c r="O65" s="40" t="n">
        <x:f>Model_Data!AM65</x:f>
        <x:v>201.11512051225873</x:v>
      </x:c>
      <x:c r="P65" s="40" t="n">
        <x:f>Model_Data!Q65</x:f>
        <x:v>32.15036776463961</x:v>
      </x:c>
      <x:c r="Q65" s="40" t="n">
        <x:f>Model_Data!AN65</x:f>
        <x:v>30.19746554238119</x:v>
      </x:c>
      <x:c r="R65" s="41"/>
      <x:c r="S65" s="40" t="n">
        <x:f>Model_Data!A65</x:f>
        <x:v>-28.5</x:v>
      </x:c>
      <x:c r="T65" s="40" t="n">
        <x:f>Model_Data!B65-Inputs!$C$5</x:f>
        <x:v>0.902499999999975</x:v>
      </x:c>
    </x:row>
    <x:row r="66">
      <x:c r="A66" s="40" t="n">
        <x:f>Model_Data!A66</x:f>
        <x:v>-28</x:v>
      </x:c>
      <x:c r="B66" s="40" t="n">
        <x:f>Model_Data!F66</x:f>
        <x:v>985.1613715773758</x:v>
      </x:c>
      <x:c r="C66" s="40" t="n">
        <x:f>Model_Data!AC66</x:f>
        <x:v>871.3855482836144</x:v>
      </x:c>
      <x:c r="D66" s="41"/>
      <x:c r="E66" s="40" t="n">
        <x:f>Model_Data!A66</x:f>
        <x:v>-28</x:v>
      </x:c>
      <x:c r="F66" s="40" t="n">
        <x:f>Model_Data!Y66</x:f>
        <x:v>194.15002565163093</x:v>
      </x:c>
      <x:c r="G66" s="40" t="n">
        <x:f>Model_Data!X66</x:f>
        <x:v>-9.21694579027682</x:v>
      </x:c>
      <x:c r="H66" s="41"/>
      <x:c r="I66" s="40" t="n">
        <x:f>Model_Data!A66</x:f>
        <x:v>-28</x:v>
      </x:c>
      <x:c r="J66" s="40" t="n">
        <x:f>Model_Data!AI66</x:f>
        <x:v>-113.77582329376139</x:v>
      </x:c>
      <x:c r="K66" s="40" t="n">
        <x:f>Model_Data!AK66</x:f>
        <x:v>203.36697144190774</x:v>
      </x:c>
      <x:c r="L66" s="41"/>
      <x:c r="M66" s="40" t="n">
        <x:f>Model_Data!A66</x:f>
        <x:v>-28</x:v>
      </x:c>
      <x:c r="N66" s="40" t="n">
        <x:f>Model_Data!P66</x:f>
        <x:v>210.39182772307828</x:v>
      </x:c>
      <x:c r="O66" s="40" t="n">
        <x:f>Model_Data!AM66</x:f>
        <x:v>197.0004239249647</x:v>
      </x:c>
      <x:c r="P66" s="40" t="n">
        <x:f>Model_Data!Q66</x:f>
        <x:v>31.59036452298473</x:v>
      </x:c>
      <x:c r="Q66" s="40" t="n">
        <x:f>Model_Data!AN66</x:f>
        <x:v>29.579643231976686</x:v>
      </x:c>
      <x:c r="R66" s="41"/>
      <x:c r="S66" s="40" t="n">
        <x:f>Model_Data!A66</x:f>
        <x:v>-28</x:v>
      </x:c>
      <x:c r="T66" s="40" t="n">
        <x:f>Model_Data!B66-Inputs!$C$5</x:f>
        <x:v>0.8711111111111336</x:v>
      </x:c>
    </x:row>
    <x:row r="67">
      <x:c r="A67" s="40" t="n">
        <x:f>Model_Data!A67</x:f>
        <x:v>-27.5</x:v>
      </x:c>
      <x:c r="B67" s="40" t="n">
        <x:f>Model_Data!F67</x:f>
        <x:v>965.8741946934875</x:v>
      </x:c>
      <x:c r="C67" s="40" t="n">
        <x:f>Model_Data!AC67</x:f>
        <x:v>849.7139127716368</x:v>
      </x:c>
      <x:c r="D67" s="41"/>
      <x:c r="E67" s="40" t="n">
        <x:f>Model_Data!A67</x:f>
        <x:v>-27.5</x:v>
      </x:c>
      <x:c r="F67" s="40" t="n">
        <x:f>Model_Data!Y67</x:f>
        <x:v>189.9282385472849</x:v>
      </x:c>
      <x:c r="G67" s="40" t="n">
        <x:f>Model_Data!X67</x:f>
        <x:v>-17.64859312704776</x:v>
      </x:c>
      <x:c r="H67" s="41"/>
      <x:c r="I67" s="40" t="n">
        <x:f>Model_Data!A67</x:f>
        <x:v>-27.5</x:v>
      </x:c>
      <x:c r="J67" s="40" t="n">
        <x:f>Model_Data!AI67</x:f>
        <x:v>-116.1602819218507</x:v>
      </x:c>
      <x:c r="K67" s="40" t="n">
        <x:f>Model_Data!AK67</x:f>
        <x:v>207.57683167433265</x:v>
      </x:c>
      <x:c r="L67" s="41"/>
      <x:c r="M67" s="40" t="n">
        <x:f>Model_Data!A67</x:f>
        <x:v>-27.5</x:v>
      </x:c>
      <x:c r="N67" s="40" t="n">
        <x:f>Model_Data!P67</x:f>
        <x:v>206.66079079152723</x:v>
      </x:c>
      <x:c r="O67" s="40" t="n">
        <x:f>Model_Data!AM67</x:f>
        <x:v>193.61149536234734</x:v>
      </x:c>
      <x:c r="P67" s="40" t="n">
        <x:f>Model_Data!Q67</x:f>
        <x:v>31.030148767496584</x:v>
      </x:c>
      <x:c r="Q67" s="40" t="n">
        <x:f>Model_Data!AN67</x:f>
        <x:v>29.070795099451555</x:v>
      </x:c>
      <x:c r="R67" s="41"/>
      <x:c r="S67" s="40" t="n">
        <x:f>Model_Data!A67</x:f>
        <x:v>-27.5</x:v>
      </x:c>
      <x:c r="T67" s="40" t="n">
        <x:f>Model_Data!B67-Inputs!$C$5</x:f>
        <x:v>0.8402777777777715</x:v>
      </x:c>
    </x:row>
    <x:row r="68">
      <x:c r="A68" s="40" t="n">
        <x:f>Model_Data!A68</x:f>
        <x:v>-27</x:v>
      </x:c>
      <x:c r="B68" s="40" t="n">
        <x:f>Model_Data!F68</x:f>
        <x:v>946.9300579721395</x:v>
      </x:c>
      <x:c r="C68" s="40" t="n">
        <x:f>Model_Data!AC68</x:f>
        <x:v>827.8314616224603</x:v>
      </x:c>
      <x:c r="D68" s="41"/>
      <x:c r="E68" s="40" t="n">
        <x:f>Model_Data!A68</x:f>
        <x:v>-27</x:v>
      </x:c>
      <x:c r="F68" s="40" t="n">
        <x:f>Model_Data!Y68</x:f>
        <x:v>185.92732416766825</x:v>
      </x:c>
      <x:c r="G68" s="40" t="n">
        <x:f>Model_Data!X68</x:f>
        <x:v>-26.847146556781</x:v>
      </x:c>
      <x:c r="H68" s="41"/>
      <x:c r="I68" s="40" t="n">
        <x:f>Model_Data!A68</x:f>
        <x:v>-27</x:v>
      </x:c>
      <x:c r="J68" s="40" t="n">
        <x:f>Model_Data!AI68</x:f>
        <x:v>-119.09859634967916</x:v>
      </x:c>
      <x:c r="K68" s="40" t="n">
        <x:f>Model_Data!AK68</x:f>
        <x:v>212.77447072444926</x:v>
      </x:c>
      <x:c r="L68" s="41"/>
      <x:c r="M68" s="40" t="n">
        <x:f>Model_Data!A68</x:f>
        <x:v>-27</x:v>
      </x:c>
      <x:c r="N68" s="40" t="n">
        <x:f>Model_Data!P68</x:f>
        <x:v>202.92836266590731</x:v>
      </x:c>
      <x:c r="O68" s="40" t="n">
        <x:f>Model_Data!AM68</x:f>
        <x:v>190.918358077397</x:v>
      </x:c>
      <x:c r="P68" s="40" t="n">
        <x:f>Model_Data!Q68</x:f>
        <x:v>30.46972412401011</x:v>
      </x:c>
      <x:c r="Q68" s="40" t="n">
        <x:f>Model_Data!AN68</x:f>
        <x:v>28.66642013174129</x:v>
      </x:c>
      <x:c r="R68" s="41"/>
      <x:c r="S68" s="40" t="n">
        <x:f>Model_Data!A68</x:f>
        <x:v>-27</x:v>
      </x:c>
      <x:c r="T68" s="40" t="n">
        <x:f>Model_Data!B68-Inputs!$C$5</x:f>
        <x:v>0.8100000000000023</x:v>
      </x:c>
    </x:row>
    <x:row r="69">
      <x:c r="A69" s="40" t="n">
        <x:f>Model_Data!A69</x:f>
        <x:v>-26.5</x:v>
      </x:c>
      <x:c r="B69" s="40" t="n">
        <x:f>Model_Data!F69</x:f>
        <x:v>928.3292035296988</x:v>
      </x:c>
      <x:c r="C69" s="40" t="n">
        <x:f>Model_Data!AC69</x:f>
        <x:v>805.7131182830402</x:v>
      </x:c>
      <x:c r="D69" s="41"/>
      <x:c r="E69" s="40" t="n">
        <x:f>Model_Data!A69</x:f>
        <x:v>-26.5</x:v>
      </x:c>
      <x:c r="F69" s="40" t="n">
        <x:f>Model_Data!Y69</x:f>
        <x:v>182.35972290918212</x:v>
      </x:c>
      <x:c r="G69" s="40" t="n">
        <x:f>Model_Data!X69</x:f>
        <x:v>-36.64603351833771</x:v>
      </x:c>
      <x:c r="H69" s="41"/>
      <x:c r="I69" s="40" t="n">
        <x:f>Model_Data!A69</x:f>
        <x:v>-26.5</x:v>
      </x:c>
      <x:c r="J69" s="40" t="n">
        <x:f>Model_Data!AI69</x:f>
        <x:v>-122.6160852466586</x:v>
      </x:c>
      <x:c r="K69" s="40" t="n">
        <x:f>Model_Data!AK69</x:f>
        <x:v>219.00575642751983</x:v>
      </x:c>
      <x:c r="L69" s="41"/>
      <x:c r="M69" s="40" t="n">
        <x:f>Model_Data!A69</x:f>
        <x:v>-26.5</x:v>
      </x:c>
      <x:c r="N69" s="40" t="n">
        <x:f>Model_Data!P69</x:f>
        <x:v>199.1945675539738</x:v>
      </x:c>
      <x:c r="O69" s="40" t="n">
        <x:f>Model_Data!AM69</x:f>
        <x:v>188.87235814336236</x:v>
      </x:c>
      <x:c r="P69" s="40" t="n">
        <x:f>Model_Data!Q69</x:f>
        <x:v>29.909094227323397</x:v>
      </x:c>
      <x:c r="Q69" s="40" t="n">
        <x:f>Model_Data!AN69</x:f>
        <x:v>28.359212934438794</x:v>
      </x:c>
      <x:c r="R69" s="41"/>
      <x:c r="S69" s="40" t="n">
        <x:f>Model_Data!A69</x:f>
        <x:v>-26.5</x:v>
      </x:c>
      <x:c r="T69" s="40" t="n">
        <x:f>Model_Data!B69-Inputs!$C$5</x:f>
        <x:v>0.7802777777777692</x:v>
      </x:c>
    </x:row>
    <x:row r="70">
      <x:c r="A70" s="40" t="n">
        <x:f>Model_Data!A70</x:f>
        <x:v>-26</x:v>
      </x:c>
      <x:c r="B70" s="40" t="n">
        <x:f>Model_Data!F70</x:f>
        <x:v>910.071869227484</x:v>
      </x:c>
      <x:c r="C70" s="40" t="n">
        <x:f>Model_Data!AC70</x:f>
        <x:v>783.3586426025778</x:v>
      </x:c>
      <x:c r="D70" s="41"/>
      <x:c r="E70" s="40" t="n">
        <x:f>Model_Data!A70</x:f>
        <x:v>-26</x:v>
      </x:c>
      <x:c r="F70" s="40" t="n">
        <x:f>Model_Data!Y70</x:f>
        <x:v>179.4197715487386</x:v>
      </x:c>
      <x:c r="G70" s="40" t="n">
        <x:f>Model_Data!X70</x:f>
        <x:v>-46.85242946149378</x:v>
      </x:c>
      <x:c r="H70" s="41"/>
      <x:c r="I70" s="40" t="n">
        <x:f>Model_Data!A70</x:f>
        <x:v>-26</x:v>
      </x:c>
      <x:c r="J70" s="40" t="n">
        <x:f>Model_Data!AI70</x:f>
        <x:v>-126.71322662490616</x:v>
      </x:c>
      <x:c r="K70" s="40" t="n">
        <x:f>Model_Data!AK70</x:f>
        <x:v>226.27220101023238</x:v>
      </x:c>
      <x:c r="L70" s="41"/>
      <x:c r="M70" s="40" t="n">
        <x:f>Model_Data!A70</x:f>
        <x:v>-26</x:v>
      </x:c>
      <x:c r="N70" s="40" t="n">
        <x:f>Model_Data!P70</x:f>
        <x:v>195.4594297221957</x:v>
      </x:c>
      <x:c r="O70" s="40" t="n">
        <x:f>Model_Data!AM70</x:f>
        <x:v>187.40848914148955</x:v>
      </x:c>
      <x:c r="P70" s="40" t="n">
        <x:f>Model_Data!Q70</x:f>
        <x:v>29.348262721050407</x:v>
      </x:c>
      <x:c r="Q70" s="40" t="n">
        <x:f>Model_Data!AN70</x:f>
        <x:v>28.139412784007444</x:v>
      </x:c>
      <x:c r="R70" s="41"/>
      <x:c r="S70" s="40" t="n">
        <x:f>Model_Data!A70</x:f>
        <x:v>-26</x:v>
      </x:c>
      <x:c r="T70" s="40" t="n">
        <x:f>Model_Data!B70-Inputs!$C$5</x:f>
        <x:v>0.751111111111129</x:v>
      </x:c>
    </x:row>
    <x:row r="71">
      <x:c r="A71" s="40" t="n">
        <x:f>Model_Data!A71</x:f>
        <x:v>-25.5</x:v>
      </x:c>
      <x:c r="B71" s="40" t="n">
        <x:f>Model_Data!F71</x:f>
        <x:v>892.1582886614168</x:v>
      </x:c>
      <x:c r="C71" s="40" t="n">
        <x:f>Model_Data!AC71</x:f>
        <x:v>760.7925095151885</x:v>
      </x:c>
      <x:c r="D71" s="41"/>
      <x:c r="E71" s="40" t="n">
        <x:f>Model_Data!A71</x:f>
        <x:v>-25.5</x:v>
      </x:c>
      <x:c r="F71" s="40" t="n">
        <x:f>Model_Data!Y71</x:f>
        <x:v>177.27897948586016</x:v>
      </x:c>
      <x:c r="G71" s="40" t="n">
        <x:f>Model_Data!X71</x:f>
        <x:v>-57.25218918947176</x:v>
      </x:c>
      <x:c r="H71" s="41"/>
      <x:c r="I71" s="40" t="n">
        <x:f>Model_Data!A71</x:f>
        <x:v>-25.5</x:v>
      </x:c>
      <x:c r="J71" s="40" t="n">
        <x:f>Model_Data!AI71</x:f>
        <x:v>-131.3657791462283</x:v>
      </x:c>
      <x:c r="K71" s="40" t="n">
        <x:f>Model_Data!AK71</x:f>
        <x:v>234.5311686753319</x:v>
      </x:c>
      <x:c r="L71" s="41"/>
      <x:c r="M71" s="40" t="n">
        <x:f>Model_Data!A71</x:f>
        <x:v>-25.5</x:v>
      </x:c>
      <x:c r="N71" s="40" t="n">
        <x:f>Model_Data!P71</x:f>
        <x:v>191.72297349476912</x:v>
      </x:c>
      <x:c r="O71" s="40" t="n">
        <x:f>Model_Data!AM71</x:f>
        <x:v>186.4480647851451</x:v>
      </x:c>
      <x:c r="P71" s="40" t="n">
        <x:f>Model_Data!Q71</x:f>
        <x:v>28.787233257472842</x:v>
      </x:c>
      <x:c r="Q71" s="40" t="n">
        <x:f>Model_Data!AN71</x:f>
        <x:v>27.995204922694462</x:v>
      </x:c>
      <x:c r="R71" s="41"/>
      <x:c r="S71" s="40" t="n">
        <x:f>Model_Data!A71</x:f>
        <x:v>-25.5</x:v>
      </x:c>
      <x:c r="T71" s="40" t="n">
        <x:f>Model_Data!B71-Inputs!$C$5</x:f>
        <x:v>0.722500000000025</x:v>
      </x:c>
    </x:row>
    <x:row r="72">
      <x:c r="A72" s="40" t="n">
        <x:f>Model_Data!A72</x:f>
        <x:v>-25</x:v>
      </x:c>
      <x:c r="B72" s="40" t="n">
        <x:f>Model_Data!F72</x:f>
        <x:v>874.588691152092</x:v>
      </x:c>
      <x:c r="C72" s="40" t="n">
        <x:f>Model_Data!AC72</x:f>
        <x:v>738.0627469335892</x:v>
      </x:c>
      <x:c r="D72" s="41"/>
      <x:c r="E72" s="40" t="n">
        <x:f>Model_Data!A72</x:f>
        <x:v>-25</x:v>
      </x:c>
      <x:c r="F72" s="40" t="n">
        <x:f>Model_Data!Y72</x:f>
        <x:v>176.08219109038637</x:v>
      </x:c>
      <x:c r="G72" s="40" t="n">
        <x:f>Model_Data!X72</x:f>
        <x:v>-67.61574992822945</x:v>
      </x:c>
      <x:c r="H72" s="41"/>
      <x:c r="I72" s="40" t="n">
        <x:f>Model_Data!A72</x:f>
        <x:v>-25</x:v>
      </x:c>
      <x:c r="J72" s="40" t="n">
        <x:f>Model_Data!AI72</x:f>
        <x:v>-136.5259442185028</x:v>
      </x:c>
      <x:c r="K72" s="40" t="n">
        <x:f>Model_Data!AK72</x:f>
        <x:v>243.69794101861584</x:v>
      </x:c>
      <x:c r="L72" s="41"/>
      <x:c r="M72" s="40" t="n">
        <x:f>Model_Data!A72</x:f>
        <x:v>-25</x:v>
      </x:c>
      <x:c r="N72" s="40" t="n">
        <x:f>Model_Data!P72</x:f>
        <x:v>187.98522325262562</x:v>
      </x:c>
      <x:c r="O72" s="40" t="n">
        <x:f>Model_Data!AM72</x:f>
        <x:v>185.90162749778756</x:v>
      </x:c>
      <x:c r="P72" s="40" t="n">
        <x:f>Model_Data!Q72</x:f>
        <x:v>28.226009497391235</x:v>
      </x:c>
      <x:c r="Q72" s="40" t="n">
        <x:f>Model_Data!AN72</x:f>
        <x:v>27.913157281950085</x:v>
      </x:c>
      <x:c r="R72" s="41"/>
      <x:c r="S72" s="40" t="n">
        <x:f>Model_Data!A72</x:f>
        <x:v>-25</x:v>
      </x:c>
      <x:c r="T72" s="40" t="n">
        <x:f>Model_Data!B72-Inputs!$C$5</x:f>
        <x:v>0.6944444444444571</x:v>
      </x:c>
    </x:row>
    <x:row r="73">
      <x:c r="A73" s="40" t="n">
        <x:f>Model_Data!A73</x:f>
        <x:v>-24.5</x:v>
      </x:c>
      <x:c r="B73" s="40" t="n">
        <x:f>Model_Data!F73</x:f>
        <x:v>857.3633017347807</x:v>
      </x:c>
      <x:c r="C73" s="40" t="n">
        <x:f>Model_Data!AC73</x:f>
        <x:v>715.2387983935339</x:v>
      </x:c>
      <x:c r="D73" s="41"/>
      <x:c r="E73" s="40" t="n">
        <x:f>Model_Data!A73</x:f>
        <x:v>-24.5</x:v>
      </x:c>
      <x:c r="F73" s="40" t="n">
        <x:f>Model_Data!Y73</x:f>
        <x:v>175.94468984921437</x:v>
      </x:c>
      <x:c r="G73" s="40" t="n">
        <x:f>Model_Data!X73</x:f>
        <x:v>-77.70483335550017</x:v>
      </x:c>
      <x:c r="H73" s="41"/>
      <x:c r="I73" s="40" t="n">
        <x:f>Model_Data!A73</x:f>
        <x:v>-24.5</x:v>
      </x:c>
      <x:c r="J73" s="40" t="n">
        <x:f>Model_Data!AI73</x:f>
        <x:v>-142.12450334124685</x:v>
      </x:c>
      <x:c r="K73" s="40" t="n">
        <x:f>Model_Data!AK73</x:f>
        <x:v>253.64952320471454</x:v>
      </x:c>
      <x:c r="L73" s="41"/>
      <x:c r="M73" s="40" t="n">
        <x:f>Model_Data!A73</x:f>
        <x:v>-24.5</x:v>
      </x:c>
      <x:c r="N73" s="40" t="n">
        <x:f>Model_Data!P73</x:f>
        <x:v>184.2462034324345</x:v>
      </x:c>
      <x:c r="O73" s="40" t="n">
        <x:f>Model_Data!AM73</x:f>
        <x:v>185.67198157688836</x:v>
      </x:c>
      <x:c r="P73" s="40" t="n">
        <x:f>Model_Data!Q73</x:f>
        <x:v>27.664595109975153</x:v>
      </x:c>
      <x:c r="Q73" s="40" t="n">
        <x:f>Model_Data!AN73</x:f>
        <x:v>27.8786759124457</x:v>
      </x:c>
      <x:c r="R73" s="41"/>
      <x:c r="S73" s="40" t="n">
        <x:f>Model_Data!A73</x:f>
        <x:v>-24.5</x:v>
      </x:c>
      <x:c r="T73" s="40" t="n">
        <x:f>Model_Data!B73-Inputs!$C$5</x:f>
        <x:v>0.6669444444444252</x:v>
      </x:c>
    </x:row>
    <x:row r="74">
      <x:c r="A74" s="40" t="n">
        <x:f>Model_Data!A74</x:f>
        <x:v>-24</x:v>
      </x:c>
      <x:c r="B74" s="40" t="n">
        <x:f>Model_Data!F74</x:f>
        <x:v>840.482341149787</x:v>
      </x:c>
      <x:c r="C74" s="40" t="n">
        <x:f>Model_Data!AC74</x:f>
        <x:v>692.4085170598172</x:v>
      </x:c>
      <x:c r="D74" s="41"/>
      <x:c r="E74" s="40" t="n">
        <x:f>Model_Data!A74</x:f>
        <x:v>-24</x:v>
      </x:c>
      <x:c r="F74" s="40" t="n">
        <x:f>Model_Data!Y74</x:f>
        <x:v>176.9502655362901</x:v>
      </x:c>
      <x:c r="G74" s="40" t="n">
        <x:f>Model_Data!X74</x:f>
        <x:v>-87.27973506243531</x:v>
      </x:c>
      <x:c r="H74" s="41"/>
      <x:c r="I74" s="40" t="n">
        <x:f>Model_Data!A74</x:f>
        <x:v>-24</x:v>
      </x:c>
      <x:c r="J74" s="40" t="n">
        <x:f>Model_Data!AI74</x:f>
        <x:v>-148.07382408996978</x:v>
      </x:c>
      <x:c r="K74" s="40" t="n">
        <x:f>Model_Data!AK74</x:f>
        <x:v>264.2300005987254</x:v>
      </x:c>
      <x:c r="L74" s="41"/>
      <x:c r="M74" s="40" t="n">
        <x:f>Model_Data!A74</x:f>
        <x:v>-24</x:v>
      </x:c>
      <x:c r="N74" s="40" t="n">
        <x:f>Model_Data!P74</x:f>
        <x:v>180.5059385256004</x:v>
      </x:c>
      <x:c r="O74" s="40" t="n">
        <x:f>Model_Data!AM74</x:f>
        <x:v>185.65724458367185</x:v>
      </x:c>
      <x:c r="P74" s="40" t="n">
        <x:f>Model_Data!Q74</x:f>
        <x:v>27.102993772612678</x:v>
      </x:c>
      <x:c r="Q74" s="40" t="n">
        <x:f>Model_Data!AN74</x:f>
        <x:v>27.876463150701483</x:v>
      </x:c>
      <x:c r="R74" s="41"/>
      <x:c r="S74" s="40" t="n">
        <x:f>Model_Data!A74</x:f>
        <x:v>-24</x:v>
      </x:c>
      <x:c r="T74" s="40" t="n">
        <x:f>Model_Data!B74-Inputs!$C$5</x:f>
        <x:v>0.6399999999999864</x:v>
      </x:c>
    </x:row>
    <x:row r="75">
      <x:c r="A75" s="40" t="n">
        <x:f>Model_Data!A75</x:f>
        <x:v>-23.5</x:v>
      </x:c>
      <x:c r="B75" s="40" t="n">
        <x:f>Model_Data!F75</x:f>
        <x:v>823.9460258329628</x:v>
      </x:c>
      <x:c r="C75" s="40" t="n">
        <x:f>Model_Data!AC75</x:f>
        <x:v>669.6744336314046</x:v>
      </x:c>
      <x:c r="D75" s="41"/>
      <x:c r="E75" s="40" t="n">
        <x:f>Model_Data!A75</x:f>
        <x:v>-23.5</x:v>
      </x:c>
      <x:c r="F75" s="40" t="n">
        <x:f>Model_Data!Y75</x:f>
        <x:v>179.1502334099341</x:v>
      </x:c>
      <x:c r="G75" s="40" t="n">
        <x:f>Model_Data!X75</x:f>
        <x:v>-96.10695810064355</x:v>
      </x:c>
      <x:c r="H75" s="41"/>
      <x:c r="I75" s="40" t="n">
        <x:f>Model_Data!A75</x:f>
        <x:v>-23.5</x:v>
      </x:c>
      <x:c r="J75" s="40" t="n">
        <x:f>Model_Data!AI75</x:f>
        <x:v>-154.2715922015583</x:v>
      </x:c>
      <x:c r="K75" s="40" t="n">
        <x:f>Model_Data!AK75</x:f>
        <x:v>275.2571915105776</x:v>
      </x:c>
      <x:c r="L75" s="41"/>
      <x:c r="M75" s="40" t="n">
        <x:f>Model_Data!A75</x:f>
        <x:v>-23.5</x:v>
      </x:c>
      <x:c r="N75" s="40" t="n">
        <x:f>Model_Data!P75</x:f>
        <x:v>176.76445307725538</x:v>
      </x:c>
      <x:c r="O75" s="40" t="n">
        <x:f>Model_Data!AM75</x:f>
        <x:v>185.75381945720437</x:v>
      </x:c>
      <x:c r="P75" s="40" t="n">
        <x:f>Model_Data!Q75</x:f>
        <x:v>26.54120917075907</x:v>
      </x:c>
      <x:c r="Q75" s="40" t="n">
        <x:f>Model_Data!AN75</x:f>
        <x:v>27.890963882463122</x:v>
      </x:c>
      <x:c r="R75" s="41"/>
      <x:c r="S75" s="40" t="n">
        <x:f>Model_Data!A75</x:f>
        <x:v>-23.5</x:v>
      </x:c>
      <x:c r="T75" s="40" t="n">
        <x:f>Model_Data!B75-Inputs!$C$5</x:f>
        <x:v>0.6136111111110836</x:v>
      </x:c>
    </x:row>
    <x:row r="76">
      <x:c r="A76" s="40" t="n">
        <x:f>Model_Data!A76</x:f>
        <x:v>-23</x:v>
      </x:c>
      <x:c r="B76" s="40" t="n">
        <x:f>Model_Data!F76</x:f>
        <x:v>807.7545679062877</x:v>
      </x:c>
      <x:c r="C76" s="40" t="n">
        <x:f>Model_Data!AC76</x:f>
        <x:v>647.149469955302</x:v>
      </x:c>
      <x:c r="D76" s="41"/>
      <x:c r="E76" s="40" t="n">
        <x:f>Model_Data!A76</x:f>
        <x:v>-23</x:v>
      </x:c>
      <x:c r="F76" s="40" t="n">
        <x:f>Model_Data!Y76</x:f>
        <x:v>182.56336557830508</x:v>
      </x:c>
      <x:c r="G76" s="40" t="n">
        <x:f>Model_Data!X76</x:f>
        <x:v>-103.9669239699354</x:v>
      </x:c>
      <x:c r="H76" s="41"/>
      <x:c r="I76" s="40" t="n">
        <x:f>Model_Data!A76</x:f>
        <x:v>-23</x:v>
      </x:c>
      <x:c r="J76" s="40" t="n">
        <x:f>Model_Data!AI76</x:f>
        <x:v>-160.60509795098562</x:v>
      </x:c>
      <x:c r="K76" s="40" t="n">
        <x:f>Model_Data!AK76</x:f>
        <x:v>286.5302895482405</x:v>
      </x:c>
      <x:c r="L76" s="41"/>
      <x:c r="M76" s="40" t="n">
        <x:f>Model_Data!A76</x:f>
        <x:v>-23</x:v>
      </x:c>
      <x:c r="N76" s="40" t="n">
        <x:f>Model_Data!P76</x:f>
        <x:v>173.02177168524585</x:v>
      </x:c>
      <x:c r="O76" s="40" t="n">
        <x:f>Model_Data!AM76</x:f>
        <x:v>185.8592018854324</x:v>
      </x:c>
      <x:c r="P76" s="40" t="n">
        <x:f>Model_Data!Q76</x:f>
        <x:v>25.979244997784665</x:v>
      </x:c>
      <x:c r="Q76" s="40" t="n">
        <x:f>Model_Data!AN76</x:f>
        <x:v>27.90678706988475</x:v>
      </x:c>
      <x:c r="R76" s="41"/>
      <x:c r="S76" s="40" t="n">
        <x:f>Model_Data!A76</x:f>
        <x:v>-23</x:v>
      </x:c>
      <x:c r="T76" s="40" t="n">
        <x:f>Model_Data!B76-Inputs!$C$5</x:f>
        <x:v>0.5877777777777737</x:v>
      </x:c>
    </x:row>
    <x:row r="77">
      <x:c r="A77" s="40" t="n">
        <x:f>Model_Data!A77</x:f>
        <x:v>-22.5</x:v>
      </x:c>
      <x:c r="B77" s="40" t="n">
        <x:f>Model_Data!F77</x:f>
        <x:v>791.9081751687987</x:v>
      </x:c>
      <x:c r="C77" s="40" t="n">
        <x:f>Model_Data!AC77</x:f>
        <x:v>624.9522915714778</x:v>
      </x:c>
      <x:c r="D77" s="41"/>
      <x:c r="E77" s="40" t="n">
        <x:f>Model_Data!A77</x:f>
        <x:v>-22.5</x:v>
      </x:c>
      <x:c r="F77" s="40" t="n">
        <x:f>Model_Data!Y77</x:f>
        <x:v>187.17667004128123</x:v>
      </x:c>
      <x:c r="G77" s="40" t="n">
        <x:f>Model_Data!X77</x:f>
        <x:v>-110.66148089996145</x:v>
      </x:c>
      <x:c r="H77" s="41"/>
      <x:c r="I77" s="40" t="n">
        <x:f>Model_Data!A77</x:f>
        <x:v>-22.5</x:v>
      </x:c>
      <x:c r="J77" s="40" t="n">
        <x:f>Model_Data!AI77</x:f>
        <x:v>-166.95588359732096</x:v>
      </x:c>
      <x:c r="K77" s="40" t="n">
        <x:f>Model_Data!AK77</x:f>
        <x:v>297.8381509412427</x:v>
      </x:c>
      <x:c r="L77" s="41"/>
      <x:c r="M77" s="40" t="n">
        <x:f>Model_Data!A77</x:f>
        <x:v>-22.5</x:v>
      </x:c>
      <x:c r="N77" s="40" t="n">
        <x:f>Model_Data!P77</x:f>
        <x:v>169.27791899911472</x:v>
      </x:c>
      <x:c r="O77" s="40" t="n">
        <x:f>Model_Data!AM77</x:f>
        <x:v>185.87455188680906</x:v>
      </x:c>
      <x:c r="P77" s="40" t="n">
        <x:f>Model_Data!Q77</x:f>
        <x:v>25.417104954822033</x:v>
      </x:c>
      <x:c r="Q77" s="40" t="n">
        <x:f>Model_Data!AN77</x:f>
        <x:v>27.90909187489626</x:v>
      </x:c>
      <x:c r="R77" s="41"/>
      <x:c r="S77" s="40" t="n">
        <x:f>Model_Data!A77</x:f>
        <x:v>-22.5</x:v>
      </x:c>
      <x:c r="T77" s="40" t="n">
        <x:f>Model_Data!B77-Inputs!$C$5</x:f>
        <x:v>0.5625</x:v>
      </x:c>
    </x:row>
    <x:row r="78">
      <x:c r="A78" s="40" t="n">
        <x:f>Model_Data!A78</x:f>
        <x:v>-22</x:v>
      </x:c>
      <x:c r="B78" s="40" t="n">
        <x:f>Model_Data!F78</x:f>
        <x:v>776.4070510875223</x:v>
      </x:c>
      <x:c r="C78" s="40" t="n">
        <x:f>Model_Data!AC78</x:f>
        <x:v>603.2025051064813</x:v>
      </x:c>
      <x:c r="D78" s="41"/>
      <x:c r="E78" s="40" t="n">
        <x:f>Model_Data!A78</x:f>
        <x:v>-22</x:v>
      </x:c>
      <x:c r="F78" s="40" t="n">
        <x:f>Model_Data!Y78</x:f>
        <x:v>192.94693312894867</x:v>
      </x:c>
      <x:c r="G78" s="40" t="n">
        <x:f>Model_Data!X78</x:f>
        <x:v>-116.02092647162435</x:v>
      </x:c>
      <x:c r="H78" s="41"/>
      <x:c r="I78" s="40" t="n">
        <x:f>Model_Data!A78</x:f>
        <x:v>-22</x:v>
      </x:c>
      <x:c r="J78" s="40" t="n">
        <x:f>Model_Data!AI78</x:f>
        <x:v>-173.20454598104095</x:v>
      </x:c>
      <x:c r="K78" s="40" t="n">
        <x:f>Model_Data!AK78</x:f>
        <x:v>308.96785960057304</x:v>
      </x:c>
      <x:c r="L78" s="41"/>
      <x:c r="M78" s="40" t="n">
        <x:f>Model_Data!A78</x:f>
        <x:v>-22</x:v>
      </x:c>
      <x:c r="N78" s="40" t="n">
        <x:f>Model_Data!P78</x:f>
        <x:v>165.5329197190784</x:v>
      </x:c>
      <x:c r="O78" s="40" t="n">
        <x:f>Model_Data!AM78</x:f>
        <x:v>185.70697451286833</x:v>
      </x:c>
      <x:c r="P78" s="40" t="n">
        <x:f>Model_Data!Q78</x:f>
        <x:v>24.854792750612372</x:v>
      </x:c>
      <x:c r="Q78" s="40" t="n">
        <x:f>Model_Data!AN78</x:f>
        <x:v>27.88393010703729</x:v>
      </x:c>
      <x:c r="R78" s="41"/>
      <x:c r="S78" s="40" t="n">
        <x:f>Model_Data!A78</x:f>
        <x:v>-22</x:v>
      </x:c>
      <x:c r="T78" s="40" t="n">
        <x:f>Model_Data!B78-Inputs!$C$5</x:f>
        <x:v>0.5377777777777624</x:v>
      </x:c>
    </x:row>
    <x:row r="79">
      <x:c r="A79" s="40" t="n">
        <x:f>Model_Data!A79</x:f>
        <x:v>-21.5</x:v>
      </x:c>
      <x:c r="B79" s="40" t="n">
        <x:f>Model_Data!F79</x:f>
        <x:v>761.2513947886907</x:v>
      </x:c>
      <x:c r="C79" s="40" t="n">
        <x:f>Model_Data!AC79</x:f>
        <x:v>582.0159099588831</x:v>
      </x:c>
      <x:c r="D79" s="41"/>
      <x:c r="E79" s="40" t="n">
        <x:f>Model_Data!A79</x:f>
        <x:v>-21.5</x:v>
      </x:c>
      <x:c r="F79" s="40" t="n">
        <x:f>Model_Data!Y79</x:f>
        <x:v>199.80292645394678</x:v>
      </x:c>
      <x:c r="G79" s="40" t="n">
        <x:f>Model_Data!X79</x:f>
        <x:v>-119.91026998876406</x:v>
      </x:c>
      <x:c r="H79" s="41"/>
      <x:c r="I79" s="40" t="n">
        <x:f>Model_Data!A79</x:f>
        <x:v>-21.5</x:v>
      </x:c>
      <x:c r="J79" s="40" t="n">
        <x:f>Model_Data!AI79</x:f>
        <x:v>-179.23548482980766</x:v>
      </x:c>
      <x:c r="K79" s="40" t="n">
        <x:f>Model_Data!AK79</x:f>
        <x:v>319.71319644271085</x:v>
      </x:c>
      <x:c r="L79" s="41"/>
      <x:c r="M79" s="40" t="n">
        <x:f>Model_Data!A79</x:f>
        <x:v>-21.5</x:v>
      </x:c>
      <x:c r="N79" s="40" t="n">
        <x:f>Model_Data!P79</x:f>
        <x:v>161.78679859499886</x:v>
      </x:c>
      <x:c r="O79" s="40" t="n">
        <x:f>Model_Data!AM79</x:f>
        <x:v>185.2714712150373</x:v>
      </x:c>
      <x:c r="P79" s="40" t="n">
        <x:f>Model_Data!Q79</x:f>
        <x:v>24.29231210135118</x:v>
      </x:c>
      <x:c r="Q79" s="40" t="n">
        <x:f>Model_Data!AN79</x:f>
        <x:v>27.818539221477074</x:v>
      </x:c>
      <x:c r="R79" s="41"/>
      <x:c r="S79" s="40" t="n">
        <x:f>Model_Data!A79</x:f>
        <x:v>-21.5</x:v>
      </x:c>
      <x:c r="T79" s="40" t="n">
        <x:f>Model_Data!B79-Inputs!$C$5</x:f>
        <x:v>0.5136111111111177</x:v>
      </x:c>
    </x:row>
    <x:row r="80">
      <x:c r="A80" s="40" t="n">
        <x:f>Model_Data!A80</x:f>
        <x:v>-21</x:v>
      </x:c>
      <x:c r="B80" s="40" t="n">
        <x:f>Model_Data!F80</x:f>
        <x:v>746.441401049121</x:v>
      </x:c>
      <x:c r="C80" s="40" t="n">
        <x:f>Model_Data!AC80</x:f>
        <x:v>561.5000080109155</x:v>
      </x:c>
      <x:c r="D80" s="41"/>
      <x:c r="E80" s="40" t="n">
        <x:f>Model_Data!A80</x:f>
        <x:v>-21</x:v>
      </x:c>
      <x:c r="F80" s="40" t="n">
        <x:f>Model_Data!Y80</x:f>
        <x:v>207.64817014599328</x:v>
      </x:c>
      <x:c r="G80" s="40" t="n">
        <x:f>Model_Data!X80</x:f>
        <x:v>-122.23447957006273</x:v>
      </x:c>
      <x:c r="H80" s="41"/>
      <x:c r="I80" s="40" t="n">
        <x:f>Model_Data!A80</x:f>
        <x:v>-21</x:v>
      </x:c>
      <x:c r="J80" s="40" t="n">
        <x:f>Model_Data!AI80</x:f>
        <x:v>-184.94139303820555</x:v>
      </x:c>
      <x:c r="K80" s="40" t="n">
        <x:f>Model_Data!AK80</x:f>
        <x:v>329.882649716056</x:v>
      </x:c>
      <x:c r="L80" s="41"/>
      <x:c r="M80" s="40" t="n">
        <x:f>Model_Data!A80</x:f>
        <x:v>-21</x:v>
      </x:c>
      <x:c r="N80" s="40" t="n">
        <x:f>Model_Data!P80</x:f>
        <x:v>158.03958042535135</x:v>
      </x:c>
      <x:c r="O80" s="40" t="n">
        <x:f>Model_Data!AM80</x:f>
        <x:v>184.49253986327676</x:v>
      </x:c>
      <x:c r="P80" s="40" t="n">
        <x:f>Model_Data!Q80</x:f>
        <x:v>23.729666730533236</x:v>
      </x:c>
      <x:c r="Q80" s="40" t="n">
        <x:f>Model_Data!AN80</x:f>
        <x:v>27.70158256205357</x:v>
      </x:c>
      <x:c r="R80" s="41"/>
      <x:c r="S80" s="40" t="n">
        <x:f>Model_Data!A80</x:f>
        <x:v>-21</x:v>
      </x:c>
      <x:c r="T80" s="40" t="n">
        <x:f>Model_Data!B80-Inputs!$C$5</x:f>
        <x:v>0.4900000000000091</x:v>
      </x:c>
    </x:row>
    <x:row r="81">
      <x:c r="A81" s="40" t="n">
        <x:f>Model_Data!A81</x:f>
        <x:v>-20.5</x:v>
      </x:c>
      <x:c r="B81" s="40" t="n">
        <x:f>Model_Data!F81</x:f>
        <x:v>731.9772602878156</x:v>
      </x:c>
      <x:c r="C81" s="40" t="n">
        <x:f>Model_Data!AC81</x:f>
        <x:v>541.7499605206165</x:v>
      </x:c>
      <x:c r="D81" s="41"/>
      <x:c r="E81" s="40" t="n">
        <x:f>Model_Data!A81</x:f>
        <x:v>-20.5</x:v>
      </x:c>
      <x:c r="F81" s="40" t="n">
        <x:f>Model_Data!Y81</x:f>
        <x:v>216.36413985331973</x:v>
      </x:c>
      <x:c r="G81" s="40" t="n">
        <x:f>Model_Data!X81</x:f>
        <x:v>-122.94248924099132</x:v>
      </x:c>
      <x:c r="H81" s="41"/>
      <x:c r="I81" s="40" t="n">
        <x:f>Model_Data!A81</x:f>
        <x:v>-20.5</x:v>
      </x:c>
      <x:c r="J81" s="40" t="n">
        <x:f>Model_Data!AI81</x:f>
        <x:v>-190.22729976719916</x:v>
      </x:c>
      <x:c r="K81" s="40" t="n">
        <x:f>Model_Data!AK81</x:f>
        <x:v>339.30662909431106</x:v>
      </x:c>
      <x:c r="L81" s="41"/>
      <x:c r="M81" s="40" t="n">
        <x:f>Model_Data!A81</x:f>
        <x:v>-20.5</x:v>
      </x:c>
      <x:c r="N81" s="40" t="n">
        <x:f>Model_Data!P81</x:f>
        <x:v>154.291290056187</x:v>
      </x:c>
      <x:c r="O81" s="40" t="n">
        <x:f>Model_Data!AM81</x:f>
        <x:v>183.30541690038444</x:v>
      </x:c>
      <x:c r="P81" s="40" t="n">
        <x:f>Model_Data!Q81</x:f>
        <x:v>23.166860368796847</x:v>
      </x:c>
      <x:c r="Q81" s="40" t="n">
        <x:f>Model_Data!AN81</x:f>
        <x:v>27.523335870928598</x:v>
      </x:c>
      <x:c r="R81" s="41"/>
      <x:c r="S81" s="40" t="n">
        <x:f>Model_Data!A81</x:f>
        <x:v>-20.5</x:v>
      </x:c>
      <x:c r="T81" s="40" t="n">
        <x:f>Model_Data!B81-Inputs!$C$5</x:f>
        <x:v>0.4669444444444366</x:v>
      </x:c>
    </x:row>
    <x:row r="82">
      <x:c r="A82" s="40" t="n">
        <x:f>Model_Data!A82</x:f>
        <x:v>-20</x:v>
      </x:c>
      <x:c r="B82" s="40" t="n">
        <x:f>Model_Data!F82</x:f>
        <x:v>717.8591585575956</x:v>
      </x:c>
      <x:c r="C82" s="40" t="n">
        <x:f>Model_Data!AC82</x:f>
        <x:v>522.8451586299279</x:v>
      </x:c>
      <x:c r="D82" s="41"/>
      <x:c r="E82" s="40" t="n">
        <x:f>Model_Data!A82</x:f>
        <x:v>-20</x:v>
      </x:c>
      <x:c r="F82" s="40" t="n">
        <x:f>Model_Data!Y82</x:f>
        <x:v>225.81380535771012</x:v>
      </x:c>
      <x:c r="G82" s="40" t="n">
        <x:f>Model_Data!X82</x:f>
        <x:v>-122.02978146101407</x:v>
      </x:c>
      <x:c r="H82" s="41"/>
      <x:c r="I82" s="40" t="n">
        <x:f>Model_Data!A82</x:f>
        <x:v>-20</x:v>
      </x:c>
      <x:c r="J82" s="40" t="n">
        <x:f>Model_Data!AI82</x:f>
        <x:v>-195.01399992766767</x:v>
      </x:c>
      <x:c r="K82" s="40" t="n">
        <x:f>Model_Data!AK82</x:f>
        <x:v>347.8435868187242</x:v>
      </x:c>
      <x:c r="L82" s="41"/>
      <x:c r="M82" s="40" t="n">
        <x:f>Model_Data!A82</x:f>
        <x:v>-20</x:v>
      </x:c>
      <x:c r="N82" s="40" t="n">
        <x:f>Model_Data!P82</x:f>
        <x:v>150.54195238009106</x:v>
      </x:c>
      <x:c r="O82" s="40" t="n">
        <x:f>Model_Data!AM82</x:f>
        <x:v>181.65696897676753</x:v>
      </x:c>
      <x:c r="P82" s="40" t="n">
        <x:f>Model_Data!Q82</x:f>
        <x:v>22.60389675376743</x:v>
      </x:c>
      <x:c r="Q82" s="40" t="n">
        <x:f>Model_Data!AN82</x:f>
        <x:v>27.275821167682814</x:v>
      </x:c>
      <x:c r="R82" s="41"/>
      <x:c r="S82" s="40" t="n">
        <x:f>Model_Data!A82</x:f>
        <x:v>-20</x:v>
      </x:c>
      <x:c r="T82" s="40" t="n">
        <x:f>Model_Data!B82-Inputs!$C$5</x:f>
        <x:v>0.4444444444444571</x:v>
      </x:c>
    </x:row>
    <x:row r="83">
      <x:c r="A83" s="40" t="n">
        <x:f>Model_Data!A83</x:f>
        <x:v>-19.5</x:v>
      </x:c>
      <x:c r="B83" s="40" t="n">
        <x:f>Model_Data!F83</x:f>
        <x:v>704.0872775371171</x:v>
      </x:c>
      <x:c r="C83" s="40" t="n">
        <x:f>Model_Data!AC83</x:f>
        <x:v>504.84654416754</x:v>
      </x:c>
      <x:c r="D83" s="41"/>
      <x:c r="E83" s="40" t="n">
        <x:f>Model_Data!A83</x:f>
        <x:v>-19.5</x:v>
      </x:c>
      <x:c r="F83" s="40" t="n">
        <x:f>Model_Data!Y83</x:f>
        <x:v>235.84539304326952</x:v>
      </x:c>
      <x:c r="G83" s="40" t="n">
        <x:f>Model_Data!X83</x:f>
        <x:v>-119.5394091834048</x:v>
      </x:c>
      <x:c r="H83" s="41"/>
      <x:c r="I83" s="40" t="n">
        <x:f>Model_Data!A83</x:f>
        <x:v>-19.5</x:v>
      </x:c>
      <x:c r="J83" s="40" t="n">
        <x:f>Model_Data!AI83</x:f>
        <x:v>-199.24073336957707</x:v>
      </x:c>
      <x:c r="K83" s="40" t="n">
        <x:f>Model_Data!AK83</x:f>
        <x:v>355.3848022266743</x:v>
      </x:c>
      <x:c r="L83" s="41"/>
      <x:c r="M83" s="40" t="n">
        <x:f>Model_Data!A83</x:f>
        <x:v>-19.5</x:v>
      </x:c>
      <x:c r="N83" s="40" t="n">
        <x:f>Model_Data!P83</x:f>
        <x:v>146.79159233513664</x:v>
      </x:c>
      <x:c r="O83" s="40" t="n">
        <x:f>Model_Data!AM83</x:f>
        <x:v>179.50625306739312</x:v>
      </x:c>
      <x:c r="P83" s="40" t="n">
        <x:f>Model_Data!Q83</x:f>
        <x:v>22.0407796299004</x:v>
      </x:c>
      <x:c r="Q83" s="40" t="n">
        <x:f>Model_Data!AN83</x:f>
        <x:v>26.95289085095993</x:v>
      </x:c>
      <x:c r="R83" s="41"/>
      <x:c r="S83" s="40" t="n">
        <x:f>Model_Data!A83</x:f>
        <x:v>-19.5</x:v>
      </x:c>
      <x:c r="T83" s="40" t="n">
        <x:f>Model_Data!B83-Inputs!$C$5</x:f>
        <x:v>0.42250000000001364</x:v>
      </x:c>
    </x:row>
    <x:row r="84">
      <x:c r="A84" s="40" t="n">
        <x:f>Model_Data!A84</x:f>
        <x:v>-19</x:v>
      </x:c>
      <x:c r="B84" s="40" t="n">
        <x:f>Model_Data!F84</x:f>
        <x:v>690.6617945229834</x:v>
      </x:c>
      <x:c r="C84" s="40" t="n">
        <x:f>Model_Data!AC84</x:f>
        <x:v>487.79478202327914</x:v>
      </x:c>
      <x:c r="D84" s="41"/>
      <x:c r="E84" s="40" t="n">
        <x:f>Model_Data!A84</x:f>
        <x:v>-19</x:v>
      </x:c>
      <x:c r="F84" s="40" t="n">
        <x:f>Model_Data!Y84</x:f>
        <x:v>246.29627212060018</x:v>
      </x:c>
      <x:c r="G84" s="40" t="n">
        <x:f>Model_Data!X84</x:f>
        <x:v>-115.56137698712307</x:v>
      </x:c>
      <x:c r="H84" s="41"/>
      <x:c r="I84" s="40" t="n">
        <x:f>Model_Data!A84</x:f>
        <x:v>-19</x:v>
      </x:c>
      <x:c r="J84" s="40" t="n">
        <x:f>Model_Data!AI84</x:f>
        <x:v>-202.8670124997043</x:v>
      </x:c>
      <x:c r="K84" s="40" t="n">
        <x:f>Model_Data!AK84</x:f>
        <x:v>361.85764910772326</x:v>
      </x:c>
      <x:c r="L84" s="41"/>
      <x:c r="M84" s="40" t="n">
        <x:f>Model_Data!A84</x:f>
        <x:v>-19</x:v>
      </x:c>
      <x:c r="N84" s="40" t="n">
        <x:f>Model_Data!P84</x:f>
        <x:v>143.04023490383426</x:v>
      </x:c>
      <x:c r="O84" s="40" t="n">
        <x:f>Model_Data!AM84</x:f>
        <x:v>176.82477316348013</x:v>
      </x:c>
      <x:c r="P84" s="40" t="n">
        <x:f>Model_Data!Q84</x:f>
        <x:v>21.477512748323466</x:v>
      </x:c>
      <x:c r="Q84" s="40" t="n">
        <x:f>Model_Data!AN84</x:f>
        <x:v>26.550266240762785</x:v>
      </x:c>
      <x:c r="R84" s="41"/>
      <x:c r="S84" s="40" t="n">
        <x:f>Model_Data!A84</x:f>
        <x:v>-19</x:v>
      </x:c>
      <x:c r="T84" s="40" t="n">
        <x:f>Model_Data!B84-Inputs!$C$5</x:f>
        <x:v>0.4011111111111063</x:v>
      </x:c>
    </x:row>
    <x:row r="85">
      <x:c r="A85" s="40" t="n">
        <x:f>Model_Data!A85</x:f>
        <x:v>-18.5</x:v>
      </x:c>
      <x:c r="B85" s="40" t="n">
        <x:f>Model_Data!F85</x:f>
        <x:v>677.5828824219851</x:v>
      </x:c>
      <x:c r="C85" s="40" t="n">
        <x:f>Model_Data!AC85</x:f>
        <x:v>471.70934595836377</x:v>
      </x:c>
      <x:c r="D85" s="41"/>
      <x:c r="E85" s="40" t="n">
        <x:f>Model_Data!A85</x:f>
        <x:v>-18.5</x:v>
      </x:c>
      <x:c r="F85" s="40" t="n">
        <x:f>Model_Data!Y85</x:f>
        <x:v>256.99687457580757</x:v>
      </x:c>
      <x:c r="G85" s="40" t="n">
        <x:f>Model_Data!X85</x:f>
        <x:v>-110.23036099080758</x:v>
      </x:c>
      <x:c r="H85" s="41"/>
      <x:c r="I85" s="40" t="n">
        <x:f>Model_Data!A85</x:f>
        <x:v>-18.5</x:v>
      </x:c>
      <x:c r="J85" s="40" t="n">
        <x:f>Model_Data!AI85</x:f>
        <x:v>-205.87353646362135</x:v>
      </x:c>
      <x:c r="K85" s="40" t="n">
        <x:f>Model_Data!AK85</x:f>
        <x:v>367.22723556661515</x:v>
      </x:c>
      <x:c r="L85" s="41"/>
      <x:c r="M85" s="40" t="n">
        <x:f>Model_Data!A85</x:f>
        <x:v>-18.5</x:v>
      </x:c>
      <x:c r="N85" s="40" t="n">
        <x:f>Model_Data!P85</x:f>
        <x:v>139.28790511207666</x:v>
      </x:c>
      <x:c r="O85" s="40" t="n">
        <x:f>Model_Data!AM85</x:f>
        <x:v>173.59646788972896</x:v>
      </x:c>
      <x:c r="P85" s="40" t="n">
        <x:f>Model_Data!Q85</x:f>
        <x:v>20.914099866678182</x:v>
      </x:c>
      <x:c r="Q85" s="40" t="n">
        <x:f>Model_Data!AN85</x:f>
        <x:v>26.065535719178524</x:v>
      </x:c>
      <x:c r="R85" s="41"/>
      <x:c r="S85" s="40" t="n">
        <x:f>Model_Data!A85</x:f>
        <x:v>-18.5</x:v>
      </x:c>
      <x:c r="T85" s="40" t="n">
        <x:f>Model_Data!B85-Inputs!$C$5</x:f>
        <x:v>0.3802777777777919</x:v>
      </x:c>
    </x:row>
    <x:row r="86">
      <x:c r="A86" s="40" t="n">
        <x:f>Model_Data!A86</x:f>
        <x:v>-18</x:v>
      </x:c>
      <x:c r="B86" s="40" t="n">
        <x:f>Model_Data!F86</x:f>
        <x:v>664.8507097434994</x:v>
      </x:c>
      <x:c r="C86" s="40" t="n">
        <x:f>Model_Data!AC86</x:f>
        <x:v>456.58853809436164</x:v>
      </x:c>
      <x:c r="D86" s="41"/>
      <x:c r="E86" s="40" t="n">
        <x:f>Model_Data!A86</x:f>
        <x:v>-18</x:v>
      </x:c>
      <x:c r="F86" s="40" t="n">
        <x:f>Model_Data!Y86</x:f>
        <x:v>267.7745703808592</x:v>
      </x:c>
      <x:c r="G86" s="40" t="n">
        <x:f>Model_Data!X86</x:f>
        <x:v>-103.72180986056385</x:v>
      </x:c>
      <x:c r="H86" s="41"/>
      <x:c r="I86" s="40" t="n">
        <x:f>Model_Data!A86</x:f>
        <x:v>-18</x:v>
      </x:c>
      <x:c r="J86" s="40" t="n">
        <x:f>Model_Data!AI86</x:f>
        <x:v>-208.2621716491377</x:v>
      </x:c>
      <x:c r="K86" s="40" t="n">
        <x:f>Model_Data!AK86</x:f>
        <x:v>371.496380241423</x:v>
      </x:c>
      <x:c r="L86" s="41"/>
      <x:c r="M86" s="40" t="n">
        <x:f>Model_Data!A86</x:f>
        <x:v>-18</x:v>
      </x:c>
      <x:c r="N86" s="40" t="n">
        <x:f>Model_Data!P86</x:f>
        <x:v>135.5346280280799</x:v>
      </x:c>
      <x:c r="O86" s="40" t="n">
        <x:f>Model_Data!AM86</x:f>
        <x:v>169.81746678120544</x:v>
      </x:c>
      <x:c r="P86" s="40" t="n">
        <x:f>Model_Data!Q86</x:f>
        <x:v>20.350544748960946</x:v>
      </x:c>
      <x:c r="Q86" s="40" t="n">
        <x:f>Model_Data!AN86</x:f>
        <x:v>25.498118135316133</x:v>
      </x:c>
      <x:c r="R86" s="41"/>
      <x:c r="S86" s="40" t="n">
        <x:f>Model_Data!A86</x:f>
        <x:v>-18</x:v>
      </x:c>
      <x:c r="T86" s="40" t="n">
        <x:f>Model_Data!B86-Inputs!$C$5</x:f>
        <x:v>0.36000000000001364</x:v>
      </x:c>
    </x:row>
    <x:row r="87">
      <x:c r="A87" s="40" t="n">
        <x:f>Model_Data!A87</x:f>
        <x:v>-17.5</x:v>
      </x:c>
      <x:c r="B87" s="40" t="n">
        <x:f>Model_Data!F87</x:f>
        <x:v>652.4654405923689</x:v>
      </x:c>
      <x:c r="C87" s="40" t="n">
        <x:f>Model_Data!AC87</x:f>
        <x:v>442.4104203683251</x:v>
      </x:c>
      <x:c r="D87" s="41"/>
      <x:c r="E87" s="40" t="n">
        <x:f>Model_Data!A87</x:f>
        <x:v>-17.5</x:v>
      </x:c>
      <x:c r="F87" s="40" t="n">
        <x:f>Model_Data!Y87</x:f>
        <x:v>278.45743167028553</x:v>
      </x:c>
      <x:c r="G87" s="40" t="n">
        <x:f>Model_Data!X87</x:f>
        <x:v>-96.24653180283534</x:v>
      </x:c>
      <x:c r="H87" s="41"/>
      <x:c r="I87" s="40" t="n">
        <x:f>Model_Data!A87</x:f>
        <x:v>-17.5</x:v>
      </x:c>
      <x:c r="J87" s="40" t="n">
        <x:f>Model_Data!AI87</x:f>
        <x:v>-210.05502022404374</x:v>
      </x:c>
      <x:c r="K87" s="40" t="n">
        <x:f>Model_Data!AK87</x:f>
        <x:v>374.7039634731209</x:v>
      </x:c>
      <x:c r="L87" s="41"/>
      <x:c r="M87" s="40" t="n">
        <x:f>Model_Data!A87</x:f>
        <x:v>-17.5</x:v>
      </x:c>
      <x:c r="N87" s="40" t="n">
        <x:f>Model_Data!P87</x:f>
        <x:v>131.78042876132014</x:v>
      </x:c>
      <x:c r="O87" s="40" t="n">
        <x:f>Model_Data!AM87</x:f>
        <x:v>165.49565357399842</x:v>
      </x:c>
      <x:c r="P87" s="40" t="n">
        <x:f>Model_Data!Q87</x:f>
        <x:v>19.786851165363387</x:v>
      </x:c>
      <x:c r="Q87" s="40" t="n">
        <x:f>Model_Data!AN87</x:f>
        <x:v>24.8491972333331</x:v>
      </x:c>
      <x:c r="R87" s="41"/>
      <x:c r="S87" s="40" t="n">
        <x:f>Model_Data!A87</x:f>
        <x:v>-17.5</x:v>
      </x:c>
      <x:c r="T87" s="40" t="n">
        <x:f>Model_Data!B87-Inputs!$C$5</x:f>
        <x:v>0.34027777777777146</x:v>
      </x:c>
    </x:row>
    <x:row r="88">
      <x:c r="A88" s="40" t="n">
        <x:f>Model_Data!A88</x:f>
        <x:v>-17</x:v>
      </x:c>
      <x:c r="B88" s="40" t="n">
        <x:f>Model_Data!F88</x:f>
        <x:v>640.4272346615566</x:v>
      </x:c>
      <x:c r="C88" s="40" t="n">
        <x:f>Model_Data!AC88</x:f>
        <x:v>429.134595838169</x:v>
      </x:c>
      <x:c r="D88" s="41"/>
      <x:c r="E88" s="40" t="n">
        <x:f>Model_Data!A88</x:f>
        <x:v>-17</x:v>
      </x:c>
      <x:c r="F88" s="40" t="n">
        <x:f>Model_Data!Y88</x:f>
        <x:v>288.8778315210269</x:v>
      </x:c>
      <x:c r="G88" s="40" t="n">
        <x:f>Model_Data!X88</x:f>
        <x:v>-88.04393248177936</x:v>
      </x:c>
      <x:c r="H88" s="41"/>
      <x:c r="I88" s="40" t="n">
        <x:f>Model_Data!A88</x:f>
        <x:v>-17</x:v>
      </x:c>
      <x:c r="J88" s="40" t="n">
        <x:f>Model_Data!AI88</x:f>
        <x:v>-211.29263882338756</x:v>
      </x:c>
      <x:c r="K88" s="40" t="n">
        <x:f>Model_Data!AK88</x:f>
        <x:v>376.9217640028063</x:v>
      </x:c>
      <x:c r="L88" s="41"/>
      <x:c r="M88" s="40" t="n">
        <x:f>Model_Data!A88</x:f>
        <x:v>-17</x:v>
      </x:c>
      <x:c r="N88" s="40" t="n">
        <x:f>Model_Data!P88</x:f>
        <x:v>128.02533246146646</x:v>
      </x:c>
      <x:c r="O88" s="40" t="n">
        <x:f>Model_Data!AM88</x:f>
        <x:v>160.65007296720069</x:v>
      </x:c>
      <x:c r="P88" s="40" t="n">
        <x:f>Model_Data!Q88</x:f>
        <x:v>19.223022892112084</x:v>
      </x:c>
      <x:c r="Q88" s="40" t="n">
        <x:f>Model_Data!AN88</x:f>
        <x:v>24.121632577657763</x:v>
      </x:c>
      <x:c r="R88" s="41"/>
      <x:c r="S88" s="40" t="n">
        <x:f>Model_Data!A88</x:f>
        <x:v>-17</x:v>
      </x:c>
      <x:c r="T88" s="40" t="n">
        <x:f>Model_Data!B88-Inputs!$C$5</x:f>
        <x:v>0.3211111111111222</x:v>
      </x:c>
    </x:row>
    <x:row r="89">
      <x:c r="A89" s="40" t="n">
        <x:f>Model_Data!A89</x:f>
        <x:v>-16.5</x:v>
      </x:c>
      <x:c r="B89" s="40" t="n">
        <x:f>Model_Data!F89</x:f>
        <x:v>628.7362472252798</x:v>
      </x:c>
      <x:c r="C89" s="40" t="n">
        <x:f>Model_Data!AC89</x:f>
        <x:v>416.7047406613126</x:v>
      </x:c>
      <x:c r="D89" s="41"/>
      <x:c r="E89" s="40" t="n">
        <x:f>Model_Data!A89</x:f>
        <x:v>-16.5</x:v>
      </x:c>
      <x:c r="F89" s="40" t="n">
        <x:f>Model_Data!Y89</x:f>
        <x:v>298.8758339351423</x:v>
      </x:c>
      <x:c r="G89" s="40" t="n">
        <x:f>Model_Data!X89</x:f>
        <x:v>-79.37412385456129</x:v>
      </x:c>
      <x:c r="H89" s="41"/>
      <x:c r="I89" s="40" t="n">
        <x:f>Model_Data!A89</x:f>
        <x:v>-16.5</x:v>
      </x:c>
      <x:c r="J89" s="40" t="n">
        <x:f>Model_Data!AI89</x:f>
        <x:v>-212.03150656396724</x:v>
      </x:c>
      <x:c r="K89" s="40" t="n">
        <x:f>Model_Data!AK89</x:f>
        <x:v>378.24995778970356</x:v>
      </x:c>
      <x:c r="L89" s="41"/>
      <x:c r="M89" s="40" t="n">
        <x:f>Model_Data!A89</x:f>
        <x:v>-16.5</x:v>
      </x:c>
      <x:c r="N89" s="40" t="n">
        <x:f>Model_Data!P89</x:f>
        <x:v>124.26936431730996</x:v>
      </x:c>
      <x:c r="O89" s="40" t="n">
        <x:f>Model_Data!AM89</x:f>
        <x:v>155.3102133102584</x:v>
      </x:c>
      <x:c r="P89" s="40" t="n">
        <x:f>Model_Data!Q89</x:f>
        <x:v>18.659063711307805</x:v>
      </x:c>
      <x:c r="Q89" s="40" t="n">
        <x:f>Model_Data!AN89</x:f>
        <x:v>23.31985184838715</x:v>
      </x:c>
      <x:c r="R89" s="41"/>
      <x:c r="S89" s="40" t="n">
        <x:f>Model_Data!A89</x:f>
        <x:v>-16.5</x:v>
      </x:c>
      <x:c r="T89" s="40" t="n">
        <x:f>Model_Data!B89-Inputs!$C$5</x:f>
        <x:v>0.3025000000000091</x:v>
      </x:c>
    </x:row>
    <x:row r="90">
      <x:c r="A90" s="40" t="n">
        <x:f>Model_Data!A90</x:f>
        <x:v>-16</x:v>
      </x:c>
      <x:c r="B90" s="40" t="n">
        <x:f>Model_Data!F90</x:f>
        <x:v>617.3926291322086</x:v>
      </x:c>
      <x:c r="C90" s="40" t="n">
        <x:f>Model_Data!AC90</x:f>
        <x:v>405.0517554810157</x:v>
      </x:c>
      <x:c r="D90" s="41"/>
      <x:c r="E90" s="40" t="n">
        <x:f>Model_Data!A90</x:f>
        <x:v>-16</x:v>
      </x:c>
      <x:c r="F90" s="40" t="n">
        <x:f>Model_Data!Y90</x:f>
        <x:v>308.3023410310089</x:v>
      </x:c>
      <x:c r="G90" s="40" t="n">
        <x:f>Model_Data!X90</x:f>
        <x:v>-70.50917166525848</x:v>
      </x:c>
      <x:c r="H90" s="41"/>
      <x:c r="I90" s="40" t="n">
        <x:f>Model_Data!A90</x:f>
        <x:v>-16</x:v>
      </x:c>
      <x:c r="J90" s="40" t="n">
        <x:f>Model_Data!AI90</x:f>
        <x:v>-212.34087365119296</x:v>
      </x:c>
      <x:c r="K90" s="40" t="n">
        <x:f>Model_Data!AK90</x:f>
        <x:v>378.81151269626736</x:v>
      </x:c>
      <x:c r="L90" s="41"/>
      <x:c r="M90" s="40" t="n">
        <x:f>Model_Data!A90</x:f>
        <x:v>-16</x:v>
      </x:c>
      <x:c r="N90" s="40" t="n">
        <x:f>Model_Data!P90</x:f>
        <x:v>120.5125495556886</x:v>
      </x:c>
      <x:c r="O90" s="40" t="n">
        <x:f>Model_Data!AM90</x:f>
        <x:v>149.5151920632452</x:v>
      </x:c>
      <x:c r="P90" s="40" t="n">
        <x:f>Model_Data!Q90</x:f>
        <x:v>18.094977410764052</x:v>
      </x:c>
      <x:c r="Q90" s="40" t="n">
        <x:f>Model_Data!AN90</x:f>
        <x:v>22.449728538024807</x:v>
      </x:c>
      <x:c r="R90" s="41"/>
      <x:c r="S90" s="40" t="n">
        <x:f>Model_Data!A90</x:f>
        <x:v>-16</x:v>
      </x:c>
      <x:c r="T90" s="40" t="n">
        <x:f>Model_Data!B90-Inputs!$C$5</x:f>
        <x:v>0.28444444444443207</x:v>
      </x:c>
    </x:row>
    <x:row r="91">
      <x:c r="A91" s="40" t="n">
        <x:f>Model_Data!A91</x:f>
        <x:v>-15.5</x:v>
      </x:c>
      <x:c r="B91" s="40" t="n">
        <x:f>Model_Data!F91</x:f>
        <x:v>606.3965267989187</x:v>
      </x:c>
      <x:c r="C91" s="40" t="n">
        <x:f>Model_Data!AC91</x:f>
        <x:v>394.0973792318826</x:v>
      </x:c>
      <x:c r="D91" s="41"/>
      <x:c r="E91" s="40" t="n">
        <x:f>Model_Data!A91</x:f>
        <x:v>-15.5</x:v>
      </x:c>
      <x:c r="F91" s="40" t="n">
        <x:f>Model_Data!Y91</x:f>
        <x:v>317.0219708824435</x:v>
      </x:c>
      <x:c r="G91" s="40" t="n">
        <x:f>Model_Data!X91</x:f>
        <x:v>-61.72378771497137</x:v>
      </x:c>
      <x:c r="H91" s="41"/>
      <x:c r="I91" s="40" t="n">
        <x:f>Model_Data!A91</x:f>
        <x:v>-15.5</x:v>
      </x:c>
      <x:c r="J91" s="40" t="n">
        <x:f>Model_Data!AI91</x:f>
        <x:v>-212.29914756703607</x:v>
      </x:c>
      <x:c r="K91" s="40" t="n">
        <x:f>Model_Data!AK91</x:f>
        <x:v>378.74575859741486</x:v>
      </x:c>
      <x:c r="L91" s="41"/>
      <x:c r="M91" s="40" t="n">
        <x:f>Model_Data!A91</x:f>
        <x:v>-15.5</x:v>
      </x:c>
      <x:c r="N91" s="40" t="n">
        <x:f>Model_Data!P91</x:f>
        <x:v>116.754913440409</x:v>
      </x:c>
      <x:c r="O91" s="40" t="n">
        <x:f>Model_Data!AM91</x:f>
        <x:v>143.31286424367136</x:v>
      </x:c>
      <x:c r="P91" s="40" t="n">
        <x:f>Model_Data!Q91</x:f>
        <x:v>17.530767783845196</x:v>
      </x:c>
      <x:c r="Q91" s="40" t="n">
        <x:f>Model_Data!AN91</x:f>
        <x:v>21.51844808463534</x:v>
      </x:c>
      <x:c r="R91" s="41"/>
      <x:c r="S91" s="40" t="n">
        <x:f>Model_Data!A91</x:f>
        <x:v>-15.5</x:v>
      </x:c>
      <x:c r="T91" s="40" t="n">
        <x:f>Model_Data!B91-Inputs!$C$5</x:f>
        <x:v>0.266944444444448</x:v>
      </x:c>
    </x:row>
    <x:row r="92">
      <x:c r="A92" s="40" t="n">
        <x:f>Model_Data!A92</x:f>
        <x:v>-15</x:v>
      </x:c>
      <x:c r="B92" s="40" t="n">
        <x:f>Model_Data!F92</x:f>
        <x:v>595.7480822033449</x:v>
      </x:c>
      <x:c r="C92" s="40" t="n">
        <x:f>Model_Data!AC92</x:f>
        <x:v>383.75809011573267</x:v>
      </x:c>
      <x:c r="D92" s="41"/>
      <x:c r="E92" s="40" t="n">
        <x:f>Model_Data!A92</x:f>
        <x:v>-15</x:v>
      </x:c>
      <x:c r="F92" s="40" t="n">
        <x:f>Model_Data!Y92</x:f>
        <x:v>324.91564468296156</x:v>
      </x:c>
      <x:c r="G92" s="40" t="n">
        <x:f>Model_Data!X92</x:f>
        <x:v>-53.28580030760595</x:v>
      </x:c>
      <x:c r="H92" s="41"/>
      <x:c r="I92" s="40" t="n">
        <x:f>Model_Data!A92</x:f>
        <x:v>-15</x:v>
      </x:c>
      <x:c r="J92" s="40" t="n">
        <x:f>Model_Data!AI92</x:f>
        <x:v>-211.98999208761222</x:v>
      </x:c>
      <x:c r="K92" s="40" t="n">
        <x:f>Model_Data!AK92</x:f>
        <x:v>378.2014449905675</x:v>
      </x:c>
      <x:c r="L92" s="41"/>
      <x:c r="M92" s="40" t="n">
        <x:f>Model_Data!A92</x:f>
        <x:v>-15</x:v>
      </x:c>
      <x:c r="N92" s="40" t="n">
        <x:f>Model_Data!P92</x:f>
        <x:v>112.99648127116424</x:v>
      </x:c>
      <x:c r="O92" s="40" t="n">
        <x:f>Model_Data!AM92</x:f>
        <x:v>136.75886703567812</x:v>
      </x:c>
      <x:c r="P92" s="40" t="n">
        <x:f>Model_Data!Q92</x:f>
        <x:v>16.966438629303944</x:v>
      </x:c>
      <x:c r="Q92" s="40" t="n">
        <x:f>Model_Data!AN92</x:f>
        <x:v>20.534364419771492</x:v>
      </x:c>
      <x:c r="R92" s="41"/>
      <x:c r="S92" s="40" t="n">
        <x:f>Model_Data!A92</x:f>
        <x:v>-15</x:v>
      </x:c>
      <x:c r="T92" s="40" t="n">
        <x:f>Model_Data!B92-Inputs!$C$5</x:f>
        <x:v>0.25</x:v>
      </x:c>
    </x:row>
    <x:row r="93">
      <x:c r="A93" s="40" t="n">
        <x:f>Model_Data!A93</x:f>
        <x:v>-14.5</x:v>
      </x:c>
      <x:c r="B93" s="40" t="n">
        <x:f>Model_Data!F93</x:f>
        <x:v>585.4474328788419</x:v>
      </x:c>
      <x:c r="C93" s="40" t="n">
        <x:f>Model_Data!AC93</x:f>
        <x:v>373.9491084463054</x:v>
      </x:c>
      <x:c r="D93" s="41"/>
      <x:c r="E93" s="40" t="n">
        <x:f>Model_Data!A93</x:f>
        <x:v>-14.5</x:v>
      </x:c>
      <x:c r="F93" s="40" t="n">
        <x:f>Model_Data!Y93</x:f>
        <x:v>331.8828649280429</x:v>
      </x:c>
      <x:c r="G93" s="40" t="n">
        <x:f>Model_Data!X93</x:f>
        <x:v>-45.446751149369575</x:v>
      </x:c>
      <x:c r="H93" s="41"/>
      <x:c r="I93" s="40" t="n">
        <x:f>Model_Data!A93</x:f>
        <x:v>-14.5</x:v>
      </x:c>
      <x:c r="J93" s="40" t="n">
        <x:f>Model_Data!AI93</x:f>
        <x:v>-211.49832443253655</x:v>
      </x:c>
      <x:c r="K93" s="40" t="n">
        <x:f>Model_Data!AK93</x:f>
        <x:v>377.3296160774125</x:v>
      </x:c>
      <x:c r="L93" s="41"/>
      <x:c r="M93" s="40" t="n">
        <x:f>Model_Data!A93</x:f>
        <x:v>-14.5</x:v>
      </x:c>
      <x:c r="N93" s="40" t="n">
        <x:f>Model_Data!P93</x:f>
        <x:v>109.23727838244822</x:v>
      </x:c>
      <x:c r="O93" s="40" t="n">
        <x:f>Model_Data!AM93</x:f>
        <x:v>129.9156069203491</x:v>
      </x:c>
      <x:c r="P93" s="40" t="n">
        <x:f>Model_Data!Q93</x:f>
        <x:v>16.401993751118354</x:v>
      </x:c>
      <x:c r="Q93" s="40" t="n">
        <x:f>Model_Data!AN93</x:f>
        <x:v>19.506847885938303</x:v>
      </x:c>
      <x:c r="R93" s="41"/>
      <x:c r="S93" s="40" t="n">
        <x:f>Model_Data!A93</x:f>
        <x:v>-14.5</x:v>
      </x:c>
      <x:c r="T93" s="40" t="n">
        <x:f>Model_Data!B93-Inputs!$C$5</x:f>
        <x:v>0.23361111111108812</x:v>
      </x:c>
    </x:row>
    <x:row r="94">
      <x:c r="A94" s="40" t="n">
        <x:f>Model_Data!A94</x:f>
        <x:v>-14</x:v>
      </x:c>
      <x:c r="B94" s="40" t="n">
        <x:f>Model_Data!F94</x:f>
        <x:v>575.4947119078927</x:v>
      </x:c>
      <x:c r="C94" s="40" t="n">
        <x:f>Model_Data!AC94</x:f>
        <x:v>364.58831459883055</x:v>
      </x:c>
      <x:c r="D94" s="41"/>
      <x:c r="E94" s="40" t="n">
        <x:f>Model_Data!A94</x:f>
        <x:v>-14</x:v>
      </x:c>
      <x:c r="F94" s="40" t="n">
        <x:f>Model_Data!Y94</x:f>
        <x:v>337.8436672683624</x:v>
      </x:c>
      <x:c r="G94" s="40" t="n">
        <x:f>Model_Data!X94</x:f>
        <x:v>-38.432968624707954</x:v>
      </x:c>
      <x:c r="H94" s="41"/>
      <x:c r="I94" s="40" t="n">
        <x:f>Model_Data!A94</x:f>
        <x:v>-14</x:v>
      </x:c>
      <x:c r="J94" s="40" t="n">
        <x:f>Model_Data!AI94</x:f>
        <x:v>-210.90639730906213</x:v>
      </x:c>
      <x:c r="K94" s="40" t="n">
        <x:f>Model_Data!AK94</x:f>
        <x:v>376.27663589307036</x:v>
      </x:c>
      <x:c r="L94" s="41"/>
      <x:c r="M94" s="40" t="n">
        <x:f>Model_Data!A94</x:f>
        <x:v>-14</x:v>
      </x:c>
      <x:c r="N94" s="40" t="n">
        <x:f>Model_Data!P94</x:f>
        <x:v>105.47733014246676</x:v>
      </x:c>
      <x:c r="O94" s="40" t="n">
        <x:f>Model_Data!AM94</x:f>
        <x:v>122.85118967974995</x:v>
      </x:c>
      <x:c r="P94" s="40" t="n">
        <x:f>Model_Data!Q94</x:f>
        <x:v>15.837436958328343</x:v>
      </x:c>
      <x:c r="Q94" s="40" t="n">
        <x:f>Model_Data!AN94</x:f>
        <x:v>18.446124576539034</x:v>
      </x:c>
      <x:c r="R94" s="41"/>
      <x:c r="S94" s="40" t="n">
        <x:f>Model_Data!A94</x:f>
        <x:v>-14</x:v>
      </x:c>
      <x:c r="T94" s="40" t="n">
        <x:f>Model_Data!B94-Inputs!$C$5</x:f>
        <x:v>0.2177777777777692</x:v>
      </x:c>
    </x:row>
    <x:row r="95">
      <x:c r="A95" s="40" t="n">
        <x:f>Model_Data!A95</x:f>
        <x:v>-13.5</x:v>
      </x:c>
      <x:c r="B95" s="40" t="n">
        <x:f>Model_Data!F95</x:f>
        <x:v>565.8900479164877</x:v>
      </x:c>
      <x:c r="C95" s="40" t="n">
        <x:f>Model_Data!AC95</x:f>
        <x:v>355.5999024008428</x:v>
      </x:c>
      <x:c r="D95" s="41"/>
      <x:c r="E95" s="40" t="n">
        <x:f>Model_Data!A95</x:f>
        <x:v>-13.5</x:v>
      </x:c>
      <x:c r="F95" s="40" t="n">
        <x:f>Model_Data!Y95</x:f>
        <x:v>342.74022793427935</x:v>
      </x:c>
      <x:c r="G95" s="40" t="n">
        <x:f>Model_Data!X95</x:f>
        <x:v>-32.43745547152867</x:v>
      </x:c>
      <x:c r="H95" s="41"/>
      <x:c r="I95" s="40" t="n">
        <x:f>Model_Data!A95</x:f>
        <x:v>-13.5</x:v>
      </x:c>
      <x:c r="J95" s="40" t="n">
        <x:f>Model_Data!AI95</x:f>
        <x:v>-210.2901455156449</x:v>
      </x:c>
      <x:c r="K95" s="40" t="n">
        <x:f>Model_Data!AK95</x:f>
        <x:v>375.177683405808</x:v>
      </x:c>
      <x:c r="L95" s="41"/>
      <x:c r="M95" s="40" t="n">
        <x:f>Model_Data!A95</x:f>
        <x:v>-13.5</x:v>
      </x:c>
      <x:c r="N95" s="40" t="n">
        <x:f>Model_Data!P95</x:f>
        <x:v>101.71666195204531</x:v>
      </x:c>
      <x:c r="O95" s="40" t="n">
        <x:f>Model_Data!AM95</x:f>
        <x:v>115.6382889460474</x:v>
      </x:c>
      <x:c r="P95" s="40" t="n">
        <x:f>Model_Data!Q95</x:f>
        <x:v>15.27277206487167</x:v>
      </x:c>
      <x:c r="Q95" s="40" t="n">
        <x:f>Model_Data!AN95</x:f>
        <x:v>17.363106448355467</x:v>
      </x:c>
      <x:c r="R95" s="41"/>
      <x:c r="S95" s="40" t="n">
        <x:f>Model_Data!A95</x:f>
        <x:v>-13.5</x:v>
      </x:c>
      <x:c r="T95" s="40" t="n">
        <x:f>Model_Data!B95-Inputs!$C$5</x:f>
        <x:v>0.20249999999998636</x:v>
      </x:c>
    </x:row>
    <x:row r="96">
      <x:c r="A96" s="40" t="n">
        <x:f>Model_Data!A96</x:f>
        <x:v>-13</x:v>
      </x:c>
      <x:c r="B96" s="40" t="n">
        <x:f>Model_Data!F96</x:f>
        <x:v>556.6335650683776</x:v>
      </x:c>
      <x:c r="C96" s="40" t="n">
        <x:f>Model_Data!AC96</x:f>
        <x:v>346.91760357010264</x:v>
      </x:c>
      <x:c r="D96" s="41"/>
      <x:c r="E96" s="40" t="n">
        <x:f>Model_Data!A96</x:f>
        <x:v>-13</x:v>
      </x:c>
      <x:c r="F96" s="40" t="n">
        <x:f>Model_Data!Y96</x:f>
        <x:v>346.5381066588096</x:v>
      </x:c>
      <x:c r="G96" s="40" t="n">
        <x:f>Model_Data!X96</x:f>
        <x:v>-27.61290366455905</x:v>
      </x:c>
      <x:c r="H96" s="41"/>
      <x:c r="I96" s="40" t="n">
        <x:f>Model_Data!A96</x:f>
        <x:v>-13</x:v>
      </x:c>
      <x:c r="J96" s="40" t="n">
        <x:f>Model_Data!AI96</x:f>
        <x:v>-209.71596149827496</x:v>
      </x:c>
      <x:c r="K96" s="40" t="n">
        <x:f>Model_Data!AK96</x:f>
        <x:v>374.15101032336867</x:v>
      </x:c>
      <x:c r="L96" s="41"/>
      <x:c r="M96" s="40" t="n">
        <x:f>Model_Data!A96</x:f>
        <x:v>-13</x:v>
      </x:c>
      <x:c r="N96" s="40" t="n">
        <x:f>Model_Data!P96</x:f>
        <x:v>97.9552992435336</x:v>
      </x:c>
      <x:c r="O96" s="40" t="n">
        <x:f>Model_Data!AM96</x:f>
        <x:v>108.35294604185037</x:v>
      </x:c>
      <x:c r="P96" s="40" t="n">
        <x:f>Model_Data!Q96</x:f>
        <x:v>14.708002889419461</x:v>
      </x:c>
      <x:c r="Q96" s="40" t="n">
        <x:f>Model_Data!AN96</x:f>
        <x:v>16.269211117394953</x:v>
      </x:c>
      <x:c r="R96" s="41"/>
      <x:c r="S96" s="40" t="n">
        <x:f>Model_Data!A96</x:f>
        <x:v>-13</x:v>
      </x:c>
      <x:c r="T96" s="40" t="n">
        <x:f>Model_Data!B96-Inputs!$C$5</x:f>
        <x:v>0.18777777777779647</x:v>
      </x:c>
    </x:row>
    <x:row r="97">
      <x:c r="A97" s="40" t="n">
        <x:f>Model_Data!A97</x:f>
        <x:v>-12.5</x:v>
      </x:c>
      <x:c r="B97" s="40" t="n">
        <x:f>Model_Data!F97</x:f>
        <x:v>547.7253830597713</x:v>
      </x:c>
      <x:c r="C97" s="40" t="n">
        <x:f>Model_Data!AC97</x:f>
        <x:v>338.487341460432</x:v>
      </x:c>
      <x:c r="D97" s="41"/>
      <x:c r="E97" s="40" t="n">
        <x:f>Model_Data!A97</x:f>
        <x:v>-12.5</x:v>
      </x:c>
      <x:c r="F97" s="40" t="n">
        <x:f>Model_Data!Y97</x:f>
        <x:v>349.2271024391269</x:v>
      </x:c>
      <x:c r="G97" s="40" t="n">
        <x:f>Model_Data!X97</x:f>
        <x:v>-24.066111558205392</x:v>
      </x:c>
      <x:c r="H97" s="41"/>
      <x:c r="I97" s="40" t="n">
        <x:f>Model_Data!A97</x:f>
        <x:v>-12.5</x:v>
      </x:c>
      <x:c r="J97" s="40" t="n">
        <x:f>Model_Data!AI97</x:f>
        <x:v>-209.23804159933928</x:v>
      </x:c>
      <x:c r="K97" s="40" t="n">
        <x:f>Model_Data!AK97</x:f>
        <x:v>373.29321399733226</x:v>
      </x:c>
      <x:c r="L97" s="41"/>
      <x:c r="M97" s="40" t="n">
        <x:f>Model_Data!A97</x:f>
        <x:v>-12.5</x:v>
      </x:c>
      <x:c r="N97" s="40" t="n">
        <x:f>Model_Data!P97</x:f>
        <x:v>94.19326747970709</x:v>
      </x:c>
      <x:c r="O97" s="40" t="n">
        <x:f>Model_Data!AM97</x:f>
        <x:v>101.07329298270997</x:v>
      </x:c>
      <x:c r="P97" s="40" t="n">
        <x:f>Model_Data!Q97</x:f>
        <x:v>14.143133255211277</x:v>
      </x:c>
      <x:c r="Q97" s="40" t="n">
        <x:f>Model_Data!AN97</x:f>
        <x:v>15.176170117524022</x:v>
      </x:c>
      <x:c r="R97" s="41"/>
      <x:c r="S97" s="40" t="n">
        <x:f>Model_Data!A97</x:f>
        <x:v>-12.5</x:v>
      </x:c>
      <x:c r="T97" s="40" t="n">
        <x:f>Model_Data!B97-Inputs!$C$5</x:f>
        <x:v>0.17361111111108585</x:v>
      </x:c>
    </x:row>
    <x:row r="98">
      <x:c r="A98" s="40" t="n">
        <x:f>Model_Data!A98</x:f>
        <x:v>-12</x:v>
      </x:c>
      <x:c r="B98" s="40" t="n">
        <x:f>Model_Data!F98</x:f>
        <x:v>539.1656171138436</x:v>
      </x:c>
      <x:c r="C98" s="40" t="n">
        <x:f>Model_Data!AC98</x:f>
        <x:v>330.2692013237179</x:v>
      </x:c>
      <x:c r="D98" s="41"/>
      <x:c r="E98" s="40" t="n">
        <x:f>Model_Data!A98</x:f>
        <x:v>-12</x:v>
      </x:c>
      <x:c r="F98" s="40" t="n">
        <x:f>Model_Data!Y98</x:f>
        <x:v>350.821696953328</x:v>
      </x:c>
      <x:c r="G98" s="40" t="n">
        <x:f>Model_Data!X98</x:f>
        <x:v>-21.854029326660726</x:v>
      </x:c>
      <x:c r="H98" s="41"/>
      <x:c r="I98" s="40" t="n">
        <x:f>Model_Data!A98</x:f>
        <x:v>-12</x:v>
      </x:c>
      <x:c r="J98" s="40" t="n">
        <x:f>Model_Data!AI98</x:f>
        <x:v>-208.89641579012573</x:v>
      </x:c>
      <x:c r="K98" s="40" t="n">
        <x:f>Model_Data!AK98</x:f>
        <x:v>372.67572627998874</x:v>
      </x:c>
      <x:c r="L98" s="41"/>
      <x:c r="M98" s="40" t="n">
        <x:f>Model_Data!A98</x:f>
        <x:v>-12</x:v>
      </x:c>
      <x:c r="N98" s="40" t="n">
        <x:f>Model_Data!P98</x:f>
        <x:v>90.43059215266564</x:v>
      </x:c>
      <x:c r="O98" s="40" t="n">
        <x:f>Model_Data!AM98</x:f>
        <x:v>93.87819183693864</x:v>
      </x:c>
      <x:c r="P98" s="40" t="n">
        <x:f>Model_Data!Q98</x:f>
        <x:v>13.578166989889736</x:v>
      </x:c>
      <x:c r="Q98" s="40" t="n">
        <x:f>Model_Data!AN98</x:f>
        <x:v>14.095824600140938</x:v>
      </x:c>
      <x:c r="R98" s="41"/>
      <x:c r="S98" s="40" t="n">
        <x:f>Model_Data!A98</x:f>
        <x:v>-12</x:v>
      </x:c>
      <x:c r="T98" s="40" t="n">
        <x:f>Model_Data!B98-Inputs!$C$5</x:f>
        <x:v>0.160000000000025</x:v>
      </x:c>
    </x:row>
    <x:row r="99">
      <x:c r="A99" s="40" t="n">
        <x:f>Model_Data!A99</x:f>
        <x:v>-11.5</x:v>
      </x:c>
      <x:c r="B99" s="40" t="n">
        <x:f>Model_Data!F99</x:f>
        <x:v>530.9543779759451</x:v>
      </x:c>
      <x:c r="C99" s="40" t="n">
        <x:f>Model_Data!AC99</x:f>
        <x:v>322.23863814503085</x:v>
      </x:c>
      <x:c r="D99" s="41"/>
      <x:c r="E99" s="40" t="n">
        <x:f>Model_Data!A99</x:f>
        <x:v>-11.5</x:v>
      </x:c>
      <x:c r="F99" s="40" t="n">
        <x:f>Model_Data!Y99</x:f>
        <x:v>351.36105869256494</x:v>
      </x:c>
      <x:c r="G99" s="40" t="n">
        <x:f>Model_Data!X99</x:f>
        <x:v>-20.981600228168553</x:v>
      </x:c>
      <x:c r="H99" s="41"/>
      <x:c r="I99" s="40" t="n">
        <x:f>Model_Data!A99</x:f>
        <x:v>-11.5</x:v>
      </x:c>
      <x:c r="J99" s="40" t="n">
        <x:f>Model_Data!AI99</x:f>
        <x:v>-208.7157398309143</x:v>
      </x:c>
      <x:c r="K99" s="40" t="n">
        <x:f>Model_Data!AK99</x:f>
        <x:v>372.34265892073347</x:v>
      </x:c>
      <x:c r="L99" s="41"/>
      <x:c r="M99" s="40" t="n">
        <x:f>Model_Data!A99</x:f>
        <x:v>-11.5</x:v>
      </x:c>
      <x:c r="N99" s="40" t="n">
        <x:f>Model_Data!P99</x:f>
        <x:v>86.66729878272902</x:v>
      </x:c>
      <x:c r="O99" s="40" t="n">
        <x:f>Model_Data!AM99</x:f>
        <x:v>86.84578717202385</x:v>
      </x:c>
      <x:c r="P99" s="40" t="n">
        <x:f>Model_Data!Q99</x:f>
        <x:v>13.013107925334689</x:v>
      </x:c>
      <x:c r="Q99" s="40" t="n">
        <x:f>Model_Data!AN99</x:f>
        <x:v>13.039907983787366</x:v>
      </x:c>
      <x:c r="R99" s="41"/>
      <x:c r="S99" s="40" t="n">
        <x:f>Model_Data!A99</x:f>
        <x:v>-11.5</x:v>
      </x:c>
      <x:c r="T99" s="40" t="n">
        <x:f>Model_Data!B99-Inputs!$C$5</x:f>
        <x:v>0.14694444444444343</x:v>
      </x:c>
    </x:row>
    <x:row r="100">
      <x:c r="A100" s="40" t="n">
        <x:f>Model_Data!A100</x:f>
        <x:v>-11</x:v>
      </x:c>
      <x:c r="B100" s="40" t="n">
        <x:f>Model_Data!F100</x:f>
        <x:v>523.09177190862</x:v>
      </x:c>
      <x:c r="C100" s="40" t="n">
        <x:f>Model_Data!AC100</x:f>
        <x:v>314.3868802687733</x:v>
      </x:c>
      <x:c r="D100" s="41"/>
      <x:c r="E100" s="40" t="n">
        <x:f>Model_Data!A100</x:f>
        <x:v>-11</x:v>
      </x:c>
      <x:c r="F100" s="40" t="n">
        <x:f>Model_Data!Y100</x:f>
        <x:v>350.9085805576179</x:v>
      </x:c>
      <x:c r="G100" s="40" t="n">
        <x:f>Model_Data!X100</x:f>
        <x:v>-21.401499377504685</x:v>
      </x:c>
      <x:c r="H100" s="41"/>
      <x:c r="I100" s="40" t="n">
        <x:f>Model_Data!A100</x:f>
        <x:v>-11</x:v>
      </x:c>
      <x:c r="J100" s="40" t="n">
        <x:f>Model_Data!AI100</x:f>
        <x:v>-208.70489163984666</x:v>
      </x:c>
      <x:c r="K100" s="40" t="n">
        <x:f>Model_Data!AK100</x:f>
        <x:v>372.3100799351226</x:v>
      </x:c>
      <x:c r="L100" s="41"/>
      <x:c r="M100" s="40" t="n">
        <x:f>Model_Data!A100</x:f>
        <x:v>-11</x:v>
      </x:c>
      <x:c r="N100" s="40" t="n">
        <x:f>Model_Data!P100</x:f>
        <x:v>82.90341291733004</x:v>
      </x:c>
      <x:c r="O100" s="40" t="n">
        <x:f>Model_Data!AM100</x:f>
        <x:v>80.05197390566536</x:v>
      </x:c>
      <x:c r="P100" s="40" t="n">
        <x:f>Model_Data!Q100</x:f>
        <x:v>12.447959897497006</x:v>
      </x:c>
      <x:c r="Q100" s="40" t="n">
        <x:f>Model_Data!AN100</x:f>
        <x:v>12.019815901751556</x:v>
      </x:c>
      <x:c r="R100" s="41"/>
      <x:c r="S100" s="40" t="n">
        <x:f>Model_Data!A100</x:f>
        <x:v>-11</x:v>
      </x:c>
      <x:c r="T100" s="40" t="n">
        <x:f>Model_Data!B100-Inputs!$C$5</x:f>
        <x:v>0.1344444444444548</x:v>
      </x:c>
    </x:row>
    <x:row r="101">
      <x:c r="A101" s="40" t="n">
        <x:f>Model_Data!A101</x:f>
        <x:v>-10.5</x:v>
      </x:c>
      <x:c r="B101" s="40" t="n">
        <x:f>Model_Data!F101</x:f>
        <x:v>515.5779006869442</x:v>
      </x:c>
      <x:c r="C101" s="40" t="n">
        <x:f>Model_Data!AC101</x:f>
        <x:v>306.72052576135405</x:v>
      </x:c>
      <x:c r="D101" s="41"/>
      <x:c r="E101" s="40" t="n">
        <x:f>Model_Data!A101</x:f>
        <x:v>-10.5</x:v>
      </x:c>
      <x:c r="F101" s="40" t="n">
        <x:f>Model_Data!Y101</x:f>
        <x:v>349.5509254106994</x:v>
      </x:c>
      <x:c r="G101" s="40" t="n">
        <x:f>Model_Data!X101</x:f>
        <x:v>-23.01580102455635</x:v>
      </x:c>
      <x:c r="H101" s="41"/>
      <x:c r="I101" s="40" t="n">
        <x:f>Model_Data!A101</x:f>
        <x:v>-10.5</x:v>
      </x:c>
      <x:c r="J101" s="40" t="n">
        <x:f>Model_Data!AI101</x:f>
        <x:v>-208.85737492559014</x:v>
      </x:c>
      <x:c r="K101" s="40" t="n">
        <x:f>Model_Data!AK101</x:f>
        <x:v>372.56672643525576</x:v>
      </x:c>
      <x:c r="L101" s="41"/>
      <x:c r="M101" s="40" t="n">
        <x:f>Model_Data!A101</x:f>
        <x:v>-10.5</x:v>
      </x:c>
      <x:c r="N101" s="40" t="n">
        <x:f>Model_Data!P101</x:f>
        <x:v>79.13896012990475</x:v>
      </x:c>
      <x:c r="O101" s="40" t="n">
        <x:f>Model_Data!AM101</x:f>
        <x:v>73.56879022390785</x:v>
      </x:c>
      <x:c r="P101" s="40" t="n">
        <x:f>Model_Data!Q101</x:f>
        <x:v>11.882726746231945</x:v>
      </x:c>
      <x:c r="Q101" s="40" t="n">
        <x:f>Model_Data!AN101</x:f>
        <x:v>11.046364898484663</x:v>
      </x:c>
      <x:c r="R101" s="41"/>
      <x:c r="S101" s="40" t="n">
        <x:f>Model_Data!A101</x:f>
        <x:v>-10.5</x:v>
      </x:c>
      <x:c r="T101" s="40" t="n">
        <x:f>Model_Data!B101-Inputs!$C$5</x:f>
        <x:v>0.12250000000000227</x:v>
      </x:c>
    </x:row>
    <x:row r="102">
      <x:c r="A102" s="40" t="n">
        <x:f>Model_Data!A102</x:f>
        <x:v>-10</x:v>
      </x:c>
      <x:c r="B102" s="40" t="n">
        <x:f>Model_Data!F102</x:f>
        <x:v>508.41286159408577</x:v>
      </x:c>
      <x:c r="C102" s="40" t="n">
        <x:f>Model_Data!AC102</x:f>
        <x:v>299.260366953379</x:v>
      </x:c>
      <x:c r="D102" s="41"/>
      <x:c r="E102" s="40" t="n">
        <x:f>Model_Data!A102</x:f>
        <x:v>-10</x:v>
      </x:c>
      <x:c r="F102" s="40" t="n">
        <x:f>Model_Data!Y102</x:f>
        <x:v>347.39655835849476</x:v>
      </x:c>
      <x:c r="G102" s="40" t="n">
        <x:f>Model_Data!X102</x:f>
        <x:v>-25.679532522347067</x:v>
      </x:c>
      <x:c r="H102" s="41"/>
      <x:c r="I102" s="40" t="n">
        <x:f>Model_Data!A102</x:f>
        <x:v>-10</x:v>
      </x:c>
      <x:c r="J102" s="40" t="n">
        <x:f>Model_Data!AI102</x:f>
        <x:v>-209.15249464070678</x:v>
      </x:c>
      <x:c r="K102" s="40" t="n">
        <x:f>Model_Data!AK102</x:f>
        <x:v>373.07609088084183</x:v>
      </x:c>
      <x:c r="L102" s="41"/>
      <x:c r="M102" s="40" t="n">
        <x:f>Model_Data!A102</x:f>
        <x:v>-10</x:v>
      </x:c>
      <x:c r="N102" s="40" t="n">
        <x:f>Model_Data!P102</x:f>
        <x:v>75.37396601878024</x:v>
      </x:c>
      <x:c r="O102" s="40" t="n">
        <x:f>Model_Data!AM102</x:f>
        <x:v>67.4627538902314</x:v>
      </x:c>
      <x:c r="P102" s="40" t="n">
        <x:f>Model_Data!Q102</x:f>
        <x:v>11.317412315132168</x:v>
      </x:c>
      <x:c r="Q102" s="40" t="n">
        <x:f>Model_Data!AN102</x:f>
        <x:v>10.129542626160871</x:v>
      </x:c>
      <x:c r="R102" s="41"/>
      <x:c r="S102" s="40" t="n">
        <x:f>Model_Data!A102</x:f>
        <x:v>-10</x:v>
      </x:c>
      <x:c r="T102" s="40" t="n">
        <x:f>Model_Data!B102-Inputs!$C$5</x:f>
        <x:v>0.11111111111108585</x:v>
      </x:c>
    </x:row>
    <x:row r="103">
      <x:c r="A103" s="40" t="n">
        <x:f>Model_Data!A103</x:f>
        <x:v>-9.5</x:v>
      </x:c>
      <x:c r="B103" s="40" t="n">
        <x:f>Model_Data!F103</x:f>
        <x:v>501.5967474169945</x:v>
      </x:c>
      <x:c r="C103" s="40" t="n">
        <x:f>Model_Data!AC103</x:f>
        <x:v>292.0395150909236</x:v>
      </x:c>
      <x:c r="D103" s="41"/>
      <x:c r="E103" s="40" t="n">
        <x:f>Model_Data!A103</x:f>
        <x:v>-9.5</x:v>
      </x:c>
      <x:c r="F103" s="40" t="n">
        <x:f>Model_Data!Y103</x:f>
        <x:v>344.5737517069409</x:v>
      </x:c>
      <x:c r="G103" s="40" t="n">
        <x:f>Model_Data!X103</x:f>
        <x:v>-29.206001058736152</x:v>
      </x:c>
      <x:c r="H103" s="41"/>
      <x:c r="I103" s="40" t="n">
        <x:f>Model_Data!A103</x:f>
        <x:v>-9.5</x:v>
      </x:c>
      <x:c r="J103" s="40" t="n">
        <x:f>Model_Data!AI103</x:f>
        <x:v>-209.5572323260709</x:v>
      </x:c>
      <x:c r="K103" s="40" t="n">
        <x:f>Model_Data!AK103</x:f>
        <x:v>373.7797527656771</x:v>
      </x:c>
      <x:c r="L103" s="41"/>
      <x:c r="M103" s="40" t="n">
        <x:f>Model_Data!A103</x:f>
        <x:v>-9.5</x:v>
      </x:c>
      <x:c r="N103" s="40" t="n">
        <x:f>Model_Data!P103</x:f>
        <x:v>71.60845620605997</x:v>
      </x:c>
      <x:c r="O103" s="40" t="n">
        <x:f>Model_Data!AM103</x:f>
        <x:v>61.793169715656404</x:v>
      </x:c>
      <x:c r="P103" s="40" t="n">
        <x:f>Model_Data!Q103</x:f>
        <x:v>10.752020451360357</x:v>
      </x:c>
      <x:c r="Q103" s="40" t="n">
        <x:f>Model_Data!AN103</x:f>
        <x:v>9.278253711059522</x:v>
      </x:c>
      <x:c r="R103" s="41"/>
      <x:c r="S103" s="40" t="n">
        <x:f>Model_Data!A103</x:f>
        <x:v>-9.5</x:v>
      </x:c>
      <x:c r="T103" s="40" t="n">
        <x:f>Model_Data!B103-Inputs!$C$5</x:f>
        <x:v>0.10027777777776237</x:v>
      </x:c>
    </x:row>
    <x:row r="104">
      <x:c r="A104" s="40" t="n">
        <x:f>Model_Data!A104</x:f>
        <x:v>-9</x:v>
      </x:c>
      <x:c r="B104" s="40" t="n">
        <x:f>Model_Data!F104</x:f>
        <x:v>495.1296464423777</x:v>
      </x:c>
      <x:c r="C104" s="40" t="n">
        <x:f>Model_Data!AC104</x:f>
        <x:v>285.10092981845486</x:v>
      </x:c>
      <x:c r="D104" s="41"/>
      <x:c r="E104" s="40" t="n">
        <x:f>Model_Data!A104</x:f>
        <x:v>-9</x:v>
      </x:c>
      <x:c r="F104" s="40" t="n">
        <x:f>Model_Data!Y104</x:f>
        <x:v>341.2280587223236</x:v>
      </x:c>
      <x:c r="G104" s="40" t="n">
        <x:f>Model_Data!X104</x:f>
        <x:v>-33.373710661332076</x:v>
      </x:c>
      <x:c r="H104" s="41"/>
      <x:c r="I104" s="40" t="n">
        <x:f>Model_Data!A104</x:f>
        <x:v>-9</x:v>
      </x:c>
      <x:c r="J104" s="40" t="n">
        <x:f>Model_Data!AI104</x:f>
        <x:v>-210.02871662392283</x:v>
      </x:c>
      <x:c r="K104" s="40" t="n">
        <x:f>Model_Data!AK104</x:f>
        <x:v>374.6017693836557</x:v>
      </x:c>
      <x:c r="L104" s="41"/>
      <x:c r="M104" s="40" t="n">
        <x:f>Model_Data!A104</x:f>
        <x:v>-9</x:v>
      </x:c>
      <x:c r="N104" s="40" t="n">
        <x:f>Model_Data!P104</x:f>
        <x:v>67.84245633650673</x:v>
      </x:c>
      <x:c r="O104" s="40" t="n">
        <x:f>Model_Data!AM104</x:f>
        <x:v>56.610445551996236</x:v>
      </x:c>
      <x:c r="P104" s="40" t="n">
        <x:f>Model_Data!Q104</x:f>
        <x:v>10.186555005481491</x:v>
      </x:c>
      <x:c r="Q104" s="40" t="n">
        <x:f>Model_Data!AN104</x:f>
        <x:v>8.500066899699135</x:v>
      </x:c>
      <x:c r="R104" s="41"/>
      <x:c r="S104" s="40" t="n">
        <x:f>Model_Data!A104</x:f>
        <x:v>-9</x:v>
      </x:c>
      <x:c r="T104" s="40" t="n">
        <x:f>Model_Data!B104-Inputs!$C$5</x:f>
        <x:v>0.08999999999997499</x:v>
      </x:c>
    </x:row>
    <x:row r="105">
      <x:c r="A105" s="40" t="n">
        <x:f>Model_Data!A105</x:f>
        <x:v>-8.5</x:v>
      </x:c>
      <x:c r="B105" s="40" t="n">
        <x:f>Model_Data!F105</x:f>
        <x:v>489.01164245280415</x:v>
      </x:c>
      <x:c r="C105" s="40" t="n">
        <x:f>Model_Data!AC105</x:f>
        <x:v>278.4944858181428</x:v>
      </x:c>
      <x:c r="D105" s="41"/>
      <x:c r="E105" s="40" t="n">
        <x:f>Model_Data!A105</x:f>
        <x:v>-8.5</x:v>
      </x:c>
      <x:c r="F105" s="40" t="n">
        <x:f>Model_Data!Y105</x:f>
        <x:v>337.5192655010854</x:v>
      </x:c>
      <x:c r="G105" s="40" t="n">
        <x:f>Model_Data!X105</x:f>
        <x:v>-37.93462469428476</x:v>
      </x:c>
      <x:c r="H105" s="41"/>
      <x:c r="I105" s="40" t="n">
        <x:f>Model_Data!A105</x:f>
        <x:v>-8.5</x:v>
      </x:c>
      <x:c r="J105" s="40" t="n">
        <x:f>Model_Data!AI105</x:f>
        <x:v>-210.51715663466138</x:v>
      </x:c>
      <x:c r="K105" s="40" t="n">
        <x:f>Model_Data!AK105</x:f>
        <x:v>375.45389019537015</x:v>
      </x:c>
      <x:c r="L105" s="41"/>
      <x:c r="M105" s="40" t="n">
        <x:f>Model_Data!A105</x:f>
        <x:v>-8.5</x:v>
      </x:c>
      <x:c r="N105" s="40" t="n">
        <x:f>Model_Data!P105</x:f>
        <x:v>64.07599207642345</x:v>
      </x:c>
      <x:c r="O105" s="40" t="n">
        <x:f>Model_Data!AM105</x:f>
        <x:v>51.954463244874205</x:v>
      </x:c>
      <x:c r="P105" s="40" t="n">
        <x:f>Model_Data!Q105</x:f>
        <x:v>9.621019831294813</x:v>
      </x:c>
      <x:c r="Q105" s="40" t="n">
        <x:f>Model_Data!AN105</x:f>
        <x:v>7.80097045718832</x:v>
      </x:c>
      <x:c r="R105" s="41"/>
      <x:c r="S105" s="40" t="n">
        <x:f>Model_Data!A105</x:f>
        <x:v>-8.5</x:v>
      </x:c>
      <x:c r="T105" s="40" t="n">
        <x:f>Model_Data!B105-Inputs!$C$5</x:f>
        <x:v>0.08027777777778056</x:v>
      </x:c>
    </x:row>
    <x:row r="106">
      <x:c r="A106" s="40" t="n">
        <x:f>Model_Data!A106</x:f>
        <x:v>-8</x:v>
      </x:c>
      <x:c r="B106" s="40" t="n">
        <x:f>Model_Data!F106</x:f>
        <x:v>483.24281472300015</x:v>
      </x:c>
      <x:c r="C106" s="40" t="n">
        <x:f>Model_Data!AC106</x:f>
        <x:v>272.2737300798228</x:v>
      </x:c>
      <x:c r="D106" s="41"/>
      <x:c r="E106" s="40" t="n">
        <x:f>Model_Data!A106</x:f>
        <x:v>-8</x:v>
      </x:c>
      <x:c r="F106" s="40" t="n">
        <x:f>Model_Data!Y106</x:f>
        <x:v>333.61784612102304</x:v>
      </x:c>
      <x:c r="G106" s="40" t="n">
        <x:f>Model_Data!X106</x:f>
        <x:v>-42.62347555689617</x:v>
      </x:c>
      <x:c r="H106" s="41"/>
      <x:c r="I106" s="40" t="n">
        <x:f>Model_Data!A106</x:f>
        <x:v>-8</x:v>
      </x:c>
      <x:c r="J106" s="40" t="n">
        <x:f>Model_Data!AI106</x:f>
        <x:v>-210.96908464317733</x:v>
      </x:c>
      <x:c r="K106" s="40" t="n">
        <x:f>Model_Data!AK106</x:f>
        <x:v>376.2413216779192</x:v>
      </x:c>
      <x:c r="L106" s="41"/>
      <x:c r="M106" s="40" t="n">
        <x:f>Model_Data!A106</x:f>
        <x:v>-8</x:v>
      </x:c>
      <x:c r="N106" s="40" t="n">
        <x:f>Model_Data!P106</x:f>
        <x:v>60.30908911253194</x:v>
      </x:c>
      <x:c r="O106" s="40" t="n">
        <x:f>Model_Data!AM106</x:f>
        <x:v>47.85305885015987</x:v>
      </x:c>
      <x:c r="P106" s="40" t="n">
        <x:f>Model_Data!Q106</x:f>
        <x:v>9.055418785665458</x:v>
      </x:c>
      <x:c r="Q106" s="40" t="n">
        <x:f>Model_Data!AN106</x:f>
        <x:v>7.185143971495476</x:v>
      </x:c>
      <x:c r="R106" s="41"/>
      <x:c r="S106" s="40" t="n">
        <x:f>Model_Data!A106</x:f>
        <x:v>-8</x:v>
      </x:c>
      <x:c r="T106" s="40" t="n">
        <x:f>Model_Data!B106-Inputs!$C$5</x:f>
        <x:v>0.07111111111112223</x:v>
      </x:c>
    </x:row>
    <x:row r="107">
      <x:c r="A107" s="40" t="n">
        <x:f>Model_Data!A107</x:f>
        <x:v>-7.5</x:v>
      </x:c>
      <x:c r="B107" s="40" t="n">
        <x:f>Model_Data!F107</x:f>
        <x:v>477.82323801636795</x:v>
      </x:c>
      <x:c r="C107" s="40" t="n">
        <x:f>Model_Data!AC107</x:f>
        <x:v>266.49249702006597</x:v>
      </x:c>
      <x:c r="D107" s="41"/>
      <x:c r="E107" s="40" t="n">
        <x:f>Model_Data!A107</x:f>
        <x:v>-7.5</x:v>
      </x:c>
      <x:c r="F107" s="40" t="n">
        <x:f>Model_Data!Y107</x:f>
        <x:v>329.70096433522275</x:v>
      </x:c>
      <x:c r="G107" s="40" t="n">
        <x:f>Model_Data!X107</x:f>
        <x:v>-47.16778075132122</x:v>
      </x:c>
      <x:c r="H107" s="41"/>
      <x:c r="I107" s="40" t="n">
        <x:f>Model_Data!A107</x:f>
        <x:v>-7.5</x:v>
      </x:c>
      <x:c r="J107" s="40" t="n">
        <x:f>Model_Data!AI107</x:f>
        <x:v>-211.33074099630198</x:v>
      </x:c>
      <x:c r="K107" s="40" t="n">
        <x:f>Model_Data!AK107</x:f>
        <x:v>376.868745086544</x:v>
      </x:c>
      <x:c r="L107" s="41"/>
      <x:c r="M107" s="40" t="n">
        <x:f>Model_Data!A107</x:f>
        <x:v>-7.5</x:v>
      </x:c>
      <x:c r="N107" s="40" t="n">
        <x:f>Model_Data!P107</x:f>
        <x:v>56.54177315084945</x:v>
      </x:c>
      <x:c r="O107" s="40" t="n">
        <x:f>Model_Data!AM107</x:f>
        <x:v>44.32067241805271</x:v>
      </x:c>
      <x:c r="P107" s="40" t="n">
        <x:f>Model_Data!Q107</x:f>
        <x:v>8.489755728355775</x:v>
      </x:c>
      <x:c r="Q107" s="40" t="n">
        <x:f>Model_Data!AN107</x:f>
        <x:v>6.6547556183262335</x:v>
      </x:c>
      <x:c r="R107" s="41"/>
      <x:c r="S107" s="40" t="n">
        <x:f>Model_Data!A107</x:f>
        <x:v>-7.5</x:v>
      </x:c>
      <x:c r="T107" s="40" t="n">
        <x:f>Model_Data!B107-Inputs!$C$5</x:f>
        <x:v>0.0625</x:v>
      </x:c>
    </x:row>
    <x:row r="108">
      <x:c r="A108" s="40" t="n">
        <x:f>Model_Data!A108</x:f>
        <x:v>-7</x:v>
      </x:c>
      <x:c r="B108" s="40" t="n">
        <x:f>Model_Data!F108</x:f>
        <x:v>472.7529825816653</x:v>
      </x:c>
      <x:c r="C108" s="40" t="n">
        <x:f>Model_Data!AC108</x:f>
        <x:v>261.2015543965225</x:v>
      </x:c>
      <x:c r="D108" s="41"/>
      <x:c r="E108" s="40" t="n">
        <x:f>Model_Data!A108</x:f>
        <x:v>-7</x:v>
      </x:c>
      <x:c r="F108" s="40" t="n">
        <x:f>Model_Data!Y108</x:f>
        <x:v>325.9480846950745</x:v>
      </x:c>
      <x:c r="G108" s="40" t="n">
        <x:f>Model_Data!X108</x:f>
        <x:v>-51.29819467856153</x:v>
      </x:c>
      <x:c r="H108" s="41"/>
      <x:c r="I108" s="40" t="n">
        <x:f>Model_Data!A108</x:f>
        <x:v>-7</x:v>
      </x:c>
      <x:c r="J108" s="40" t="n">
        <x:f>Model_Data!AI108</x:f>
        <x:v>-211.5514281851428</x:v>
      </x:c>
      <x:c r="K108" s="40" t="n">
        <x:f>Model_Data!AK108</x:f>
        <x:v>377.246279373636</x:v>
      </x:c>
      <x:c r="L108" s="41"/>
      <x:c r="M108" s="40" t="n">
        <x:f>Model_Data!A108</x:f>
        <x:v>-7</x:v>
      </x:c>
      <x:c r="N108" s="40" t="n">
        <x:f>Model_Data!P108</x:f>
        <x:v>52.77406991556359</x:v>
      </x:c>
      <x:c r="O108" s="40" t="n">
        <x:f>Model_Data!AM108</x:f>
        <x:v>41.35723120516559</x:v>
      </x:c>
      <x:c r="P108" s="40" t="n">
        <x:f>Model_Data!Q108</x:f>
        <x:v>7.924034521856395</x:v>
      </x:c>
      <x:c r="Q108" s="40" t="n">
        <x:f>Model_Data!AN108</x:f>
        <x:v>6.2097944752500895</x:v>
      </x:c>
      <x:c r="R108" s="41"/>
      <x:c r="S108" s="40" t="n">
        <x:f>Model_Data!A108</x:f>
        <x:v>-7</x:v>
      </x:c>
      <x:c r="T108" s="40" t="n">
        <x:f>Model_Data!B108-Inputs!$C$5</x:f>
        <x:v>0.05444444444447072</x:v>
      </x:c>
    </x:row>
    <x:row r="109">
      <x:c r="A109" s="40" t="n">
        <x:f>Model_Data!A109</x:f>
        <x:v>-6.5</x:v>
      </x:c>
      <x:c r="B109" s="40" t="n">
        <x:f>Model_Data!F109</x:f>
        <x:v>468.03211415006706</x:v>
      </x:c>
      <x:c r="C109" s="40" t="n">
        <x:f>Model_Data!AC109</x:f>
        <x:v>256.4454504339169</x:v>
      </x:c>
      <x:c r="D109" s="41"/>
      <x:c r="E109" s="40" t="n">
        <x:f>Model_Data!A109</x:f>
        <x:v>-6.5</x:v>
      </x:c>
      <x:c r="F109" s="40" t="n">
        <x:f>Model_Data!Y109</x:f>
        <x:v>322.53627629652954</x:v>
      </x:c>
      <x:c r="G109" s="40" t="n">
        <x:f>Model_Data!X109</x:f>
        <x:v>-54.75880972697523</x:v>
      </x:c>
      <x:c r="H109" s="41"/>
      <x:c r="I109" s="40" t="n">
        <x:f>Model_Data!A109</x:f>
        <x:v>-6.5</x:v>
      </x:c>
      <x:c r="J109" s="40" t="n">
        <x:f>Model_Data!AI109</x:f>
        <x:v>-211.58666371615016</x:v>
      </x:c>
      <x:c r="K109" s="40" t="n">
        <x:f>Model_Data!AK109</x:f>
        <x:v>377.2950860235048</x:v>
      </x:c>
      <x:c r="L109" s="41"/>
      <x:c r="M109" s="40" t="n">
        <x:f>Model_Data!A109</x:f>
        <x:v>-6.5</x:v>
      </x:c>
      <x:c r="N109" s="40" t="n">
        <x:f>Model_Data!P109</x:f>
        <x:v>49.00600514790521</x:v>
      </x:c>
      <x:c r="O109" s="40" t="n">
        <x:f>Model_Data!AM109</x:f>
        <x:v>38.94733077131605</x:v>
      </x:c>
      <x:c r="P109" s="40" t="n">
        <x:f>Model_Data!Q109</x:f>
        <x:v>7.358259031217</x:v>
      </x:c>
      <x:c r="Q109" s="40" t="n">
        <x:f>Model_Data!AN109</x:f>
        <x:v>5.847947563260668</x:v>
      </x:c>
      <x:c r="R109" s="41"/>
      <x:c r="S109" s="40" t="n">
        <x:f>Model_Data!A109</x:f>
        <x:v>-6.5</x:v>
      </x:c>
      <x:c r="T109" s="40" t="n">
        <x:f>Model_Data!B109-Inputs!$C$5</x:f>
        <x:v>0.046944444444420697</x:v>
      </x:c>
    </x:row>
    <x:row r="110">
      <x:c r="A110" s="40" t="n">
        <x:f>Model_Data!A110</x:f>
        <x:v>-6</x:v>
      </x:c>
      <x:c r="B110" s="40" t="n">
        <x:f>Model_Data!F110</x:f>
        <x:v>463.6606939320355</x:v>
      </x:c>
      <x:c r="C110" s="40" t="n">
        <x:f>Model_Data!AC110</x:f>
        <x:v>252.25972193701702</x:v>
      </x:c>
      <x:c r="D110" s="41"/>
      <x:c r="E110" s="40" t="n">
        <x:f>Model_Data!A110</x:f>
        <x:v>-6</x:v>
      </x:c>
      <x:c r="F110" s="40" t="n">
        <x:f>Model_Data!Y110</x:f>
        <x:v>319.63531234666027</x:v>
      </x:c>
      <x:c r="G110" s="40" t="n">
        <x:f>Model_Data!X110</x:f>
        <x:v>-57.317019168838485</x:v>
      </x:c>
      <x:c r="H110" s="41"/>
      <x:c r="I110" s="40" t="n">
        <x:f>Model_Data!A110</x:f>
        <x:v>-6</x:v>
      </x:c>
      <x:c r="J110" s="40" t="n">
        <x:f>Model_Data!AI110</x:f>
        <x:v>-211.40097199501847</x:v>
      </x:c>
      <x:c r="K110" s="40" t="n">
        <x:f>Model_Data!AK110</x:f>
        <x:v>376.95233151549877</x:v>
      </x:c>
      <x:c r="L110" s="41"/>
      <x:c r="M110" s="40" t="n">
        <x:f>Model_Data!A110</x:f>
        <x:v>-6</x:v>
      </x:c>
      <x:c r="N110" s="40" t="n">
        <x:f>Model_Data!P110</x:f>
        <x:v>45.23760460501987</x:v>
      </x:c>
      <x:c r="O110" s="40" t="n">
        <x:f>Model_Data!AM110</x:f>
        <x:v>37.05977573054042</x:v>
      </x:c>
      <x:c r="P110" s="40" t="n">
        <x:f>Model_Data!Q110</x:f>
        <x:v>6.792433123876858</x:v>
      </x:c>
      <x:c r="Q110" s="40" t="n">
        <x:f>Model_Data!AN110</x:f>
        <x:v>5.564530890471535</x:v>
      </x:c>
      <x:c r="R110" s="41"/>
      <x:c r="S110" s="40" t="n">
        <x:f>Model_Data!A110</x:f>
        <x:v>-6</x:v>
      </x:c>
      <x:c r="T110" s="40" t="n">
        <x:f>Model_Data!B110-Inputs!$C$5</x:f>
        <x:v>0.040000000000020464</x:v>
      </x:c>
    </x:row>
    <x:row r="111">
      <x:c r="A111" s="40" t="n">
        <x:f>Model_Data!A111</x:f>
        <x:v>-5.5</x:v>
      </x:c>
      <x:c r="B111" s="40" t="n">
        <x:f>Model_Data!F111</x:f>
        <x:v>459.63877861482985</x:v>
      </x:c>
      <x:c r="C111" s="40" t="n">
        <x:f>Model_Data!AC111</x:f>
        <x:v>248.66860492612264</x:v>
      </x:c>
      <x:c r="D111" s="41"/>
      <x:c r="E111" s="40" t="n">
        <x:f>Model_Data!A111</x:f>
        <x:v>-5.5</x:v>
      </x:c>
      <x:c r="F111" s="40" t="n">
        <x:f>Model_Data!Y111</x:f>
        <x:v>317.40268736979453</x:v>
      </x:c>
      <x:c r="G111" s="40" t="n">
        <x:f>Model_Data!X111</x:f>
        <x:v>-58.772568232620095</x:v>
      </x:c>
      <x:c r="H111" s="41"/>
      <x:c r="I111" s="40" t="n">
        <x:f>Model_Data!A111</x:f>
        <x:v>-5.5</x:v>
      </x:c>
      <x:c r="J111" s="40" t="n">
        <x:f>Model_Data!AI111</x:f>
        <x:v>-210.9701736887072</x:v>
      </x:c>
      <x:c r="K111" s="40" t="n">
        <x:f>Model_Data!AK111</x:f>
        <x:v>376.1752556024146</x:v>
      </x:c>
      <x:c r="L111" s="41"/>
      <x:c r="M111" s="40" t="n">
        <x:f>Model_Data!A111</x:f>
        <x:v>-5.5</x:v>
      </x:c>
      <x:c r="N111" s="40" t="n">
        <x:f>Model_Data!P111</x:f>
        <x:v>41.46889405883751</x:v>
      </x:c>
      <x:c r="O111" s="40" t="n">
        <x:f>Model_Data!AM111</x:f>
        <x:v>35.647535735006386</x:v>
      </x:c>
      <x:c r="P111" s="40" t="n">
        <x:f>Model_Data!Q111</x:f>
        <x:v>6.2265606694951225</x:v>
      </x:c>
      <x:c r="Q111" s="40" t="n">
        <x:f>Model_Data!AN111</x:f>
        <x:v>5.3524828430940525</x:v>
      </x:c>
      <x:c r="R111" s="41"/>
      <x:c r="S111" s="40" t="n">
        <x:f>Model_Data!A111</x:f>
        <x:v>-5.5</x:v>
      </x:c>
      <x:c r="T111" s="40" t="n">
        <x:f>Model_Data!B111-Inputs!$C$5</x:f>
        <x:v>0.03361111111109949</x:v>
      </x:c>
    </x:row>
    <x:row r="112">
      <x:c r="A112" s="40" t="n">
        <x:f>Model_Data!A112</x:f>
        <x:v>-5</x:v>
      </x:c>
      <x:c r="B112" s="40" t="n">
        <x:f>Model_Data!F112</x:f>
        <x:v>455.9664203598553</x:v>
      </x:c>
      <x:c r="C112" s="40" t="n">
        <x:f>Model_Data!AC112</x:f>
        <x:v>245.68336436364976</x:v>
      </x:c>
      <x:c r="D112" s="41"/>
      <x:c r="E112" s="40" t="n">
        <x:f>Model_Data!A112</x:f>
        <x:v>-5</x:v>
      </x:c>
      <x:c r="F112" s="40" t="n">
        <x:f>Model_Data!Y112</x:f>
        <x:v>315.9786900033575</x:v>
      </x:c>
      <x:c r="G112" s="40" t="n">
        <x:f>Model_Data!X112</x:f>
        <x:v>-58.965448037333864</x:v>
      </x:c>
      <x:c r="H112" s="41"/>
      <x:c r="I112" s="40" t="n">
        <x:f>Model_Data!A112</x:f>
        <x:v>-5</x:v>
      </x:c>
      <x:c r="J112" s="40" t="n">
        <x:f>Model_Data!AI112</x:f>
        <x:v>-210.28305599620555</x:v>
      </x:c>
      <x:c r="K112" s="40" t="n">
        <x:f>Model_Data!AK112</x:f>
        <x:v>374.94413804069137</x:v>
      </x:c>
      <x:c r="L112" s="41"/>
      <x:c r="M112" s="40" t="n">
        <x:f>Model_Data!A112</x:f>
        <x:v>-5</x:v>
      </x:c>
      <x:c r="N112" s="40" t="n">
        <x:f>Model_Data!P112</x:f>
        <x:v>37.699899294940856</x:v>
      </x:c>
      <x:c r="O112" s="40" t="n">
        <x:f>Model_Data!AM112</x:f>
        <x:v>34.648162562371</x:v>
      </x:c>
      <x:c r="P112" s="40" t="n">
        <x:f>Model_Data!Q112</x:f>
        <x:v>5.6606455397809095</x:v>
      </x:c>
      <x:c r="Q112" s="40" t="n">
        <x:f>Model_Data!AN112</x:f>
        <x:v>5.202426811166817</x:v>
      </x:c>
      <x:c r="R112" s="41"/>
      <x:c r="S112" s="40" t="n">
        <x:f>Model_Data!A112</x:f>
        <x:v>-5</x:v>
      </x:c>
      <x:c r="T112" s="40" t="n">
        <x:f>Model_Data!B112-Inputs!$C$5</x:f>
        <x:v>0.027777777777771462</x:v>
      </x:c>
    </x:row>
    <x:row r="113">
      <x:c r="A113" s="40" t="n">
        <x:f>Model_Data!A113</x:f>
        <x:v>-4.5</x:v>
      </x:c>
      <x:c r="B113" s="40" t="n">
        <x:f>Model_Data!F113</x:f>
        <x:v>452.64366680049187</x:v>
      </x:c>
      <x:c r="C113" s="40" t="n">
        <x:f>Model_Data!AC113</x:f>
        <x:v>243.30132902208064</x:v>
      </x:c>
      <x:c r="D113" s="41"/>
      <x:c r="E113" s="40" t="n">
        <x:f>Model_Data!A113</x:f>
        <x:v>-4.5</x:v>
      </x:c>
      <x:c r="F113" s="40" t="n">
        <x:f>Model_Data!Y113</x:f>
        <x:v>315.48168188509385</x:v>
      </x:c>
      <x:c r="G113" s="40" t="n">
        <x:f>Model_Data!X113</x:f>
        <x:v>-57.78232885142646</x:v>
      </x:c>
      <x:c r="H113" s="41"/>
      <x:c r="I113" s="40" t="n">
        <x:f>Model_Data!A113</x:f>
        <x:v>-4.5</x:v>
      </x:c>
      <x:c r="J113" s="40" t="n">
        <x:f>Model_Data!AI113</x:f>
        <x:v>-209.34233777841123</x:v>
      </x:c>
      <x:c r="K113" s="40" t="n">
        <x:f>Model_Data!AK113</x:f>
        <x:v>373.26401073652033</x:v>
      </x:c>
      <x:c r="L113" s="41"/>
      <x:c r="M113" s="40" t="n">
        <x:f>Model_Data!A113</x:f>
        <x:v>-4.5</x:v>
      </x:c>
      <x:c r="N113" s="40" t="n">
        <x:f>Model_Data!P113</x:f>
        <x:v>33.930646111432324</x:v>
      </x:c>
      <x:c r="O113" s="40" t="n">
        <x:f>Model_Data!AM113</x:f>
        <x:v>33.98470112397263</x:v>
      </x:c>
      <x:c r="P113" s="40" t="n">
        <x:f>Model_Data!Q113</x:f>
        <x:v>5.094691608323172</x:v>
      </x:c>
      <x:c r="Q113" s="40" t="n">
        <x:f>Model_Data!AN113</x:f>
        <x:v>5.102807976572467</x:v>
      </x:c>
      <x:c r="R113" s="41"/>
      <x:c r="S113" s="40" t="n">
        <x:f>Model_Data!A113</x:f>
        <x:v>-4.5</x:v>
      </x:c>
      <x:c r="T113" s="40" t="n">
        <x:f>Model_Data!B113-Inputs!$C$5</x:f>
        <x:v>0.022499999999979536</x:v>
      </x:c>
    </x:row>
    <x:row r="114">
      <x:c r="A114" s="40" t="n">
        <x:f>Model_Data!A114</x:f>
        <x:v>-4</x:v>
      </x:c>
      <x:c r="B114" s="40" t="n">
        <x:f>Model_Data!F114</x:f>
        <x:v>449.67056103995435</x:v>
      </x:c>
      <x:c r="C114" s="40" t="n">
        <x:f>Model_Data!AC114</x:f>
        <x:v>241.50568290840664</x:v>
      </x:c>
      <x:c r="D114" s="41"/>
      <x:c r="E114" s="40" t="n">
        <x:f>Model_Data!A114</x:f>
        <x:v>-4</x:v>
      </x:c>
      <x:c r="F114" s="40" t="n">
        <x:f>Model_Data!Y114</x:f>
        <x:v>316.00374109944835</x:v>
      </x:c>
      <x:c r="G114" s="40" t="n">
        <x:f>Model_Data!X114</x:f>
        <x:v>-55.161282825184074</x:v>
      </x:c>
      <x:c r="H114" s="41"/>
      <x:c r="I114" s="40" t="n">
        <x:f>Model_Data!A114</x:f>
        <x:v>-4</x:v>
      </x:c>
      <x:c r="J114" s="40" t="n">
        <x:f>Model_Data!AI114</x:f>
        <x:v>-208.1648781315477</x:v>
      </x:c>
      <x:c r="K114" s="40" t="n">
        <x:f>Model_Data!AK114</x:f>
        <x:v>371.1650239246324</x:v>
      </x:c>
      <x:c r="L114" s="41"/>
      <x:c r="M114" s="40" t="n">
        <x:f>Model_Data!A114</x:f>
        <x:v>-4</x:v>
      </x:c>
      <x:c r="N114" s="40" t="n">
        <x:f>Model_Data!P114</x:f>
        <x:v>30.161160317799876</x:v>
      </x:c>
      <x:c r="O114" s="40" t="n">
        <x:f>Model_Data!AM114</x:f>
        <x:v>33.56711115975486</x:v>
      </x:c>
      <x:c r="P114" s="40" t="n">
        <x:f>Model_Data!Q114</x:f>
        <x:v>4.528702750420402</x:v>
      </x:c>
      <x:c r="Q114" s="40" t="n">
        <x:f>Model_Data!AN114</x:f>
        <x:v>5.040106780743973</x:v>
      </x:c>
      <x:c r="R114" s="41"/>
      <x:c r="S114" s="40" t="n">
        <x:f>Model_Data!A114</x:f>
        <x:v>-4</x:v>
      </x:c>
      <x:c r="T114" s="40" t="n">
        <x:f>Model_Data!B114-Inputs!$C$5</x:f>
        <x:v>0.017777777777780557</x:v>
      </x:c>
    </x:row>
    <x:row r="115">
      <x:c r="A115" s="40" t="n">
        <x:f>Model_Data!A115</x:f>
        <x:v>-3.5</x:v>
      </x:c>
      <x:c r="B115" s="40" t="n">
        <x:f>Model_Data!F115</x:f>
        <x:v>447.0471416493446</x:v>
      </x:c>
      <x:c r="C115" s="40" t="n">
        <x:f>Model_Data!AC115</x:f>
        <x:v>240.26602753243483</x:v>
      </x:c>
      <x:c r="D115" s="41"/>
      <x:c r="E115" s="40" t="n">
        <x:f>Model_Data!A115</x:f>
        <x:v>-3.5</x:v>
      </x:c>
      <x:c r="F115" s="40" t="n">
        <x:f>Model_Data!Y115</x:f>
        <x:v>317.6068311651404</x:v>
      </x:c>
      <x:c r="G115" s="40" t="n">
        <x:f>Model_Data!X115</x:f>
        <x:v>-51.094609917042554</x:v>
      </x:c>
      <x:c r="H115" s="41"/>
      <x:c r="I115" s="40" t="n">
        <x:f>Model_Data!A115</x:f>
        <x:v>-3.5</x:v>
      </x:c>
      <x:c r="J115" s="40" t="n">
        <x:f>Model_Data!AI115</x:f>
        <x:v>-206.78111411690978</x:v>
      </x:c>
      <x:c r="K115" s="40" t="n">
        <x:f>Model_Data!AK115</x:f>
        <x:v>368.70144108218295</x:v>
      </x:c>
      <x:c r="L115" s="41"/>
      <x:c r="M115" s="40" t="n">
        <x:f>Model_Data!A115</x:f>
        <x:v>-3.5</x:v>
      </x:c>
      <x:c r="N115" s="40" t="n">
        <x:f>Model_Data!P115</x:f>
        <x:v>26.391467733781575</x:v>
      </x:c>
      <x:c r="O115" s="40" t="n">
        <x:f>Model_Data!AM115</x:f>
        <x:v>33.29419787387451</x:v>
      </x:c>
      <x:c r="P115" s="40" t="n">
        <x:f>Model_Data!Q115</x:f>
        <x:v>3.962682842910147</x:v>
      </x:c>
      <x:c r="Q115" s="40" t="n">
        <x:f>Model_Data!AN115</x:f>
        <x:v>4.999128809891068</x:v>
      </x:c>
      <x:c r="R115" s="41"/>
      <x:c r="S115" s="40" t="n">
        <x:f>Model_Data!A115</x:f>
        <x:v>-3.5</x:v>
      </x:c>
      <x:c r="T115" s="40" t="n">
        <x:f>Model_Data!B115-Inputs!$C$5</x:f>
        <x:v>0.01361111111111768</x:v>
      </x:c>
    </x:row>
    <x:row r="116">
      <x:c r="A116" s="40" t="n">
        <x:f>Model_Data!A116</x:f>
        <x:v>-3</x:v>
      </x:c>
      <x:c r="B116" s="40" t="n">
        <x:f>Model_Data!F116</x:f>
        <x:v>444.77344266602285</x:v>
      </x:c>
      <x:c r="C116" s="40" t="n">
        <x:f>Model_Data!AC116</x:f>
        <x:v>239.53969142903435</x:v>
      </x:c>
      <x:c r="D116" s="41"/>
      <x:c r="E116" s="40" t="n">
        <x:f>Model_Data!A116</x:f>
        <x:v>-3</x:v>
      </x:c>
      <x:c r="F116" s="40" t="n">
        <x:f>Model_Data!Y116</x:f>
        <x:v>320.3196529353521</x:v>
      </x:c>
      <x:c r="G116" s="40" t="n">
        <x:f>Model_Data!X116</x:f>
        <x:v>-45.62965176508784</x:v>
      </x:c>
      <x:c r="H116" s="41"/>
      <x:c r="I116" s="40" t="n">
        <x:f>Model_Data!A116</x:f>
        <x:v>-3</x:v>
      </x:c>
      <x:c r="J116" s="40" t="n">
        <x:f>Model_Data!AI116</x:f>
        <x:v>-205.2337512369885</x:v>
      </x:c>
      <x:c r="K116" s="40" t="n">
        <x:f>Model_Data!AK116</x:f>
        <x:v>365.94930470043994</x:v>
      </x:c>
      <x:c r="L116" s="41"/>
      <x:c r="M116" s="40" t="n">
        <x:f>Model_Data!A116</x:f>
        <x:v>-3</x:v>
      </x:c>
      <x:c r="N116" s="40" t="n">
        <x:f>Model_Data!P116</x:f>
        <x:v>22.6215941882293</x:v>
      </x:c>
      <x:c r="O116" s="40" t="n">
        <x:f>Model_Data!AM116</x:f>
        <x:v>33.056029482941085</x:v>
      </x:c>
      <x:c r="P116" s="40" t="n">
        <x:f>Model_Data!Q116</x:f>
        <x:v>3.3966357639983933</x:v>
      </x:c>
      <x:c r="Q116" s="40" t="n">
        <x:f>Model_Data!AN116</x:f>
        <x:v>4.963367790231395</x:v>
      </x:c>
      <x:c r="R116" s="41"/>
      <x:c r="S116" s="40" t="n">
        <x:f>Model_Data!A116</x:f>
        <x:v>-3</x:v>
      </x:c>
      <x:c r="T116" s="40" t="n">
        <x:f>Model_Data!B116-Inputs!$C$5</x:f>
        <x:v>0.009999999999990905</x:v>
      </x:c>
    </x:row>
    <x:row r="117">
      <x:c r="A117" s="40" t="n">
        <x:f>Model_Data!A117</x:f>
        <x:v>-2.5</x:v>
      </x:c>
      <x:c r="B117" s="40" t="n">
        <x:f>Model_Data!F117</x:f>
        <x:v>442.849493591979</x:v>
      </x:c>
      <x:c r="C117" s="40" t="n">
        <x:f>Model_Data!AC117</x:f>
        <x:v>239.27372648824473</x:v>
      </x:c>
      <x:c r="D117" s="41"/>
      <x:c r="E117" s="40" t="n">
        <x:f>Model_Data!A117</x:f>
        <x:v>-2.5</x:v>
      </x:c>
      <x:c r="F117" s="40" t="n">
        <x:f>Model_Data!Y117</x:f>
        <x:v>324.1353266132595</x:v>
      </x:c>
      <x:c r="G117" s="40" t="n">
        <x:f>Model_Data!X117</x:f>
        <x:v>-38.867554015501</x:v>
      </x:c>
      <x:c r="H117" s="41"/>
      <x:c r="I117" s="40" t="n">
        <x:f>Model_Data!A117</x:f>
        <x:v>-2.5</x:v>
      </x:c>
      <x:c r="J117" s="40" t="n">
        <x:f>Model_Data!AI117</x:f>
        <x:v>-203.57576710373428</x:v>
      </x:c>
      <x:c r="K117" s="40" t="n">
        <x:f>Model_Data!AK117</x:f>
        <x:v>363.0028806287605</x:v>
      </x:c>
      <x:c r="L117" s="41"/>
      <x:c r="M117" s="40" t="n">
        <x:f>Model_Data!A117</x:f>
        <x:v>-2.5</x:v>
      </x:c>
      <x:c r="N117" s="40" t="n">
        <x:f>Model_Data!P117</x:f>
        <x:v>18.851565517971398</x:v>
      </x:c>
      <x:c r="O117" s="40" t="n">
        <x:f>Model_Data!AM117</x:f>
        <x:v>32.73679842495767</x:v>
      </x:c>
      <x:c r="P117" s="40" t="n">
        <x:f>Model_Data!Q117</x:f>
        <x:v>2.830565393088799</x:v>
      </x:c>
      <x:c r="Q117" s="40" t="n">
        <x:f>Model_Data!AN117</x:f>
        <x:v>4.9154351989425935</x:v>
      </x:c>
      <x:c r="R117" s="41"/>
      <x:c r="S117" s="40" t="n">
        <x:f>Model_Data!A117</x:f>
        <x:v>-2.5</x:v>
      </x:c>
      <x:c r="T117" s="40" t="n">
        <x:f>Model_Data!B117-Inputs!$C$5</x:f>
        <x:v>0.006944444444457076</x:v>
      </x:c>
    </x:row>
    <x:row r="118">
      <x:c r="A118" s="40" t="n">
        <x:f>Model_Data!A118</x:f>
        <x:v>-2</x:v>
      </x:c>
      <x:c r="B118" s="40" t="n">
        <x:f>Model_Data!F118</x:f>
        <x:v>441.2753193927467</x:v>
      </x:c>
      <x:c r="C118" s="40" t="n">
        <x:f>Model_Data!AC118</x:f>
        <x:v>239.40749655369936</x:v>
      </x:c>
      <x:c r="D118" s="41"/>
      <x:c r="E118" s="40" t="n">
        <x:f>Model_Data!A118</x:f>
        <x:v>-2</x:v>
      </x:c>
      <x:c r="F118" s="40" t="n">
        <x:f>Model_Data!Y118</x:f>
        <x:v>329.0100342024772</x:v>
      </x:c>
      <x:c r="G118" s="40" t="n">
        <x:f>Model_Data!X118</x:f>
        <x:v>-30.96001518310699</x:v>
      </x:c>
      <x:c r="H118" s="41"/>
      <x:c r="I118" s="40" t="n">
        <x:f>Model_Data!A118</x:f>
        <x:v>-2</x:v>
      </x:c>
      <x:c r="J118" s="40" t="n">
        <x:f>Model_Data!AI118</x:f>
        <x:v>-201.86782283904736</x:v>
      </x:c>
      <x:c r="K118" s="40" t="n">
        <x:f>Model_Data!AK118</x:f>
        <x:v>359.97004938558416</x:v>
      </x:c>
      <x:c r="L118" s="41"/>
      <x:c r="M118" s="40" t="n">
        <x:f>Model_Data!A118</x:f>
        <x:v>-2</x:v>
      </x:c>
      <x:c r="N118" s="40" t="n">
        <x:f>Model_Data!P118</x:f>
        <x:v>15.081407566674704</x:v>
      </x:c>
      <x:c r="O118" s="40" t="n">
        <x:f>Model_Data!AM118</x:f>
        <x:v>32.218061731509806</x:v>
      </x:c>
      <x:c r="P118" s="40" t="n">
        <x:f>Model_Data!Q118</x:f>
        <x:v>2.2644756106118176</x:v>
      </x:c>
      <x:c r="Q118" s="40" t="n">
        <x:f>Model_Data!AN118</x:f>
        <x:v>4.8375468065330045</x:v>
      </x:c>
      <x:c r="R118" s="41"/>
      <x:c r="S118" s="40" t="n">
        <x:f>Model_Data!A118</x:f>
        <x:v>-2</x:v>
      </x:c>
      <x:c r="T118" s="40" t="n">
        <x:f>Model_Data!B118-Inputs!$C$5</x:f>
        <x:v>0.00444444444445935</x:v>
      </x:c>
    </x:row>
    <x:row r="119">
      <x:c r="A119" s="40" t="n">
        <x:f>Model_Data!A119</x:f>
        <x:v>-1.5</x:v>
      </x:c>
      <x:c r="B119" s="40" t="n">
        <x:f>Model_Data!F119</x:f>
        <x:v>440.0509404961583</x:v>
      </x:c>
      <x:c r="C119" s="40" t="n">
        <x:f>Model_Data!AC119</x:f>
        <x:v>239.87573401601375</x:v>
      </x:c>
      <x:c r="D119" s="41"/>
      <x:c r="E119" s="40" t="n">
        <x:f>Model_Data!A119</x:f>
        <x:v>-1.5</x:v>
      </x:c>
      <x:c r="F119" s="40" t="n">
        <x:f>Model_Data!Y119</x:f>
        <x:v>334.86272925983457</x:v>
      </x:c>
      <x:c r="G119" s="40" t="n">
        <x:f>Model_Data!X119</x:f>
        <x:v>-22.10413647832253</x:v>
      </x:c>
      <x:c r="H119" s="41"/>
      <x:c r="I119" s="40" t="n">
        <x:f>Model_Data!A119</x:f>
        <x:v>-1.5</x:v>
      </x:c>
      <x:c r="J119" s="40" t="n">
        <x:f>Model_Data!AI119</x:f>
        <x:v>-200.17520648014457</x:v>
      </x:c>
      <x:c r="K119" s="40" t="n">
        <x:f>Model_Data!AK119</x:f>
        <x:v>356.9668657381571</x:v>
      </x:c>
      <x:c r="L119" s="41"/>
      <x:c r="M119" s="40" t="n">
        <x:f>Model_Data!A119</x:f>
        <x:v>-1.5</x:v>
      </x:c>
      <x:c r="N119" s="40" t="n">
        <x:f>Model_Data!P119</x:f>
        <x:v>11.311146183705798</x:v>
      </x:c>
      <x:c r="O119" s="40" t="n">
        <x:f>Model_Data!AM119</x:f>
        <x:v>31.382275797295733</x:v>
      </x:c>
      <x:c r="P119" s="40" t="n">
        <x:f>Model_Data!Q119</x:f>
        <x:v>1.6983702978537236</x:v>
      </x:c>
      <x:c r="Q119" s="40" t="n">
        <x:f>Model_Data!AN119</x:f>
        <x:v>4.712053423017378</x:v>
      </x:c>
      <x:c r="R119" s="41"/>
      <x:c r="S119" s="40" t="n">
        <x:f>Model_Data!A119</x:f>
        <x:v>-1.5</x:v>
      </x:c>
      <x:c r="T119" s="40" t="n">
        <x:f>Model_Data!B119-Inputs!$C$5</x:f>
        <x:v>0.0024999999999977263</x:v>
      </x:c>
    </x:row>
    <x:row r="120">
      <x:c r="A120" s="40" t="n">
        <x:f>Model_Data!A120</x:f>
        <x:v>-1</x:v>
      </x:c>
      <x:c r="B120" s="40" t="n">
        <x:f>Model_Data!F120</x:f>
        <x:v>439.1763727913863</x:v>
      </x:c>
      <x:c r="C120" s="40" t="n">
        <x:f>Model_Data!AC120</x:f>
        <x:v>240.6119161725676</x:v>
      </x:c>
      <x:c r="D120" s="41"/>
      <x:c r="E120" s="40" t="n">
        <x:f>Model_Data!A120</x:f>
        <x:v>-1</x:v>
      </x:c>
      <x:c r="F120" s="40" t="n">
        <x:f>Model_Data!Y120</x:f>
        <x:v>341.57599125577957</x:v>
      </x:c>
      <x:c r="G120" s="40" t="n">
        <x:f>Model_Data!X120</x:f>
        <x:v>-12.53555922152693</x:v>
      </x:c>
      <x:c r="H120" s="41"/>
      <x:c r="I120" s="40" t="n">
        <x:f>Model_Data!A120</x:f>
        <x:v>-1</x:v>
      </x:c>
      <x:c r="J120" s="40" t="n">
        <x:f>Model_Data!AI120</x:f>
        <x:v>-198.56445661881872</x:v>
      </x:c>
      <x:c r="K120" s="40" t="n">
        <x:f>Model_Data!AK120</x:f>
        <x:v>354.1115504773065</x:v>
      </x:c>
      <x:c r="L120" s="41"/>
      <x:c r="M120" s="40" t="n">
        <x:f>Model_Data!A120</x:f>
        <x:v>-1</x:v>
      </x:c>
      <x:c r="N120" s="40" t="n">
        <x:f>Model_Data!P120</x:f>
        <x:v>7.540807222991734</x:v>
      </x:c>
      <x:c r="O120" s="40" t="n">
        <x:f>Model_Data!AM120</x:f>
        <x:v>30.11652246777885</x:v>
      </x:c>
      <x:c r="P120" s="40" t="n">
        <x:f>Model_Data!Q120</x:f>
        <x:v>1.1322533367855456</x:v>
      </x:c>
      <x:c r="Q120" s="40" t="n">
        <x:f>Model_Data!AN120</x:f>
        <x:v>4.5220003705373655</x:v>
      </x:c>
      <x:c r="R120" s="41"/>
      <x:c r="S120" s="40" t="n">
        <x:f>Model_Data!A120</x:f>
        <x:v>-1</x:v>
      </x:c>
      <x:c r="T120" s="40" t="n">
        <x:f>Model_Data!B120-Inputs!$C$5</x:f>
        <x:v>0.0011111111111290484</x:v>
      </x:c>
    </x:row>
    <x:row r="121">
      <x:c r="A121" s="40" t="n">
        <x:f>Model_Data!A121</x:f>
        <x:v>-0.5</x:v>
      </x:c>
      <x:c r="B121" s="40" t="n">
        <x:f>Model_Data!F121</x:f>
        <x:v>438.65162762840095</x:v>
      </x:c>
      <x:c r="C121" s="40" t="n">
        <x:f>Model_Data!AC121</x:f>
        <x:v>241.55179608833785</x:v>
      </x:c>
      <x:c r="D121" s="41"/>
      <x:c r="E121" s="40" t="n">
        <x:f>Model_Data!A121</x:f>
        <x:v>-0.5</x:v>
      </x:c>
      <x:c r="F121" s="40" t="n">
        <x:f>Model_Data!Y121</x:f>
        <x:v>348.9980669453948</x:v>
      </x:c>
      <x:c r="G121" s="40" t="n">
        <x:f>Model_Data!X121</x:f>
        <x:v>-2.5201416694227667</x:v>
      </x:c>
      <x:c r="H121" s="41"/>
      <x:c r="I121" s="40" t="n">
        <x:f>Model_Data!A121</x:f>
        <x:v>-0.5</x:v>
      </x:c>
      <x:c r="J121" s="40" t="n">
        <x:f>Model_Data!AI121</x:f>
        <x:v>-197.0998315400631</x:v>
      </x:c>
      <x:c r="K121" s="40" t="n">
        <x:f>Model_Data!AK121</x:f>
        <x:v>351.5182086148175</x:v>
      </x:c>
      <x:c r="L121" s="41"/>
      <x:c r="M121" s="40" t="n">
        <x:f>Model_Data!A121</x:f>
        <x:v>-0.5</x:v>
      </x:c>
      <x:c r="N121" s="40" t="n">
        <x:f>Model_Data!P121</x:f>
        <x:v>3.7704165418803064</x:v>
      </x:c>
      <x:c r="O121" s="40" t="n">
        <x:f>Model_Data!AM121</x:f>
        <x:v>28.316307990826317</x:v>
      </x:c>
      <x:c r="P121" s="40" t="n">
        <x:f>Model_Data!Q121</x:f>
        <x:v>0.5661286098919379</x:v>
      </x:c>
      <x:c r="Q121" s="40" t="n">
        <x:f>Model_Data!AN121</x:f>
        <x:v>4.251697896520469</x:v>
      </x:c>
      <x:c r="R121" s="41"/>
      <x:c r="S121" s="40" t="n">
        <x:f>Model_Data!A121</x:f>
        <x:v>-0.5</x:v>
      </x:c>
      <x:c r="T121" s="40" t="n">
        <x:f>Model_Data!B121-Inputs!$C$5</x:f>
        <x:v>0.00027777777779647295</x:v>
      </x:c>
    </x:row>
    <x:row r="122">
      <x:c r="A122" s="40" t="n">
        <x:f>Model_Data!A122</x:f>
        <x:v>0</x:v>
      </x:c>
      <x:c r="B122" s="40" t="n">
        <x:f>Model_Data!F122</x:f>
        <x:v>438.4767118173631</x:v>
      </x:c>
      <x:c r="C122" s="40" t="n">
        <x:f>Model_Data!AC122</x:f>
        <x:v>242.63691340927176</x:v>
      </x:c>
      <x:c r="D122" s="41"/>
      <x:c r="E122" s="40" t="n">
        <x:f>Model_Data!A122</x:f>
        <x:v>0</x:v>
      </x:c>
      <x:c r="F122" s="40" t="n">
        <x:f>Model_Data!Y122</x:f>
        <x:v>356.94610197323505</x:v>
      </x:c>
      <x:c r="G122" s="40" t="n">
        <x:f>Model_Data!X122</x:f>
        <x:v>7.655517242962714</x:v>
      </x:c>
      <x:c r="H122" s="41"/>
      <x:c r="I122" s="40" t="n">
        <x:f>Model_Data!A122</x:f>
        <x:v>0</x:v>
      </x:c>
      <x:c r="J122" s="40" t="n">
        <x:f>Model_Data!AI122</x:f>
        <x:v>-195.83979840809133</x:v>
      </x:c>
      <x:c r="K122" s="40" t="n">
        <x:f>Model_Data!AK122</x:f>
        <x:v>349.2905847302723</x:v>
      </x:c>
      <x:c r="L122" s="41"/>
      <x:c r="M122" s="40" t="n">
        <x:f>Model_Data!A122</x:f>
        <x:v>0</x:v>
      </x:c>
      <x:c r="N122" s="40" t="n">
        <x:f>Model_Data!P122</x:f>
        <x:v>0</x:v>
      </x:c>
      <x:c r="O122" s="40" t="n">
        <x:f>Model_Data!AM122</x:f>
        <x:v>25.889304822703707</x:v>
      </x:c>
      <x:c r="P122" s="40" t="n">
        <x:f>Model_Data!Q122</x:f>
        <x:v>0</x:v>
      </x:c>
      <x:c r="Q122" s="40" t="n">
        <x:f>Model_Data!AN122</x:f>
        <x:v>3.8872830064119683</x:v>
      </x:c>
      <x:c r="R122" s="41"/>
      <x:c r="S122" s="40" t="n">
        <x:f>Model_Data!A122</x:f>
        <x:v>0</x:v>
      </x:c>
      <x:c r="T122" s="40" t="n">
        <x:f>Model_Data!B122-Inputs!$C$5</x:f>
        <x:v>0</x:v>
      </x:c>
    </x:row>
    <x:row r="123">
      <x:c r="A123" s="40" t="n">
        <x:f>Model_Data!A123</x:f>
        <x:v>0.5</x:v>
      </x:c>
      <x:c r="B123" s="40" t="n">
        <x:f>Model_Data!F123</x:f>
        <x:v>438.65162762840095</x:v>
      </x:c>
      <x:c r="C123" s="40" t="n">
        <x:f>Model_Data!AC123</x:f>
        <x:v>243.81790952201698</x:v>
      </x:c>
      <x:c r="D123" s="41"/>
      <x:c r="E123" s="40" t="n">
        <x:f>Model_Data!A123</x:f>
        <x:v>0.5</x:v>
      </x:c>
      <x:c r="F123" s="40" t="n">
        <x:f>Model_Data!Y123</x:f>
        <x:v>365.2105238013953</x:v>
      </x:c>
      <x:c r="G123" s="40" t="n">
        <x:f>Model_Data!X123</x:f>
        <x:v>17.694355756721052</x:v>
      </x:c>
      <x:c r="H123" s="41"/>
      <x:c r="I123" s="40" t="n">
        <x:f>Model_Data!A123</x:f>
        <x:v>0.5</x:v>
      </x:c>
      <x:c r="J123" s="40" t="n">
        <x:f>Model_Data!AI123</x:f>
        <x:v>-194.83371810638397</x:v>
      </x:c>
      <x:c r="K123" s="40" t="n">
        <x:f>Model_Data!AK123</x:f>
        <x:v>347.51616804467426</x:v>
      </x:c>
      <x:c r="L123" s="41"/>
      <x:c r="M123" s="40" t="n">
        <x:f>Model_Data!A123</x:f>
        <x:v>0.5</x:v>
      </x:c>
      <x:c r="N123" s="40" t="n">
        <x:f>Model_Data!P123</x:f>
        <x:v>-3.7704165418803064</x:v>
      </x:c>
      <x:c r="O123" s="40" t="n">
        <x:f>Model_Data!AM123</x:f>
        <x:v>22.758899296877644</x:v>
      </x:c>
      <x:c r="P123" s="40" t="n">
        <x:f>Model_Data!Q123</x:f>
        <x:v>-0.5661286098919379</x:v>
      </x:c>
      <x:c r="Q123" s="40" t="n">
        <x:f>Model_Data!AN123</x:f>
        <x:v>3.417252146678325</x:v>
      </x:c>
      <x:c r="R123" s="41"/>
      <x:c r="S123" s="40" t="n">
        <x:f>Model_Data!A123</x:f>
        <x:v>0.5</x:v>
      </x:c>
      <x:c r="T123" s="40" t="n">
        <x:f>Model_Data!B123-Inputs!$C$5</x:f>
        <x:v>0.00027777777779647295</x:v>
      </x:c>
    </x:row>
    <x:row r="124">
      <x:c r="A124" s="40" t="n">
        <x:f>Model_Data!A124</x:f>
        <x:v>1</x:v>
      </x:c>
      <x:c r="B124" s="40" t="n">
        <x:f>Model_Data!F124</x:f>
        <x:v>439.1763727913863</x:v>
      </x:c>
      <x:c r="C124" s="40" t="n">
        <x:f>Model_Data!AC124</x:f>
        <x:v>245.05747872435575</x:v>
      </x:c>
      <x:c r="D124" s="41"/>
      <x:c r="E124" s="40" t="n">
        <x:f>Model_Data!A124</x:f>
        <x:v>1</x:v>
      </x:c>
      <x:c r="F124" s="40" t="n">
        <x:f>Model_Data!Y124</x:f>
        <x:v>373.5604935004755</x:v>
      </x:c>
      <x:c r="G124" s="40" t="n">
        <x:f>Model_Data!X124</x:f>
        <x:v>27.299546675477327</x:v>
      </x:c>
      <x:c r="H124" s="41"/>
      <x:c r="I124" s="40" t="n">
        <x:f>Model_Data!A124</x:f>
        <x:v>1</x:v>
      </x:c>
      <x:c r="J124" s="40" t="n">
        <x:f>Model_Data!AI124</x:f>
        <x:v>-194.11889406703057</x:v>
      </x:c>
      <x:c r="K124" s="40" t="n">
        <x:f>Model_Data!AK124</x:f>
        <x:v>346.2609468249982</x:v>
      </x:c>
      <x:c r="L124" s="41"/>
      <x:c r="M124" s="40" t="n">
        <x:f>Model_Data!A124</x:f>
        <x:v>1</x:v>
      </x:c>
      <x:c r="N124" s="40" t="n">
        <x:f>Model_Data!P124</x:f>
        <x:v>-7.540807222991734</x:v>
      </x:c>
      <x:c r="O124" s="40" t="n">
        <x:f>Model_Data!AM124</x:f>
        <x:v>18.8674063561848</x:v>
      </x:c>
      <x:c r="P124" s="40" t="n">
        <x:f>Model_Data!Q124</x:f>
        <x:v>-1.1322533367855456</x:v>
      </x:c>
      <x:c r="Q124" s="40" t="n">
        <x:f>Model_Data!AN124</x:f>
        <x:v>2.8329438973250456</x:v>
      </x:c>
      <x:c r="R124" s="41"/>
      <x:c r="S124" s="40" t="n">
        <x:f>Model_Data!A124</x:f>
        <x:v>1</x:v>
      </x:c>
      <x:c r="T124" s="40" t="n">
        <x:f>Model_Data!B124-Inputs!$C$5</x:f>
        <x:v>0.0011111111111290484</x:v>
      </x:c>
    </x:row>
    <x:row r="125">
      <x:c r="A125" s="40" t="n">
        <x:f>Model_Data!A125</x:f>
        <x:v>1.5</x:v>
      </x:c>
      <x:c r="B125" s="40" t="n">
        <x:f>Model_Data!F125</x:f>
        <x:v>440.0509404961583</x:v>
      </x:c>
      <x:c r="C125" s="40" t="n">
        <x:f>Model_Data!AC125</x:f>
        <x:v>246.33280237942037</x:v>
      </x:c>
      <x:c r="D125" s="41"/>
      <x:c r="E125" s="40" t="n">
        <x:f>Model_Data!A125</x:f>
        <x:v>1.5</x:v>
      </x:c>
      <x:c r="F125" s="40" t="n">
        <x:f>Model_Data!Y125</x:f>
        <x:v>381.7503006722575</x:v>
      </x:c>
      <x:c r="G125" s="40" t="n">
        <x:f>Model_Data!X125</x:f>
        <x:v>36.18521623766938</x:v>
      </x:c>
      <x:c r="H125" s="41"/>
      <x:c r="I125" s="40" t="n">
        <x:f>Model_Data!A125</x:f>
        <x:v>1.5</x:v>
      </x:c>
      <x:c r="J125" s="40" t="n">
        <x:f>Model_Data!AI125</x:f>
        <x:v>-193.71813811673795</x:v>
      </x:c>
      <x:c r="K125" s="40" t="n">
        <x:f>Model_Data!AK125</x:f>
        <x:v>345.56508443458813</x:v>
      </x:c>
      <x:c r="L125" s="41"/>
      <x:c r="M125" s="40" t="n">
        <x:f>Model_Data!A125</x:f>
        <x:v>1.5</x:v>
      </x:c>
      <x:c r="N125" s="40" t="n">
        <x:f>Model_Data!P125</x:f>
        <x:v>-11.311146183705798</x:v>
      </x:c>
      <x:c r="O125" s="40" t="n">
        <x:f>Model_Data!AM125</x:f>
        <x:v>14.178816305229702</x:v>
      </x:c>
      <x:c r="P125" s="40" t="n">
        <x:f>Model_Data!Q125</x:f>
        <x:v>-1.6983702978537236</x:v>
      </x:c>
      <x:c r="Q125" s="40" t="n">
        <x:f>Model_Data!AN125</x:f>
        <x:v>2.128951397181637</x:v>
      </x:c>
      <x:c r="R125" s="41"/>
      <x:c r="S125" s="40" t="n">
        <x:f>Model_Data!A125</x:f>
        <x:v>1.5</x:v>
      </x:c>
      <x:c r="T125" s="40" t="n">
        <x:f>Model_Data!B125-Inputs!$C$5</x:f>
        <x:v>0.0024999999999977263</x:v>
      </x:c>
    </x:row>
    <x:row r="126">
      <x:c r="A126" s="40" t="n">
        <x:f>Model_Data!A126</x:f>
        <x:v>2</x:v>
      </x:c>
      <x:c r="B126" s="40" t="n">
        <x:f>Model_Data!F126</x:f>
        <x:v>441.2753193927467</x:v>
      </x:c>
      <x:c r="C126" s="40" t="n">
        <x:f>Model_Data!AC126</x:f>
        <x:v>247.63733572255654</x:v>
      </x:c>
      <x:c r="D126" s="41"/>
      <x:c r="E126" s="40" t="n">
        <x:f>Model_Data!A126</x:f>
        <x:v>2</x:v>
      </x:c>
      <x:c r="F126" s="40" t="n">
        <x:f>Model_Data!Y126</x:f>
        <x:v>389.5265345648497</x:v>
      </x:c>
      <x:c r="G126" s="40" t="n">
        <x:f>Model_Data!X126</x:f>
        <x:v>44.08678565637301</x:v>
      </x:c>
      <x:c r="H126" s="41"/>
      <x:c r="I126" s="40" t="n">
        <x:f>Model_Data!A126</x:f>
        <x:v>2</x:v>
      </x:c>
      <x:c r="J126" s="40" t="n">
        <x:f>Model_Data!AI126</x:f>
        <x:v>-193.63798367019018</x:v>
      </x:c>
      <x:c r="K126" s="40" t="n">
        <x:f>Model_Data!AK126</x:f>
        <x:v>345.4397489084767</x:v>
      </x:c>
      <x:c r="L126" s="41"/>
      <x:c r="M126" s="40" t="n">
        <x:f>Model_Data!A126</x:f>
        <x:v>2</x:v>
      </x:c>
      <x:c r="N126" s="40" t="n">
        <x:f>Model_Data!P126</x:f>
        <x:v>-15.081407566674704</x:v>
      </x:c>
      <x:c r="O126" s="40" t="n">
        <x:f>Model_Data!AM126</x:f>
        <x:v>8.680948030450963</x:v>
      </x:c>
      <x:c r="P126" s="40" t="n">
        <x:f>Model_Data!Q126</x:f>
        <x:v>-2.2644756106118176</x:v>
      </x:c>
      <x:c r="Q126" s="40" t="n">
        <x:f>Model_Data!AN126</x:f>
        <x:v>1.3034456502178624</x:v>
      </x:c>
      <x:c r="R126" s="41"/>
      <x:c r="S126" s="40" t="n">
        <x:f>Model_Data!A126</x:f>
        <x:v>2</x:v>
      </x:c>
      <x:c r="T126" s="40" t="n">
        <x:f>Model_Data!B126-Inputs!$C$5</x:f>
        <x:v>0.00444444444445935</x:v>
      </x:c>
    </x:row>
    <x:row r="127">
      <x:c r="A127" s="40" t="n">
        <x:f>Model_Data!A127</x:f>
        <x:v>2.5</x:v>
      </x:c>
      <x:c r="B127" s="40" t="n">
        <x:f>Model_Data!F127</x:f>
        <x:v>442.849493591979</x:v>
      </x:c>
      <x:c r="C127" s="40" t="n">
        <x:f>Model_Data!AC127</x:f>
        <x:v>248.98184606600358</x:v>
      </x:c>
      <x:c r="D127" s="41"/>
      <x:c r="E127" s="40" t="n">
        <x:f>Model_Data!A127</x:f>
        <x:v>2.5</x:v>
      </x:c>
      <x:c r="F127" s="40" t="n">
        <x:f>Model_Data!Y127</x:f>
        <x:v>396.63582709405546</x:v>
      </x:c>
      <x:c r="G127" s="40" t="n">
        <x:f>Model_Data!X127</x:f>
        <x:v>50.77055096330699</x:v>
      </x:c>
      <x:c r="H127" s="41"/>
      <x:c r="I127" s="40" t="n">
        <x:f>Model_Data!A127</x:f>
        <x:v>2.5</x:v>
      </x:c>
      <x:c r="J127" s="40" t="n">
        <x:f>Model_Data!AI127</x:f>
        <x:v>-193.86764752597543</x:v>
      </x:c>
      <x:c r="K127" s="40" t="n">
        <x:f>Model_Data!AK127</x:f>
        <x:v>345.8652761307485</x:v>
      </x:c>
      <x:c r="L127" s="41"/>
      <x:c r="M127" s="40" t="n">
        <x:f>Model_Data!A127</x:f>
        <x:v>2.5</x:v>
      </x:c>
      <x:c r="N127" s="40" t="n">
        <x:f>Model_Data!P127</x:f>
        <x:v>-18.851565517971398</x:v>
      </x:c>
      <x:c r="O127" s="40" t="n">
        <x:f>Model_Data!AM127</x:f>
        <x:v>2.386898265740456</x:v>
      </x:c>
      <x:c r="P127" s="40" t="n">
        <x:f>Model_Data!Q127</x:f>
        <x:v>-2.830565393088799</x:v>
      </x:c>
      <x:c r="Q127" s="40" t="n">
        <x:f>Model_Data!AN127</x:f>
        <x:v>0.35839313299406245</x:v>
      </x:c>
      <x:c r="R127" s="41"/>
      <x:c r="S127" s="40" t="n">
        <x:f>Model_Data!A127</x:f>
        <x:v>2.5</x:v>
      </x:c>
      <x:c r="T127" s="40" t="n">
        <x:f>Model_Data!B127-Inputs!$C$5</x:f>
        <x:v>0.006944444444457076</x:v>
      </x:c>
    </x:row>
    <x:row r="128">
      <x:c r="A128" s="40" t="n">
        <x:f>Model_Data!A128</x:f>
        <x:v>3</x:v>
      </x:c>
      <x:c r="B128" s="40" t="n">
        <x:f>Model_Data!F128</x:f>
        <x:v>444.77344266602285</x:v>
      </x:c>
      <x:c r="C128" s="40" t="n">
        <x:f>Model_Data!AC128</x:f>
        <x:v>250.39463531172305</x:v>
      </x:c>
      <x:c r="D128" s="41"/>
      <x:c r="E128" s="40" t="n">
        <x:f>Model_Data!A128</x:f>
        <x:v>3</x:v>
      </x:c>
      <x:c r="F128" s="40" t="n">
        <x:f>Model_Data!Y128</x:f>
        <x:v>402.8329317329924</x:v>
      </x:c>
      <x:c r="G128" s="40" t="n">
        <x:f>Model_Data!X128</x:f>
        <x:v>56.042145896701015</x:v>
      </x:c>
      <x:c r="H128" s="41"/>
      <x:c r="I128" s="40" t="n">
        <x:f>Model_Data!A128</x:f>
        <x:v>3</x:v>
      </x:c>
      <x:c r="J128" s="40" t="n">
        <x:f>Model_Data!AI128</x:f>
        <x:v>-194.3788073542998</x:v>
      </x:c>
      <x:c r="K128" s="40" t="n">
        <x:f>Model_Data!AK128</x:f>
        <x:v>346.7907858362914</x:v>
      </x:c>
      <x:c r="L128" s="41"/>
      <x:c r="M128" s="40" t="n">
        <x:f>Model_Data!A128</x:f>
        <x:v>3</x:v>
      </x:c>
      <x:c r="N128" s="40" t="n">
        <x:f>Model_Data!P128</x:f>
        <x:v>-22.6215941882293</x:v>
      </x:c>
      <x:c r="O128" s="40" t="n">
        <x:f>Model_Data!AM128</x:f>
        <x:v>-4.664303061872488</x:v>
      </x:c>
      <x:c r="P128" s="40" t="n">
        <x:f>Model_Data!Q128</x:f>
        <x:v>-3.3966357639983933</x:v>
      </x:c>
      <x:c r="Q128" s="40" t="n">
        <x:f>Model_Data!AN128</x:f>
        <x:v>-0.7003458050859592</x:v>
      </x:c>
      <x:c r="R128" s="41"/>
      <x:c r="S128" s="40" t="n">
        <x:f>Model_Data!A128</x:f>
        <x:v>3</x:v>
      </x:c>
      <x:c r="T128" s="40" t="n">
        <x:f>Model_Data!B128-Inputs!$C$5</x:f>
        <x:v>0.009999999999990905</x:v>
      </x:c>
    </x:row>
    <x:row r="129">
      <x:c r="A129" s="40" t="n">
        <x:f>Model_Data!A129</x:f>
        <x:v>3.5</x:v>
      </x:c>
      <x:c r="B129" s="40" t="n">
        <x:f>Model_Data!F129</x:f>
        <x:v>447.0471416493446</x:v>
      </x:c>
      <x:c r="C129" s="40" t="n">
        <x:f>Model_Data!AC129</x:f>
        <x:v>251.92091738937393</x:v>
      </x:c>
      <x:c r="D129" s="41"/>
      <x:c r="E129" s="40" t="n">
        <x:f>Model_Data!A129</x:f>
        <x:v>3.5</x:v>
      </x:c>
      <x:c r="F129" s="40" t="n">
        <x:f>Model_Data!Y129</x:f>
        <x:v>407.8888776668185</x:v>
      </x:c>
      <x:c r="G129" s="40" t="n">
        <x:f>Model_Data!X129</x:f>
        <x:v>59.75357517187605</x:v>
      </x:c>
      <x:c r="H129" s="41"/>
      <x:c r="I129" s="40" t="n">
        <x:f>Model_Data!A129</x:f>
        <x:v>3.5</x:v>
      </x:c>
      <x:c r="J129" s="40" t="n">
        <x:f>Model_Data!AI129</x:f>
        <x:v>-195.12622425997068</x:v>
      </x:c>
      <x:c r="K129" s="40" t="n">
        <x:f>Model_Data!AK129</x:f>
        <x:v>348.13530249494244</x:v>
      </x:c>
      <x:c r="L129" s="41"/>
      <x:c r="M129" s="40" t="n">
        <x:f>Model_Data!A129</x:f>
        <x:v>3.5</x:v>
      </x:c>
      <x:c r="N129" s="40" t="n">
        <x:f>Model_Data!P129</x:f>
        <x:v>-26.391467733781575</x:v>
      </x:c>
      <x:c r="O129" s="40" t="n">
        <x:f>Model_Data!AM129</x:f>
        <x:v>-12.407896178410738</x:v>
      </x:c>
      <x:c r="P129" s="40" t="n">
        <x:f>Model_Data!Q129</x:f>
        <x:v>-3.962682842910147</x:v>
      </x:c>
      <x:c r="Q129" s="40" t="n">
        <x:f>Model_Data!AN129</x:f>
        <x:v>-1.8630474742358467</x:v>
      </x:c>
      <x:c r="R129" s="41"/>
      <x:c r="S129" s="40" t="n">
        <x:f>Model_Data!A129</x:f>
        <x:v>3.5</x:v>
      </x:c>
      <x:c r="T129" s="40" t="n">
        <x:f>Model_Data!B129-Inputs!$C$5</x:f>
        <x:v>0.01361111111111768</x:v>
      </x:c>
    </x:row>
    <x:row r="130">
      <x:c r="A130" s="40" t="n">
        <x:f>Model_Data!A130</x:f>
        <x:v>4</x:v>
      </x:c>
      <x:c r="B130" s="40" t="n">
        <x:f>Model_Data!F130</x:f>
        <x:v>449.67056103995435</x:v>
      </x:c>
      <x:c r="C130" s="40" t="n">
        <x:f>Model_Data!AC130</x:f>
        <x:v>253.62136077668242</x:v>
      </x:c>
      <x:c r="D130" s="41"/>
      <x:c r="E130" s="40" t="n">
        <x:f>Model_Data!A130</x:f>
        <x:v>4</x:v>
      </x:c>
      <x:c r="F130" s="40" t="n">
        <x:f>Model_Data!Y130</x:f>
        <x:v>411.59892260341974</x:v>
      </x:c>
      <x:c r="G130" s="40" t="n">
        <x:f>Model_Data!X130</x:f>
        <x:v>61.80855989060662</x:v>
      </x:c>
      <x:c r="H130" s="41"/>
      <x:c r="I130" s="40" t="n">
        <x:f>Model_Data!A130</x:f>
        <x:v>4</x:v>
      </x:c>
      <x:c r="J130" s="40" t="n">
        <x:f>Model_Data!AI130</x:f>
        <x:v>-196.04920026327193</x:v>
      </x:c>
      <x:c r="K130" s="40" t="n">
        <x:f>Model_Data!AK130</x:f>
        <x:v>349.79036271281313</x:v>
      </x:c>
      <x:c r="L130" s="41"/>
      <x:c r="M130" s="40" t="n">
        <x:f>Model_Data!A130</x:f>
        <x:v>4</x:v>
      </x:c>
      <x:c r="N130" s="40" t="n">
        <x:f>Model_Data!P130</x:f>
        <x:v>-30.161160317799876</x:v>
      </x:c>
      <x:c r="O130" s="40" t="n">
        <x:f>Model_Data!AM130</x:f>
        <x:v>-20.754489161117817</x:v>
      </x:c>
      <x:c r="P130" s="40" t="n">
        <x:f>Model_Data!Q130</x:f>
        <x:v>-4.528702750420402</x:v>
      </x:c>
      <x:c r="Q130" s="40" t="n">
        <x:f>Model_Data!AN130</x:f>
        <x:v>-3.1162896638315045</x:v>
      </x:c>
      <x:c r="R130" s="41"/>
      <x:c r="S130" s="40" t="n">
        <x:f>Model_Data!A130</x:f>
        <x:v>4</x:v>
      </x:c>
      <x:c r="T130" s="40" t="n">
        <x:f>Model_Data!B130-Inputs!$C$5</x:f>
        <x:v>0.017777777777780557</x:v>
      </x:c>
    </x:row>
    <x:row r="131">
      <x:c r="A131" s="40" t="n">
        <x:f>Model_Data!A131</x:f>
        <x:v>4.5</x:v>
      </x:c>
      <x:c r="B131" s="40" t="n">
        <x:f>Model_Data!F131</x:f>
        <x:v>452.64366680049187</x:v>
      </x:c>
      <x:c r="C131" s="40" t="n">
        <x:f>Model_Data!AC131</x:f>
        <x:v>255.5698458215165</x:v>
      </x:c>
      <x:c r="D131" s="41"/>
      <x:c r="E131" s="40" t="n">
        <x:f>Model_Data!A131</x:f>
        <x:v>4.5</x:v>
      </x:c>
      <x:c r="F131" s="40" t="n">
        <x:f>Model_Data!Y131</x:f>
        <x:v>413.7900212690455</x:v>
      </x:c>
      <x:c r="G131" s="40" t="n">
        <x:f>Model_Data!X131</x:f>
        <x:v>62.16600094428339</x:v>
      </x:c>
      <x:c r="H131" s="41"/>
      <x:c r="I131" s="40" t="n">
        <x:f>Model_Data!A131</x:f>
        <x:v>4.5</x:v>
      </x:c>
      <x:c r="J131" s="40" t="n">
        <x:f>Model_Data!AI131</x:f>
        <x:v>-197.07382097897536</x:v>
      </x:c>
      <x:c r="K131" s="40" t="n">
        <x:f>Model_Data!AK131</x:f>
        <x:v>351.6240203247621</x:v>
      </x:c>
      <x:c r="L131" s="41"/>
      <x:c r="M131" s="40" t="n">
        <x:f>Model_Data!A131</x:f>
        <x:v>4.5</x:v>
      </x:c>
      <x:c r="N131" s="40" t="n">
        <x:f>Model_Data!P131</x:f>
        <x:v>-33.930646111432324</x:v>
      </x:c>
      <x:c r="O131" s="40" t="n">
        <x:f>Model_Data!AM131</x:f>
        <x:v>-29.59205361239583</x:v>
      </x:c>
      <x:c r="P131" s="40" t="n">
        <x:f>Model_Data!Q131</x:f>
        <x:v>-5.094691608323172</x:v>
      </x:c>
      <x:c r="Q131" s="40" t="n">
        <x:f>Model_Data!AN131</x:f>
        <x:v>-4.443251293152527</x:v>
      </x:c>
      <x:c r="R131" s="41"/>
      <x:c r="S131" s="40" t="n">
        <x:f>Model_Data!A131</x:f>
        <x:v>4.5</x:v>
      </x:c>
      <x:c r="T131" s="40" t="n">
        <x:f>Model_Data!B131-Inputs!$C$5</x:f>
        <x:v>0.022499999999979536</x:v>
      </x:c>
    </x:row>
    <x:row r="132">
      <x:c r="A132" s="40" t="n">
        <x:f>Model_Data!A132</x:f>
        <x:v>5</x:v>
      </x:c>
      <x:c r="B132" s="40" t="n">
        <x:f>Model_Data!F132</x:f>
        <x:v>455.9664203598553</x:v>
      </x:c>
      <x:c r="C132" s="40" t="n">
        <x:f>Model_Data!AC132</x:f>
        <x:v>257.85052434698395</x:v>
      </x:c>
      <x:c r="D132" s="41"/>
      <x:c r="E132" s="40" t="n">
        <x:f>Model_Data!A132</x:f>
        <x:v>5</x:v>
      </x:c>
      <x:c r="F132" s="40" t="n">
        <x:f>Model_Data!Y132</x:f>
        <x:v>414.32753063820945</x:v>
      </x:c>
      <x:c r="G132" s="40" t="n">
        <x:f>Model_Data!X132</x:f>
        <x:v>60.84143753800466</x:v>
      </x:c>
      <x:c r="H132" s="41"/>
      <x:c r="I132" s="40" t="n">
        <x:f>Model_Data!A132</x:f>
        <x:v>5</x:v>
      </x:c>
      <x:c r="J132" s="40" t="n">
        <x:f>Model_Data!AI132</x:f>
        <x:v>-198.11589601287136</x:v>
      </x:c>
      <x:c r="K132" s="40" t="n">
        <x:f>Model_Data!AK132</x:f>
        <x:v>353.4860931002048</x:v>
      </x:c>
      <x:c r="L132" s="41"/>
      <x:c r="M132" s="40" t="n">
        <x:f>Model_Data!A132</x:f>
        <x:v>5</x:v>
      </x:c>
      <x:c r="N132" s="40" t="n">
        <x:f>Model_Data!P132</x:f>
        <x:v>-37.699899294940856</x:v>
      </x:c>
      <x:c r="O132" s="40" t="n">
        <x:f>Model_Data!AM132</x:f>
        <x:v>-38.788788182500866</x:v>
      </x:c>
      <x:c r="P132" s="40" t="n">
        <x:f>Model_Data!Q132</x:f>
        <x:v>-5.6606455397809095</x:v>
      </x:c>
      <x:c r="Q132" s="40" t="n">
        <x:f>Model_Data!AN132</x:f>
        <x:v>-5.824142369744875</x:v>
      </x:c>
      <x:c r="R132" s="41"/>
      <x:c r="S132" s="40" t="n">
        <x:f>Model_Data!A132</x:f>
        <x:v>5</x:v>
      </x:c>
      <x:c r="T132" s="40" t="n">
        <x:f>Model_Data!B132-Inputs!$C$5</x:f>
        <x:v>0.027777777777771462</x:v>
      </x:c>
    </x:row>
    <x:row r="133">
      <x:c r="A133" s="40" t="n">
        <x:f>Model_Data!A133</x:f>
        <x:v>5.5</x:v>
      </x:c>
      <x:c r="B133" s="40" t="n">
        <x:f>Model_Data!F133</x:f>
        <x:v>459.63877861482985</x:v>
      </x:c>
      <x:c r="C133" s="40" t="n">
        <x:f>Model_Data!AC133</x:f>
        <x:v>260.55430322969005</x:v>
      </x:c>
      <x:c r="D133" s="41"/>
      <x:c r="E133" s="40" t="n">
        <x:f>Model_Data!A133</x:f>
        <x:v>5.5</x:v>
      </x:c>
      <x:c r="F133" s="40" t="n">
        <x:f>Model_Data!Y133</x:f>
        <x:v>413.12088769476685</x:v>
      </x:c>
      <x:c r="G133" s="40" t="n">
        <x:f>Model_Data!X133</x:f>
        <x:v>57.906453627856145</x:v>
      </x:c>
      <x:c r="H133" s="41"/>
      <x:c r="I133" s="40" t="n">
        <x:f>Model_Data!A133</x:f>
        <x:v>5.5</x:v>
      </x:c>
      <x:c r="J133" s="40" t="n">
        <x:f>Model_Data!AI133</x:f>
        <x:v>-199.0844753851398</x:v>
      </x:c>
      <x:c r="K133" s="40" t="n">
        <x:f>Model_Data!AK133</x:f>
        <x:v>355.2144340669107</x:v>
      </x:c>
      <x:c r="L133" s="41"/>
      <x:c r="M133" s="40" t="n">
        <x:f>Model_Data!A133</x:f>
        <x:v>5.5</x:v>
      </x:c>
      <x:c r="N133" s="40" t="n">
        <x:f>Model_Data!P133</x:f>
        <x:v>-41.46889405883751</x:v>
      </x:c>
      <x:c r="O133" s="40" t="n">
        <x:f>Model_Data!AM133</x:f>
        <x:v>-48.196785635991546</x:v>
      </x:c>
      <x:c r="P133" s="40" t="n">
        <x:f>Model_Data!Q133</x:f>
        <x:v>-6.2265606694951225</x:v>
      </x:c>
      <x:c r="Q133" s="40" t="n">
        <x:f>Model_Data!AN133</x:f>
        <x:v>-7.236754599998731</x:v>
      </x:c>
      <x:c r="R133" s="41"/>
      <x:c r="S133" s="40" t="n">
        <x:f>Model_Data!A133</x:f>
        <x:v>5.5</x:v>
      </x:c>
      <x:c r="T133" s="40" t="n">
        <x:f>Model_Data!B133-Inputs!$C$5</x:f>
        <x:v>0.03361111111109949</x:v>
      </x:c>
    </x:row>
    <x:row r="134">
      <x:c r="A134" s="40" t="n">
        <x:f>Model_Data!A134</x:f>
        <x:v>6</x:v>
      </x:c>
      <x:c r="B134" s="40" t="n">
        <x:f>Model_Data!F134</x:f>
        <x:v>463.6606939320355</x:v>
      </x:c>
      <x:c r="C134" s="40" t="n">
        <x:f>Model_Data!AC134</x:f>
        <x:v>263.7749026860412</x:v>
      </x:c>
      <x:c r="D134" s="41"/>
      <x:c r="E134" s="40" t="n">
        <x:f>Model_Data!A134</x:f>
        <x:v>6</x:v>
      </x:c>
      <x:c r="F134" s="40" t="n">
        <x:f>Model_Data!Y134</x:f>
        <x:v>410.12802091693055</x:v>
      </x:c>
      <x:c r="G134" s="40" t="n">
        <x:f>Model_Data!X134</x:f>
        <x:v>53.48606218128632</x:v>
      </x:c>
      <x:c r="H134" s="41"/>
      <x:c r="I134" s="40" t="n">
        <x:f>Model_Data!A134</x:f>
        <x:v>6</x:v>
      </x:c>
      <x:c r="J134" s="40" t="n">
        <x:f>Model_Data!AI134</x:f>
        <x:v>-199.8857912459943</x:v>
      </x:c>
      <x:c r="K134" s="40" t="n">
        <x:f>Model_Data!AK134</x:f>
        <x:v>356.6419587356442</x:v>
      </x:c>
      <x:c r="L134" s="41"/>
      <x:c r="M134" s="40" t="n">
        <x:f>Model_Data!A134</x:f>
        <x:v>6</x:v>
      </x:c>
      <x:c r="N134" s="40" t="n">
        <x:f>Model_Data!P134</x:f>
        <x:v>-45.23760460501987</x:v>
      </x:c>
      <x:c r="O134" s="40" t="n">
        <x:f>Model_Data!AM134</x:f>
        <x:v>-57.65640594272554</x:v>
      </x:c>
      <x:c r="P134" s="40" t="n">
        <x:f>Model_Data!Q134</x:f>
        <x:v>-6.792433123876858</x:v>
      </x:c>
      <x:c r="Q134" s="40" t="n">
        <x:f>Model_Data!AN134</x:f>
        <x:v>-8.65711800941825</x:v>
      </x:c>
      <x:c r="R134" s="41"/>
      <x:c r="S134" s="40" t="n">
        <x:f>Model_Data!A134</x:f>
        <x:v>6</x:v>
      </x:c>
      <x:c r="T134" s="40" t="n">
        <x:f>Model_Data!B134-Inputs!$C$5</x:f>
        <x:v>0.040000000000020464</x:v>
      </x:c>
    </x:row>
    <x:row r="135">
      <x:c r="A135" s="40" t="n">
        <x:f>Model_Data!A135</x:f>
        <x:v>6.5</x:v>
      </x:c>
      <x:c r="B135" s="40" t="n">
        <x:f>Model_Data!F135</x:f>
        <x:v>468.03211415006706</x:v>
      </x:c>
      <x:c r="C135" s="40" t="n">
        <x:f>Model_Data!AC135</x:f>
        <x:v>267.60466250496216</x:v>
      </x:c>
      <x:c r="D135" s="41"/>
      <x:c r="E135" s="40" t="n">
        <x:f>Model_Data!A135</x:f>
        <x:v>6.5</x:v>
      </x:c>
      <x:c r="F135" s="40" t="n">
        <x:f>Model_Data!Y135</x:f>
        <x:v>405.3582922063917</x:v>
      </x:c>
      <x:c r="G135" s="40" t="n">
        <x:f>Model_Data!X135</x:f>
        <x:v>47.754172756989355</x:v>
      </x:c>
      <x:c r="H135" s="41"/>
      <x:c r="I135" s="40" t="n">
        <x:f>Model_Data!A135</x:f>
        <x:v>6.5</x:v>
      </x:c>
      <x:c r="J135" s="40" t="n">
        <x:f>Model_Data!AI135</x:f>
        <x:v>-200.4274516451049</x:v>
      </x:c>
      <x:c r="K135" s="40" t="n">
        <x:f>Model_Data!AK135</x:f>
        <x:v>357.60411944940233</x:v>
      </x:c>
      <x:c r="L135" s="41"/>
      <x:c r="M135" s="40" t="n">
        <x:f>Model_Data!A135</x:f>
        <x:v>6.5</x:v>
      </x:c>
      <x:c r="N135" s="40" t="n">
        <x:f>Model_Data!P135</x:f>
        <x:v>-49.00600514790521</x:v>
      </x:c>
      <x:c r="O135" s="40" t="n">
        <x:f>Model_Data!AM135</x:f>
        <x:v>-67.0012270155894</x:v>
      </x:c>
      <x:c r="P135" s="40" t="n">
        <x:f>Model_Data!Q135</x:f>
        <x:v>-7.358259031217</x:v>
      </x:c>
      <x:c r="Q135" s="40" t="n">
        <x:f>Model_Data!AN135</x:f>
        <x:v>-10.060244296635044</x:v>
      </x:c>
      <x:c r="R135" s="41"/>
      <x:c r="S135" s="40" t="n">
        <x:f>Model_Data!A135</x:f>
        <x:v>6.5</x:v>
      </x:c>
      <x:c r="T135" s="40" t="n">
        <x:f>Model_Data!B135-Inputs!$C$5</x:f>
        <x:v>0.046944444444420697</x:v>
      </x:c>
    </x:row>
    <x:row r="136">
      <x:c r="A136" s="40" t="n">
        <x:f>Model_Data!A136</x:f>
        <x:v>7</x:v>
      </x:c>
      <x:c r="B136" s="40" t="n">
        <x:f>Model_Data!F136</x:f>
        <x:v>472.7529825816653</x:v>
      </x:c>
      <x:c r="C136" s="40" t="n">
        <x:f>Model_Data!AC136</x:f>
        <x:v>272.1302843190251</x:v>
      </x:c>
      <x:c r="D136" s="41"/>
      <x:c r="E136" s="40" t="n">
        <x:f>Model_Data!A136</x:f>
        <x:v>7</x:v>
      </x:c>
      <x:c r="F136" s="40" t="n">
        <x:f>Model_Data!Y136</x:f>
        <x:v>398.8738106906768</x:v>
      </x:c>
      <x:c r="G136" s="40" t="n">
        <x:f>Model_Data!X136</x:f>
        <x:v>40.92731904767144</x:v>
      </x:c>
      <x:c r="H136" s="41"/>
      <x:c r="I136" s="40" t="n">
        <x:f>Model_Data!A136</x:f>
        <x:v>7</x:v>
      </x:c>
      <x:c r="J136" s="40" t="n">
        <x:f>Model_Data!AI136</x:f>
        <x:v>-200.6226982626402</x:v>
      </x:c>
      <x:c r="K136" s="40" t="n">
        <x:f>Model_Data!AK136</x:f>
        <x:v>357.94649164300534</x:v>
      </x:c>
      <x:c r="L136" s="41"/>
      <x:c r="M136" s="40" t="n">
        <x:f>Model_Data!A136</x:f>
        <x:v>7</x:v>
      </x:c>
      <x:c r="N136" s="40" t="n">
        <x:f>Model_Data!P136</x:f>
        <x:v>-52.77406991556359</x:v>
      </x:c>
      <x:c r="O136" s="40" t="n">
        <x:f>Model_Data!AM136</x:f>
        <x:v>-76.06341755026733</x:v>
      </x:c>
      <x:c r="P136" s="40" t="n">
        <x:f>Model_Data!Q136</x:f>
        <x:v>-7.924034521856395</x:v>
      </x:c>
      <x:c r="Q136" s="40" t="n">
        <x:f>Model_Data!AN136</x:f>
        <x:v>-11.420933566106207</x:v>
      </x:c>
      <x:c r="R136" s="41"/>
      <x:c r="S136" s="40" t="n">
        <x:f>Model_Data!A136</x:f>
        <x:v>7</x:v>
      </x:c>
      <x:c r="T136" s="40" t="n">
        <x:f>Model_Data!B136-Inputs!$C$5</x:f>
        <x:v>0.05444444444447072</x:v>
      </x:c>
    </x:row>
    <x:row r="137">
      <x:c r="A137" s="40" t="n">
        <x:f>Model_Data!A137</x:f>
        <x:v>7.5</x:v>
      </x:c>
      <x:c r="B137" s="40" t="n">
        <x:f>Model_Data!F137</x:f>
        <x:v>477.82323801636795</x:v>
      </x:c>
      <x:c r="C137" s="40" t="n">
        <x:f>Model_Data!AC137</x:f>
        <x:v>277.42870445698253</x:v>
      </x:c>
      <x:c r="D137" s="41"/>
      <x:c r="E137" s="40" t="n">
        <x:f>Model_Data!A137</x:f>
        <x:v>7.5</x:v>
      </x:c>
      <x:c r="F137" s="40" t="n">
        <x:f>Model_Data!Y137</x:f>
        <x:v>390.7890123583696</x:v>
      </x:c>
      <x:c r="G137" s="40" t="n">
        <x:f>Model_Data!X137</x:f>
        <x:v>33.256887018226095</x:v>
      </x:c>
      <x:c r="H137" s="41"/>
      <x:c r="I137" s="40" t="n">
        <x:f>Model_Data!A137</x:f>
        <x:v>7.5</x:v>
      </x:c>
      <x:c r="J137" s="40" t="n">
        <x:f>Model_Data!AI137</x:f>
        <x:v>-200.39453355938542</x:v>
      </x:c>
      <x:c r="K137" s="40" t="n">
        <x:f>Model_Data!AK137</x:f>
        <x:v>357.53212534014347</x:v>
      </x:c>
      <x:c r="L137" s="41"/>
      <x:c r="M137" s="40" t="n">
        <x:f>Model_Data!A137</x:f>
        <x:v>7.5</x:v>
      </x:c>
      <x:c r="N137" s="40" t="n">
        <x:f>Model_Data!P137</x:f>
        <x:v>-56.54177315084945</x:v>
      </x:c>
      <x:c r="O137" s="40" t="n">
        <x:f>Model_Data!AM137</x:f>
        <x:v>-84.6793542148589</x:v>
      </x:c>
      <x:c r="P137" s="40" t="n">
        <x:f>Model_Data!Q137</x:f>
        <x:v>-8.489755728355775</x:v>
      </x:c>
      <x:c r="Q137" s="40" t="n">
        <x:f>Model_Data!AN137</x:f>
        <x:v>-12.714617749978816</x:v>
      </x:c>
      <x:c r="R137" s="41"/>
      <x:c r="S137" s="40" t="n">
        <x:f>Model_Data!A137</x:f>
        <x:v>7.5</x:v>
      </x:c>
      <x:c r="T137" s="40" t="n">
        <x:f>Model_Data!B137-Inputs!$C$5</x:f>
        <x:v>0.0625</x:v>
      </x:c>
    </x:row>
    <x:row r="138">
      <x:c r="A138" s="40" t="n">
        <x:f>Model_Data!A138</x:f>
        <x:v>8</x:v>
      </x:c>
      <x:c r="B138" s="40" t="n">
        <x:f>Model_Data!F138</x:f>
        <x:v>483.24281472300015</x:v>
      </x:c>
      <x:c r="C138" s="40" t="n">
        <x:f>Model_Data!AC138</x:f>
        <x:v>283.56328957274496</x:v>
      </x:c>
      <x:c r="D138" s="41"/>
      <x:c r="E138" s="40" t="n">
        <x:f>Model_Data!A138</x:f>
        <x:v>8</x:v>
      </x:c>
      <x:c r="F138" s="40" t="n">
        <x:f>Model_Data!Y138</x:f>
        <x:v>381.2684581100728</x:v>
      </x:c>
      <x:c r="G138" s="40" t="n">
        <x:f>Model_Data!X138</x:f>
        <x:v>25.020138681661066</x:v>
      </x:c>
      <x:c r="H138" s="41"/>
      <x:c r="I138" s="40" t="n">
        <x:f>Model_Data!A138</x:f>
        <x:v>8</x:v>
      </x:c>
      <x:c r="J138" s="40" t="n">
        <x:f>Model_Data!AI138</x:f>
        <x:v>-199.6795251502552</x:v>
      </x:c>
      <x:c r="K138" s="40" t="n">
        <x:f>Model_Data!AK138</x:f>
        <x:v>356.2483194284117</x:v>
      </x:c>
      <x:c r="L138" s="41"/>
      <x:c r="M138" s="40" t="n">
        <x:f>Model_Data!A138</x:f>
        <x:v>8</x:v>
      </x:c>
      <x:c r="N138" s="40" t="n">
        <x:f>Model_Data!P138</x:f>
        <x:v>-60.30908911253194</x:v>
      </x:c>
      <x:c r="O138" s="40" t="n">
        <x:f>Model_Data!AM138</x:f>
        <x:v>-92.69528925387931</x:v>
      </x:c>
      <x:c r="P138" s="40" t="n">
        <x:f>Model_Data!Q138</x:f>
        <x:v>-9.055418785665458</x:v>
      </x:c>
      <x:c r="Q138" s="40" t="n">
        <x:f>Model_Data!AN138</x:f>
        <x:v>-13.918211599681579</x:v>
      </x:c>
      <x:c r="R138" s="41"/>
      <x:c r="S138" s="40" t="n">
        <x:f>Model_Data!A138</x:f>
        <x:v>8</x:v>
      </x:c>
      <x:c r="T138" s="40" t="n">
        <x:f>Model_Data!B138-Inputs!$C$5</x:f>
        <x:v>0.07111111111112223</x:v>
      </x:c>
    </x:row>
    <x:row r="139">
      <x:c r="A139" s="40" t="n">
        <x:f>Model_Data!A139</x:f>
        <x:v>8.5</x:v>
      </x:c>
      <x:c r="B139" s="40" t="n">
        <x:f>Model_Data!F139</x:f>
        <x:v>489.01164245280415</x:v>
      </x:c>
      <x:c r="C139" s="40" t="n">
        <x:f>Model_Data!AC139</x:f>
        <x:v>290.5805361101531</x:v>
      </x:c>
      <x:c r="D139" s="41"/>
      <x:c r="E139" s="40" t="n">
        <x:f>Model_Data!A139</x:f>
        <x:v>8.5</x:v>
      </x:c>
      <x:c r="F139" s="40" t="n">
        <x:f>Model_Data!Y139</x:f>
        <x:v>370.52286548475325</x:v>
      </x:c>
      <x:c r="G139" s="40" t="n">
        <x:f>Model_Data!X139</x:f>
        <x:v>16.51036935498944</x:v>
      </x:c>
      <x:c r="H139" s="41"/>
      <x:c r="I139" s="40" t="n">
        <x:f>Model_Data!A139</x:f>
        <x:v>8.5</x:v>
      </x:c>
      <x:c r="J139" s="40" t="n">
        <x:f>Model_Data!AI139</x:f>
        <x:v>-198.43110634265105</x:v>
      </x:c>
      <x:c r="K139" s="40" t="n">
        <x:f>Model_Data!AK139</x:f>
        <x:v>354.0124961297638</x:v>
      </x:c>
      <x:c r="L139" s="41"/>
      <x:c r="M139" s="40" t="n">
        <x:f>Model_Data!A139</x:f>
        <x:v>8.5</x:v>
      </x:c>
      <x:c r="N139" s="40" t="n">
        <x:f>Model_Data!P139</x:f>
        <x:v>-64.07599207642345</x:v>
      </x:c>
      <x:c r="O139" s="40" t="n">
        <x:f>Model_Data!AM139</x:f>
        <x:v>-99.97286529123812</x:v>
      </x:c>
      <x:c r="P139" s="40" t="n">
        <x:f>Model_Data!Q139</x:f>
        <x:v>-9.621019831294813</x:v>
      </x:c>
      <x:c r="Q139" s="40" t="n">
        <x:f>Model_Data!AN139</x:f>
        <x:v>-15.01094073442014</x:v>
      </x:c>
      <x:c r="R139" s="41"/>
      <x:c r="S139" s="40" t="n">
        <x:f>Model_Data!A139</x:f>
        <x:v>8.5</x:v>
      </x:c>
      <x:c r="T139" s="40" t="n">
        <x:f>Model_Data!B139-Inputs!$C$5</x:f>
        <x:v>0.08027777777778056</x:v>
      </x:c>
    </x:row>
    <x:row r="140">
      <x:c r="A140" s="40" t="n">
        <x:f>Model_Data!A140</x:f>
        <x:v>9</x:v>
      </x:c>
      <x:c r="B140" s="40" t="n">
        <x:f>Model_Data!F140</x:f>
        <x:v>495.1296464423777</x:v>
      </x:c>
      <x:c r="C140" s="40" t="n">
        <x:f>Model_Data!AC140</x:f>
        <x:v>298.5074351356156</x:v>
      </x:c>
      <x:c r="D140" s="41"/>
      <x:c r="E140" s="40" t="n">
        <x:f>Model_Data!A140</x:f>
        <x:v>9</x:v>
      </x:c>
      <x:c r="F140" s="40" t="n">
        <x:f>Model_Data!Y140</x:f>
        <x:v>358.80345377491835</x:v>
      </x:c>
      <x:c r="G140" s="40" t="n">
        <x:f>Model_Data!X140</x:f>
        <x:v>8.02656586542216</x:v>
      </x:c>
      <x:c r="H140" s="41"/>
      <x:c r="I140" s="40" t="n">
        <x:f>Model_Data!A140</x:f>
        <x:v>9</x:v>
      </x:c>
      <x:c r="J140" s="40" t="n">
        <x:f>Model_Data!AI140</x:f>
        <x:v>-196.6222113067621</x:v>
      </x:c>
      <x:c r="K140" s="40" t="n">
        <x:f>Model_Data!AK140</x:f>
        <x:v>350.77688790949617</x:v>
      </x:c>
      <x:c r="L140" s="41"/>
      <x:c r="M140" s="40" t="n">
        <x:f>Model_Data!A140</x:f>
        <x:v>9</x:v>
      </x:c>
      <x:c r="N140" s="40" t="n">
        <x:f>Model_Data!P140</x:f>
        <x:v>-67.84245633650673</x:v>
      </x:c>
      <x:c r="O140" s="40" t="n">
        <x:f>Model_Data!AM140</x:f>
        <x:v>-106.39427237210839</x:v>
      </x:c>
      <x:c r="P140" s="40" t="n">
        <x:f>Model_Data!Q140</x:f>
        <x:v>-10.186555005481491</x:v>
      </x:c>
      <x:c r="Q140" s="40" t="n">
        <x:f>Model_Data!AN140</x:f>
        <x:v>-15.975115971788048</x:v>
      </x:c>
      <x:c r="R140" s="41"/>
      <x:c r="S140" s="40" t="n">
        <x:f>Model_Data!A140</x:f>
        <x:v>9</x:v>
      </x:c>
      <x:c r="T140" s="40" t="n">
        <x:f>Model_Data!B140-Inputs!$C$5</x:f>
        <x:v>0.08999999999997499</x:v>
      </x:c>
    </x:row>
    <x:row r="141">
      <x:c r="A141" s="40" t="n">
        <x:f>Model_Data!A141</x:f>
        <x:v>9.5</x:v>
      </x:c>
      <x:c r="B141" s="40" t="n">
        <x:f>Model_Data!F141</x:f>
        <x:v>501.5967474169945</x:v>
      </x:c>
      <x:c r="C141" s="40" t="n">
        <x:f>Model_Data!AC141</x:f>
        <x:v>307.34963693979876</x:v>
      </x:c>
      <x:c r="D141" s="41"/>
      <x:c r="E141" s="40" t="n">
        <x:f>Model_Data!A141</x:f>
        <x:v>9.5</x:v>
      </x:c>
      <x:c r="F141" s="40" t="n">
        <x:f>Model_Data!Y141</x:f>
        <x:v>346.39474604654487</x:v>
      </x:c>
      <x:c r="G141" s="40" t="n">
        <x:f>Model_Data!X141</x:f>
        <x:v>-0.1370514008114725</x:v>
      </x:c>
      <x:c r="H141" s="41"/>
      <x:c r="I141" s="40" t="n">
        <x:f>Model_Data!A141</x:f>
        <x:v>9.5</x:v>
      </x:c>
      <x:c r="J141" s="40" t="n">
        <x:f>Model_Data!AI141</x:f>
        <x:v>-194.24711047719575</x:v>
      </x:c>
      <x:c r="K141" s="40" t="n">
        <x:f>Model_Data!AK141</x:f>
        <x:v>346.5317974473563</x:v>
      </x:c>
      <x:c r="L141" s="41"/>
      <x:c r="M141" s="40" t="n">
        <x:f>Model_Data!A141</x:f>
        <x:v>9.5</x:v>
      </x:c>
      <x:c r="N141" s="40" t="n">
        <x:f>Model_Data!P141</x:f>
        <x:v>-71.60845620605997</x:v>
      </x:c>
      <x:c r="O141" s="40" t="n">
        <x:f>Model_Data!AM141</x:f>
        <x:v>-111.8668483928559</x:v>
      </x:c>
      <x:c r="P141" s="40" t="n">
        <x:f>Model_Data!Q141</x:f>
        <x:v>-10.752020451360357</x:v>
      </x:c>
      <x:c r="Q141" s="40" t="n">
        <x:f>Model_Data!AN141</x:f>
        <x:v>-16.796824083011398</x:v>
      </x:c>
      <x:c r="R141" s="41"/>
      <x:c r="S141" s="40" t="n">
        <x:f>Model_Data!A141</x:f>
        <x:v>9.5</x:v>
      </x:c>
      <x:c r="T141" s="40" t="n">
        <x:f>Model_Data!B141-Inputs!$C$5</x:f>
        <x:v>0.10027777777776237</x:v>
      </x:c>
    </x:row>
    <x:row r="142">
      <x:c r="A142" s="40" t="n">
        <x:f>Model_Data!A142</x:f>
        <x:v>10</x:v>
      </x:c>
      <x:c r="B142" s="40" t="n">
        <x:f>Model_Data!F142</x:f>
        <x:v>508.41286159408577</x:v>
      </x:c>
      <x:c r="C142" s="40" t="n">
        <x:f>Model_Data!AC142</x:f>
        <x:v>317.09051620318246</x:v>
      </x:c>
      <x:c r="D142" s="41"/>
      <x:c r="E142" s="40" t="n">
        <x:f>Model_Data!A142</x:f>
        <x:v>10</x:v>
      </x:c>
      <x:c r="F142" s="40" t="n">
        <x:f>Model_Data!Y142</x:f>
        <x:v>333.6060322448477</x:v>
      </x:c>
      <x:c r="G142" s="40" t="n">
        <x:f>Model_Data!X142</x:f>
        <x:v>-7.7012189687683055</x:v>
      </x:c>
      <x:c r="H142" s="41"/>
      <x:c r="I142" s="40" t="n">
        <x:f>Model_Data!A142</x:f>
        <x:v>10</x:v>
      </x:c>
      <x:c r="J142" s="40" t="n">
        <x:f>Model_Data!AI142</x:f>
        <x:v>-191.3223453909033</x:v>
      </x:c>
      <x:c r="K142" s="40" t="n">
        <x:f>Model_Data!AK142</x:f>
        <x:v>341.30725121361604</x:v>
      </x:c>
      <x:c r="L142" s="41"/>
      <x:c r="M142" s="40" t="n">
        <x:f>Model_Data!A142</x:f>
        <x:v>10</x:v>
      </x:c>
      <x:c r="N142" s="40" t="n">
        <x:f>Model_Data!P142</x:f>
        <x:v>-75.37396601878024</x:v>
      </x:c>
      <x:c r="O142" s="40" t="n">
        <x:f>Model_Data!AM142</x:f>
        <x:v>-116.32693805713643</x:v>
      </x:c>
      <x:c r="P142" s="40" t="n">
        <x:f>Model_Data!Q142</x:f>
        <x:v>-11.317412315132168</x:v>
      </x:c>
      <x:c r="Q142" s="40" t="n">
        <x:f>Model_Data!AN142</x:f>
        <x:v>-17.46650721578625</x:v>
      </x:c>
      <x:c r="R142" s="41"/>
      <x:c r="S142" s="40" t="n">
        <x:f>Model_Data!A142</x:f>
        <x:v>10</x:v>
      </x:c>
      <x:c r="T142" s="40" t="n">
        <x:f>Model_Data!B142-Inputs!$C$5</x:f>
        <x:v>0.11111111111108585</x:v>
      </x:c>
    </x:row>
    <x:row r="143">
      <x:c r="A143" s="40" t="n">
        <x:f>Model_Data!A143</x:f>
        <x:v>10.5</x:v>
      </x:c>
      <x:c r="B143" s="40" t="n">
        <x:f>Model_Data!F143</x:f>
        <x:v>515.5779006869442</x:v>
      </x:c>
      <x:c r="C143" s="40" t="n">
        <x:f>Model_Data!AC143</x:f>
        <x:v>327.691199870572</x:v>
      </x:c>
      <x:c r="D143" s="41"/>
      <x:c r="E143" s="40" t="n">
        <x:f>Model_Data!A143</x:f>
        <x:v>10.5</x:v>
      </x:c>
      <x:c r="F143" s="40" t="n">
        <x:f>Model_Data!Y143</x:f>
        <x:v>320.76175265071083</x:v>
      </x:c>
      <x:c r="G143" s="40" t="n">
        <x:f>Model_Data!X143</x:f>
        <x:v>-14.411183447500017</x:v>
      </x:c>
      <x:c r="H143" s="41"/>
      <x:c r="I143" s="40" t="n">
        <x:f>Model_Data!A143</x:f>
        <x:v>10.5</x:v>
      </x:c>
      <x:c r="J143" s="40" t="n">
        <x:f>Model_Data!AI143</x:f>
        <x:v>-187.88670081637218</x:v>
      </x:c>
      <x:c r="K143" s="40" t="n">
        <x:f>Model_Data!AK143</x:f>
        <x:v>335.17293609821087</x:v>
      </x:c>
      <x:c r="L143" s="41"/>
      <x:c r="M143" s="40" t="n">
        <x:f>Model_Data!A143</x:f>
        <x:v>10.5</x:v>
      </x:c>
      <x:c r="N143" s="40" t="n">
        <x:f>Model_Data!P143</x:f>
        <x:v>-79.13896012990475</x:v>
      </x:c>
      <x:c r="O143" s="40" t="n">
        <x:f>Model_Data!AM143</x:f>
        <x:v>-119.74284707521292</x:v>
      </x:c>
      <x:c r="P143" s="40" t="n">
        <x:f>Model_Data!Q143</x:f>
        <x:v>-11.882726746231945</x:v>
      </x:c>
      <x:c r="Q143" s="40" t="n">
        <x:f>Model_Data!AN143</x:f>
        <x:v>-17.97940646774969</x:v>
      </x:c>
      <x:c r="R143" s="41"/>
      <x:c r="S143" s="40" t="n">
        <x:f>Model_Data!A143</x:f>
        <x:v>10.5</x:v>
      </x:c>
      <x:c r="T143" s="40" t="n">
        <x:f>Model_Data!B143-Inputs!$C$5</x:f>
        <x:v>0.12250000000000227</x:v>
      </x:c>
    </x:row>
    <x:row r="144">
      <x:c r="A144" s="40" t="n">
        <x:f>Model_Data!A144</x:f>
        <x:v>11</x:v>
      </x:c>
      <x:c r="B144" s="40" t="n">
        <x:f>Model_Data!F144</x:f>
        <x:v>523.09177190862</x:v>
      </x:c>
      <x:c r="C144" s="40" t="n">
        <x:f>Model_Data!AC144</x:f>
        <x:v>339.0915778649277</x:v>
      </x:c>
      <x:c r="D144" s="41"/>
      <x:c r="E144" s="40" t="n">
        <x:f>Model_Data!A144</x:f>
        <x:v>11</x:v>
      </x:c>
      <x:c r="F144" s="40" t="n">
        <x:f>Model_Data!Y144</x:f>
        <x:v>308.1911081530601</x:v>
      </x:c>
      <x:c r="G144" s="40" t="n">
        <x:f>Model_Data!X144</x:f>
        <x:v>-20.04527529946408</x:v>
      </x:c>
      <x:c r="H144" s="41"/>
      <x:c r="I144" s="40" t="n">
        <x:f>Model_Data!A144</x:f>
        <x:v>11</x:v>
      </x:c>
      <x:c r="J144" s="40" t="n">
        <x:f>Model_Data!AI144</x:f>
        <x:v>-184.00019404369232</x:v>
      </x:c>
      <x:c r="K144" s="40" t="n">
        <x:f>Model_Data!AK144</x:f>
        <x:v>328.2363834525242</x:v>
      </x:c>
      <x:c r="L144" s="41"/>
      <x:c r="M144" s="40" t="n">
        <x:f>Model_Data!A144</x:f>
        <x:v>11</x:v>
      </x:c>
      <x:c r="N144" s="40" t="n">
        <x:f>Model_Data!P144</x:f>
        <x:v>-82.90341291733004</x:v>
      </x:c>
      <x:c r="O144" s="40" t="n">
        <x:f>Model_Data!AM144</x:f>
        <x:v>-122.11675687376555</x:v>
      </x:c>
      <x:c r="P144" s="40" t="n">
        <x:f>Model_Data!Q144</x:f>
        <x:v>-12.447959897497006</x:v>
      </x:c>
      <x:c r="Q144" s="40" t="n">
        <x:f>Model_Data!AN144</x:f>
        <x:v>-18.33584938044528</x:v>
      </x:c>
      <x:c r="R144" s="41"/>
      <x:c r="S144" s="40" t="n">
        <x:f>Model_Data!A144</x:f>
        <x:v>11</x:v>
      </x:c>
      <x:c r="T144" s="40" t="n">
        <x:f>Model_Data!B144-Inputs!$C$5</x:f>
        <x:v>0.1344444444444548</x:v>
      </x:c>
    </x:row>
    <x:row r="145">
      <x:c r="A145" s="40" t="n">
        <x:f>Model_Data!A145</x:f>
        <x:v>11.5</x:v>
      </x:c>
      <x:c r="B145" s="40" t="n">
        <x:f>Model_Data!F145</x:f>
        <x:v>530.9543779759451</x:v>
      </x:c>
      <x:c r="C145" s="40" t="n">
        <x:f>Model_Data!AC145</x:f>
        <x:v>351.2122732205769</x:v>
      </x:c>
      <x:c r="D145" s="41"/>
      <x:c r="E145" s="40" t="n">
        <x:f>Model_Data!A145</x:f>
        <x:v>11.5</x:v>
      </x:c>
      <x:c r="F145" s="40" t="n">
        <x:f>Model_Data!Y145</x:f>
        <x:v>296.21724105749917</x:v>
      </x:c>
      <x:c r="G145" s="40" t="n">
        <x:f>Model_Data!X145</x:f>
        <x:v>-24.42220148620283</x:v>
      </x:c>
      <x:c r="H145" s="41"/>
      <x:c r="I145" s="40" t="n">
        <x:f>Model_Data!A145</x:f>
        <x:v>11.5</x:v>
      </x:c>
      <x:c r="J145" s="40" t="n">
        <x:f>Model_Data!AI145</x:f>
        <x:v>-179.74210475536825</x:v>
      </x:c>
      <x:c r="K145" s="40" t="n">
        <x:f>Model_Data!AK145</x:f>
        <x:v>320.639442543702</x:v>
      </x:c>
      <x:c r="L145" s="41"/>
      <x:c r="M145" s="40" t="n">
        <x:f>Model_Data!A145</x:f>
        <x:v>11.5</x:v>
      </x:c>
      <x:c r="N145" s="40" t="n">
        <x:f>Model_Data!P145</x:f>
        <x:v>-86.66729878272902</x:v>
      </x:c>
      <x:c r="O145" s="40" t="n">
        <x:f>Model_Data!AM145</x:f>
        <x:v>-123.48549968564839</x:v>
      </x:c>
      <x:c r="P145" s="40" t="n">
        <x:f>Model_Data!Q145</x:f>
        <x:v>-13.013107925334689</x:v>
      </x:c>
      <x:c r="Q145" s="40" t="n">
        <x:f>Model_Data!AN145</x:f>
        <x:v>-18.54136631916643</x:v>
      </x:c>
      <x:c r="R145" s="41"/>
      <x:c r="S145" s="40" t="n">
        <x:f>Model_Data!A145</x:f>
        <x:v>11.5</x:v>
      </x:c>
      <x:c r="T145" s="40" t="n">
        <x:f>Model_Data!B145-Inputs!$C$5</x:f>
        <x:v>0.14694444444444343</x:v>
      </x:c>
    </x:row>
    <x:row r="146">
      <x:c r="A146" s="40" t="n">
        <x:f>Model_Data!A146</x:f>
        <x:v>12</x:v>
      </x:c>
      <x:c r="B146" s="40" t="n">
        <x:f>Model_Data!F146</x:f>
        <x:v>539.1656171138436</x:v>
      </x:c>
      <x:c r="C146" s="40" t="n">
        <x:f>Model_Data!AC146</x:f>
        <x:v>363.9575050656187</x:v>
      </x:c>
      <x:c r="D146" s="41"/>
      <x:c r="E146" s="40" t="n">
        <x:f>Model_Data!A146</x:f>
        <x:v>12</x:v>
      </x:c>
      <x:c r="F146" s="40" t="n">
        <x:f>Model_Data!Y146</x:f>
        <x:v>285.1463557287653</x:v>
      </x:c>
      <x:c r="G146" s="40" t="n">
        <x:f>Model_Data!X146</x:f>
        <x:v>-27.406806630194353</x:v>
      </x:c>
      <x:c r="H146" s="41"/>
      <x:c r="I146" s="40" t="n">
        <x:f>Model_Data!A146</x:f>
        <x:v>12</x:v>
      </x:c>
      <x:c r="J146" s="40" t="n">
        <x:f>Model_Data!AI146</x:f>
        <x:v>-175.2081120482249</x:v>
      </x:c>
      <x:c r="K146" s="40" t="n">
        <x:f>Model_Data!AK146</x:f>
        <x:v>312.55316235895964</x:v>
      </x:c>
      <x:c r="L146" s="41"/>
      <x:c r="M146" s="40" t="n">
        <x:f>Model_Data!A146</x:f>
        <x:v>12</x:v>
      </x:c>
      <x:c r="N146" s="40" t="n">
        <x:f>Model_Data!P146</x:f>
        <x:v>-90.43059215266564</x:v>
      </x:c>
      <x:c r="O146" s="40" t="n">
        <x:f>Model_Data!AM146</x:f>
        <x:v>-123.92013337339449</x:v>
      </x:c>
      <x:c r="P146" s="40" t="n">
        <x:f>Model_Data!Q146</x:f>
        <x:v>-13.578166989889736</x:v>
      </x:c>
      <x:c r="Q146" s="40" t="n">
        <x:f>Model_Data!AN146</x:f>
        <x:v>-18.606626632641817</x:v>
      </x:c>
      <x:c r="R146" s="41"/>
      <x:c r="S146" s="40" t="n">
        <x:f>Model_Data!A146</x:f>
        <x:v>12</x:v>
      </x:c>
      <x:c r="T146" s="40" t="n">
        <x:f>Model_Data!B146-Inputs!$C$5</x:f>
        <x:v>0.160000000000025</x:v>
      </x:c>
    </x:row>
    <x:row r="147">
      <x:c r="A147" s="40" t="n">
        <x:f>Model_Data!A147</x:f>
        <x:v>12.5</x:v>
      </x:c>
      <x:c r="B147" s="40" t="n">
        <x:f>Model_Data!F147</x:f>
        <x:v>547.7253830597713</x:v>
      </x:c>
      <x:c r="C147" s="40" t="n">
        <x:f>Model_Data!AC147</x:f>
        <x:v>377.21873705231957</x:v>
      </x:c>
      <x:c r="D147" s="41"/>
      <x:c r="E147" s="40" t="n">
        <x:f>Model_Data!A147</x:f>
        <x:v>12.5</x:v>
      </x:c>
      <x:c r="F147" s="40" t="n">
        <x:f>Model_Data!Y147</x:f>
        <x:v>275.2571609402307</x:v>
      </x:c>
      <x:c r="G147" s="40" t="n">
        <x:f>Model_Data!X147</x:f>
        <x:v>-28.914112557422595</x:v>
      </x:c>
      <x:c r="H147" s="41"/>
      <x:c r="I147" s="40" t="n">
        <x:f>Model_Data!A147</x:f>
        <x:v>12.5</x:v>
      </x:c>
      <x:c r="J147" s="40" t="n">
        <x:f>Model_Data!AI147</x:f>
        <x:v>-170.5066460074517</x:v>
      </x:c>
      <x:c r="K147" s="40" t="n">
        <x:f>Model_Data!AK147</x:f>
        <x:v>304.17127349765326</x:v>
      </x:c>
      <x:c r="L147" s="41"/>
      <x:c r="M147" s="40" t="n">
        <x:f>Model_Data!A147</x:f>
        <x:v>12.5</x:v>
      </x:c>
      <x:c r="N147" s="40" t="n">
        <x:f>Model_Data!P147</x:f>
        <x:v>-94.19326747970709</x:v>
      </x:c>
      <x:c r="O147" s="40" t="n">
        <x:f>Model_Data!AM147</x:f>
        <x:v>-123.52429828524691</x:v>
      </x:c>
      <x:c r="P147" s="40" t="n">
        <x:f>Model_Data!Q147</x:f>
        <x:v>-14.143133255211277</x:v>
      </x:c>
      <x:c r="Q147" s="40" t="n">
        <x:f>Model_Data!AN147</x:f>
        <x:v>-18.54719193472176</x:v>
      </x:c>
      <x:c r="R147" s="41"/>
      <x:c r="S147" s="40" t="n">
        <x:f>Model_Data!A147</x:f>
        <x:v>12.5</x:v>
      </x:c>
      <x:c r="T147" s="40" t="n">
        <x:f>Model_Data!B147-Inputs!$C$5</x:f>
        <x:v>0.17361111111108585</x:v>
      </x:c>
    </x:row>
    <x:row r="148">
      <x:c r="A148" s="40" t="n">
        <x:f>Model_Data!A148</x:f>
        <x:v>13</x:v>
      </x:c>
      <x:c r="B148" s="40" t="n">
        <x:f>Model_Data!F148</x:f>
        <x:v>556.6335650683776</x:v>
      </x:c>
      <x:c r="C148" s="40" t="n">
        <x:f>Model_Data!AC148</x:f>
        <x:v>390.87896716713266</x:v>
      </x:c>
      <x:c r="D148" s="41"/>
      <x:c r="E148" s="40" t="n">
        <x:f>Model_Data!A148</x:f>
        <x:v>13</x:v>
      </x:c>
      <x:c r="F148" s="40" t="n">
        <x:f>Model_Data!Y148</x:f>
        <x:v>266.7910145267534</x:v>
      </x:c>
      <x:c r="G148" s="40" t="n">
        <x:f>Model_Data!X148</x:f>
        <x:v>-28.9115127400367</x:v>
      </x:c>
      <x:c r="H148" s="41"/>
      <x:c r="I148" s="40" t="n">
        <x:f>Model_Data!A148</x:f>
        <x:v>13</x:v>
      </x:c>
      <x:c r="J148" s="40" t="n">
        <x:f>Model_Data!AI148</x:f>
        <x:v>-165.75459790124495</x:v>
      </x:c>
      <x:c r="K148" s="40" t="n">
        <x:f>Model_Data!AK148</x:f>
        <x:v>295.70252726679007</x:v>
      </x:c>
      <x:c r="L148" s="41"/>
      <x:c r="M148" s="40" t="n">
        <x:f>Model_Data!A148</x:f>
        <x:v>13</x:v>
      </x:c>
      <x:c r="N148" s="40" t="n">
        <x:f>Model_Data!P148</x:f>
        <x:v>-97.9552992435336</x:v>
      </x:c>
      <x:c r="O148" s="40" t="n">
        <x:f>Model_Data!AM148</x:f>
        <x:v>-122.43138326075496</x:v>
      </x:c>
      <x:c r="P148" s="40" t="n">
        <x:f>Model_Data!Q148</x:f>
        <x:v>-14.708002889419461</x:v>
      </x:c>
      <x:c r="Q148" s="40" t="n">
        <x:f>Model_Data!AN148</x:f>
        <x:v>-18.383090579692936</x:v>
      </x:c>
      <x:c r="R148" s="41"/>
      <x:c r="S148" s="40" t="n">
        <x:f>Model_Data!A148</x:f>
        <x:v>13</x:v>
      </x:c>
      <x:c r="T148" s="40" t="n">
        <x:f>Model_Data!B148-Inputs!$C$5</x:f>
        <x:v>0.18777777777779647</x:v>
      </x:c>
    </x:row>
    <x:row r="149">
      <x:c r="A149" s="40" t="n">
        <x:f>Model_Data!A149</x:f>
        <x:v>13.5</x:v>
      </x:c>
      <x:c r="B149" s="40" t="n">
        <x:f>Model_Data!F149</x:f>
        <x:v>565.8900479164877</x:v>
      </x:c>
      <x:c r="C149" s="40" t="n">
        <x:f>Model_Data!AC149</x:f>
        <x:v>404.81748402990644</x:v>
      </x:c>
      <x:c r="D149" s="41"/>
      <x:c r="E149" s="40" t="n">
        <x:f>Model_Data!A149</x:f>
        <x:v>13.5</x:v>
      </x:c>
      <x:c r="F149" s="40" t="n">
        <x:f>Model_Data!Y149</x:f>
        <x:v>259.9431354757137</x:v>
      </x:c>
      <x:c r="G149" s="40" t="n">
        <x:f>Model_Data!X149</x:f>
        <x:v>-27.419068586377563</x:v>
      </x:c>
      <x:c r="H149" s="41"/>
      <x:c r="I149" s="40" t="n">
        <x:f>Model_Data!A149</x:f>
        <x:v>13.5</x:v>
      </x:c>
      <x:c r="J149" s="40" t="n">
        <x:f>Model_Data!AI149</x:f>
        <x:v>-161.07256388658124</x:v>
      </x:c>
      <x:c r="K149" s="40" t="n">
        <x:f>Model_Data!AK149</x:f>
        <x:v>287.3622040620912</x:v>
      </x:c>
      <x:c r="L149" s="41"/>
      <x:c r="M149" s="40" t="n">
        <x:f>Model_Data!A149</x:f>
        <x:v>13.5</x:v>
      </x:c>
      <x:c r="N149" s="40" t="n">
        <x:f>Model_Data!P149</x:f>
        <x:v>-101.71666195204531</x:v>
      </x:c>
      <x:c r="O149" s="40" t="n">
        <x:f>Model_Data!AM149</x:f>
        <x:v>-120.80057290095283</x:v>
      </x:c>
      <x:c r="P149" s="40" t="n">
        <x:f>Model_Data!Q149</x:f>
        <x:v>-15.27277206487167</x:v>
      </x:c>
      <x:c r="Q149" s="40" t="n">
        <x:f>Model_Data!AN149</x:f>
        <x:v>-18.13822415930223</x:v>
      </x:c>
      <x:c r="R149" s="41"/>
      <x:c r="S149" s="40" t="n">
        <x:f>Model_Data!A149</x:f>
        <x:v>13.5</x:v>
      </x:c>
      <x:c r="T149" s="40" t="n">
        <x:f>Model_Data!B149-Inputs!$C$5</x:f>
        <x:v>0.20249999999998636</x:v>
      </x:c>
    </x:row>
    <x:row r="150">
      <x:c r="A150" s="40" t="n">
        <x:f>Model_Data!A150</x:f>
        <x:v>14</x:v>
      </x:c>
      <x:c r="B150" s="40" t="n">
        <x:f>Model_Data!F150</x:f>
        <x:v>575.4947119078927</x:v>
      </x:c>
      <x:c r="C150" s="40" t="n">
        <x:f>Model_Data!AC150</x:f>
        <x:v>418.91489123919314</x:v>
      </x:c>
      <x:c r="D150" s="41"/>
      <x:c r="E150" s="40" t="n">
        <x:f>Model_Data!A150</x:f>
        <x:v>14</x:v>
      </x:c>
      <x:c r="F150" s="40" t="n">
        <x:f>Model_Data!Y150</x:f>
        <x:v>254.85521915848852</x:v>
      </x:c>
      <x:c r="G150" s="40" t="n">
        <x:f>Model_Data!X150</x:f>
        <x:v>-24.507925954900784</x:v>
      </x:c>
      <x:c r="H150" s="41"/>
      <x:c r="I150" s="40" t="n">
        <x:f>Model_Data!A150</x:f>
        <x:v>14</x:v>
      </x:c>
      <x:c r="J150" s="40" t="n">
        <x:f>Model_Data!AI150</x:f>
        <x:v>-156.57982066869954</x:v>
      </x:c>
      <x:c r="K150" s="40" t="n">
        <x:f>Model_Data!AK150</x:f>
        <x:v>279.3631451133893</x:v>
      </x:c>
      <x:c r="L150" s="41"/>
      <x:c r="M150" s="40" t="n">
        <x:f>Model_Data!A150</x:f>
        <x:v>14</x:v>
      </x:c>
      <x:c r="N150" s="40" t="n">
        <x:f>Model_Data!P150</x:f>
        <x:v>-105.47733014246676</x:v>
      </x:c>
      <x:c r="O150" s="40" t="n">
        <x:f>Model_Data!AM150</x:f>
        <x:v>-118.81189162586452</x:v>
      </x:c>
      <x:c r="P150" s="40" t="n">
        <x:f>Model_Data!Q150</x:f>
        <x:v>-15.837436958328343</x:v>
      </x:c>
      <x:c r="Q150" s="40" t="n">
        <x:f>Model_Data!AN150</x:f>
        <x:v>-17.839623367246926</x:v>
      </x:c>
      <x:c r="R150" s="41"/>
      <x:c r="S150" s="40" t="n">
        <x:f>Model_Data!A150</x:f>
        <x:v>14</x:v>
      </x:c>
      <x:c r="T150" s="40" t="n">
        <x:f>Model_Data!B150-Inputs!$C$5</x:f>
        <x:v>0.2177777777777692</x:v>
      </x:c>
    </x:row>
    <x:row r="151">
      <x:c r="A151" s="40" t="n">
        <x:f>Model_Data!A151</x:f>
        <x:v>14.5</x:v>
      </x:c>
      <x:c r="B151" s="40" t="n">
        <x:f>Model_Data!F151</x:f>
        <x:v>585.4474328788419</x:v>
      </x:c>
      <x:c r="C151" s="40" t="n">
        <x:f>Model_Data!AC151</x:f>
        <x:v>433.0581861742229</x:v>
      </x:c>
      <x:c r="D151" s="41"/>
      <x:c r="E151" s="40" t="n">
        <x:f>Model_Data!A151</x:f>
        <x:v>14.5</x:v>
      </x:c>
      <x:c r="F151" s="40" t="n">
        <x:f>Model_Data!Y151</x:f>
        <x:v>251.6097487644385</x:v>
      </x:c>
      <x:c r="G151" s="40" t="n">
        <x:f>Model_Data!X151</x:f>
        <x:v>-20.296939924539288</x:v>
      </x:c>
      <x:c r="H151" s="41"/>
      <x:c r="I151" s="40" t="n">
        <x:f>Model_Data!A151</x:f>
        <x:v>14.5</x:v>
      </x:c>
      <x:c r="J151" s="40" t="n">
        <x:f>Model_Data!AI151</x:f>
        <x:v>-152.38924670461904</x:v>
      </x:c>
      <x:c r="K151" s="40" t="n">
        <x:f>Model_Data!AK151</x:f>
        <x:v>271.9066886889778</x:v>
      </x:c>
      <x:c r="L151" s="41"/>
      <x:c r="M151" s="40" t="n">
        <x:f>Model_Data!A151</x:f>
        <x:v>14.5</x:v>
      </x:c>
      <x:c r="N151" s="40" t="n">
        <x:f>Model_Data!P151</x:f>
        <x:v>-109.23727838244822</x:v>
      </x:c>
      <x:c r="O151" s="40" t="n">
        <x:f>Model_Data!AM151</x:f>
        <x:v>-116.66040014970349</x:v>
      </x:c>
      <x:c r="P151" s="40" t="n">
        <x:f>Model_Data!Q151</x:f>
        <x:v>-16.401993751118354</x:v>
      </x:c>
      <x:c r="Q151" s="40" t="n">
        <x:f>Model_Data!AN151</x:f>
        <x:v>-17.51657659905458</x:v>
      </x:c>
      <x:c r="R151" s="41"/>
      <x:c r="S151" s="40" t="n">
        <x:f>Model_Data!A151</x:f>
        <x:v>14.5</x:v>
      </x:c>
      <x:c r="T151" s="40" t="n">
        <x:f>Model_Data!B151-Inputs!$C$5</x:f>
        <x:v>0.23361111111108812</x:v>
      </x:c>
    </x:row>
    <x:row r="152">
      <x:c r="A152" s="40" t="n">
        <x:f>Model_Data!A152</x:f>
        <x:v>15</x:v>
      </x:c>
      <x:c r="B152" s="40" t="n">
        <x:f>Model_Data!F152</x:f>
        <x:v>595.7480822033449</x:v>
      </x:c>
      <x:c r="C152" s="40" t="n">
        <x:f>Model_Data!AC152</x:f>
        <x:v>447.1456736864817</x:v>
      </x:c>
      <x:c r="D152" s="41"/>
      <x:c r="E152" s="40" t="n">
        <x:f>Model_Data!A152</x:f>
        <x:v>15</x:v>
      </x:c>
      <x:c r="F152" s="40" t="n">
        <x:f>Model_Data!Y152</x:f>
        <x:v>250.2262414478555</x:v>
      </x:c>
      <x:c r="G152" s="40" t="n">
        <x:f>Model_Data!X152</x:f>
        <x:v>-14.94766107004692</x:v>
      </x:c>
      <x:c r="H152" s="41"/>
      <x:c r="I152" s="40" t="n">
        <x:f>Model_Data!A152</x:f>
        <x:v>15</x:v>
      </x:c>
      <x:c r="J152" s="40" t="n">
        <x:f>Model_Data!AI152</x:f>
        <x:v>-148.6024085168632</x:v>
      </x:c>
      <x:c r="K152" s="40" t="n">
        <x:f>Model_Data!AK152</x:f>
        <x:v>265.17390251790243</x:v>
      </x:c>
      <x:c r="L152" s="41"/>
      <x:c r="M152" s="40" t="n">
        <x:f>Model_Data!A152</x:f>
        <x:v>15</x:v>
      </x:c>
      <x:c r="N152" s="40" t="n">
        <x:f>Model_Data!P152</x:f>
        <x:v>-112.99648127116424</x:v>
      </x:c>
      <x:c r="O152" s="40" t="n">
        <x:f>Model_Data!AM152</x:f>
        <x:v>-114.54973515719757</x:v>
      </x:c>
      <x:c r="P152" s="40" t="n">
        <x:f>Model_Data!Q152</x:f>
        <x:v>-16.966438629303944</x:v>
      </x:c>
      <x:c r="Q152" s="40" t="n">
        <x:f>Model_Data!AN152</x:f>
        <x:v>-17.19965993351315</x:v>
      </x:c>
      <x:c r="R152" s="41"/>
      <x:c r="S152" s="40" t="n">
        <x:f>Model_Data!A152</x:f>
        <x:v>15</x:v>
      </x:c>
      <x:c r="T152" s="40" t="n">
        <x:f>Model_Data!B152-Inputs!$C$5</x:f>
        <x:v>0.25</x:v>
      </x:c>
    </x:row>
    <x:row r="153">
      <x:c r="A153" s="40" t="n">
        <x:f>Model_Data!A153</x:f>
        <x:v>15.5</x:v>
      </x:c>
      <x:c r="B153" s="40" t="n">
        <x:f>Model_Data!F153</x:f>
        <x:v>606.3965267989187</x:v>
      </x:c>
      <x:c r="C153" s="40" t="n">
        <x:f>Model_Data!AC153</x:f>
        <x:v>461.0914986751033</x:v>
      </x:c>
      <x:c r="D153" s="41"/>
      <x:c r="E153" s="40" t="n">
        <x:f>Model_Data!A153</x:f>
        <x:v>15.5</x:v>
      </x:c>
      <x:c r="F153" s="40" t="n">
        <x:f>Model_Data!Y153</x:f>
        <x:v>250.6596030246285</x:v>
      </x:c>
      <x:c r="G153" s="40" t="n">
        <x:f>Model_Data!X153</x:f>
        <x:v>-8.657894812887456</x:v>
      </x:c>
      <x:c r="H153" s="41"/>
      <x:c r="I153" s="40" t="n">
        <x:f>Model_Data!A153</x:f>
        <x:v>15.5</x:v>
      </x:c>
      <x:c r="J153" s="40" t="n">
        <x:f>Model_Data!AI153</x:f>
        <x:v>-145.30502812381536</x:v>
      </x:c>
      <x:c r="K153" s="40" t="n">
        <x:f>Model_Data!AK153</x:f>
        <x:v>259.31749783751593</x:v>
      </x:c>
      <x:c r="L153" s="41"/>
      <x:c r="M153" s="40" t="n">
        <x:f>Model_Data!A153</x:f>
        <x:v>15.5</x:v>
      </x:c>
      <x:c r="N153" s="40" t="n">
        <x:f>Model_Data!P153</x:f>
        <x:v>-116.754913440409</x:v>
      </x:c>
      <x:c r="O153" s="40" t="n">
        <x:f>Model_Data!AM153</x:f>
        <x:v>-112.68521168412917</x:v>
      </x:c>
      <x:c r="P153" s="40" t="n">
        <x:f>Model_Data!Q153</x:f>
        <x:v>-17.530767783845196</x:v>
      </x:c>
      <x:c r="Q153" s="40" t="n">
        <x:f>Model_Data!AN153</x:f>
        <x:v>-16.91970145407345</x:v>
      </x:c>
      <x:c r="R153" s="41"/>
      <x:c r="S153" s="40" t="n">
        <x:f>Model_Data!A153</x:f>
        <x:v>15.5</x:v>
      </x:c>
      <x:c r="T153" s="40" t="n">
        <x:f>Model_Data!B153-Inputs!$C$5</x:f>
        <x:v>0.266944444444448</x:v>
      </x:c>
    </x:row>
    <x:row r="154">
      <x:c r="A154" s="40" t="n">
        <x:f>Model_Data!A154</x:f>
        <x:v>16</x:v>
      </x:c>
      <x:c r="B154" s="40" t="n">
        <x:f>Model_Data!F154</x:f>
        <x:v>617.3926291322086</x:v>
      </x:c>
      <x:c r="C154" s="40" t="n">
        <x:f>Model_Data!AC154</x:f>
        <x:v>474.8295946010496</x:v>
      </x:c>
      <x:c r="D154" s="41"/>
      <x:c r="E154" s="40" t="n">
        <x:f>Model_Data!A154</x:f>
        <x:v>16</x:v>
      </x:c>
      <x:c r="F154" s="40" t="n">
        <x:f>Model_Data!Y154</x:f>
        <x:v>252.80069248211987</x:v>
      </x:c>
      <x:c r="G154" s="40" t="n">
        <x:f>Model_Data!X154</x:f>
        <x:v>-1.6540947002614148</x:v>
      </x:c>
      <x:c r="H154" s="41"/>
      <x:c r="I154" s="40" t="n">
        <x:f>Model_Data!A154</x:f>
        <x:v>16</x:v>
      </x:c>
      <x:c r="J154" s="40" t="n">
        <x:f>Model_Data!AI154</x:f>
        <x:v>-142.56303453115902</x:v>
      </x:c>
      <x:c r="K154" s="40" t="n">
        <x:f>Model_Data!AK154</x:f>
        <x:v>254.4547871823813</x:v>
      </x:c>
      <x:c r="L154" s="41"/>
      <x:c r="M154" s="40" t="n">
        <x:f>Model_Data!A154</x:f>
        <x:v>16</x:v>
      </x:c>
      <x:c r="N154" s="40" t="n">
        <x:f>Model_Data!P154</x:f>
        <x:v>-120.5125495556886</x:v>
      </x:c>
      <x:c r="O154" s="40" t="n">
        <x:f>Model_Data!AM154</x:f>
        <x:v>-111.266728748069</x:v>
      </x:c>
      <x:c r="P154" s="40" t="n">
        <x:f>Model_Data!Q154</x:f>
        <x:v>-18.094977410764052</x:v>
      </x:c>
      <x:c r="Q154" s="40" t="n">
        <x:f>Model_Data!AN154</x:f>
        <x:v>-16.70671602823859</x:v>
      </x:c>
      <x:c r="R154" s="41"/>
      <x:c r="S154" s="40" t="n">
        <x:f>Model_Data!A154</x:f>
        <x:v>16</x:v>
      </x:c>
      <x:c r="T154" s="40" t="n">
        <x:f>Model_Data!B154-Inputs!$C$5</x:f>
        <x:v>0.28444444444443207</x:v>
      </x:c>
    </x:row>
    <x:row r="155">
      <x:c r="A155" s="40" t="n">
        <x:f>Model_Data!A155</x:f>
        <x:v>16.5</x:v>
      </x:c>
      <x:c r="B155" s="40" t="n">
        <x:f>Model_Data!F155</x:f>
        <x:v>628.7362472252798</x:v>
      </x:c>
      <x:c r="C155" s="40" t="n">
        <x:f>Model_Data!AC155</x:f>
        <x:v>488.3168670877939</x:v>
      </x:c>
      <x:c r="D155" s="41"/>
      <x:c r="E155" s="40" t="n">
        <x:f>Model_Data!A155</x:f>
        <x:v>16.5</x:v>
      </x:c>
      <x:c r="F155" s="40" t="n">
        <x:f>Model_Data!Y155</x:f>
        <x:v>256.4791196697492</x:v>
      </x:c>
      <x:c r="G155" s="40" t="n">
        <x:f>Model_Data!X155</x:f>
        <x:v>5.817111049729508</x:v>
      </x:c>
      <x:c r="H155" s="41"/>
      <x:c r="I155" s="40" t="n">
        <x:f>Model_Data!A155</x:f>
        <x:v>16.5</x:v>
      </x:c>
      <x:c r="J155" s="40" t="n">
        <x:f>Model_Data!AI155</x:f>
        <x:v>-140.41938013748592</x:v>
      </x:c>
      <x:c r="K155" s="40" t="n">
        <x:f>Model_Data!AK155</x:f>
        <x:v>250.6620086200197</x:v>
      </x:c>
      <x:c r="L155" s="41"/>
      <x:c r="M155" s="40" t="n">
        <x:f>Model_Data!A155</x:f>
        <x:v>16.5</x:v>
      </x:c>
      <x:c r="N155" s="40" t="n">
        <x:f>Model_Data!P155</x:f>
        <x:v>-124.26936431730996</x:v>
      </x:c>
      <x:c r="O155" s="40" t="n">
        <x:f>Model_Data!AM155</x:f>
        <x:v>-110.48173114495512</x:v>
      </x:c>
      <x:c r="P155" s="40" t="n">
        <x:f>Model_Data!Q155</x:f>
        <x:v>-18.659063711307805</x:v>
      </x:c>
      <x:c r="Q155" s="40" t="n">
        <x:f>Model_Data!AN155</x:f>
        <x:v>-16.588848520263532</x:v>
      </x:c>
      <x:c r="R155" s="41"/>
      <x:c r="S155" s="40" t="n">
        <x:f>Model_Data!A155</x:f>
        <x:v>16.5</x:v>
      </x:c>
      <x:c r="T155" s="40" t="n">
        <x:f>Model_Data!B155-Inputs!$C$5</x:f>
        <x:v>0.3025000000000091</x:v>
      </x:c>
    </x:row>
    <x:row r="156">
      <x:c r="A156" s="40" t="n">
        <x:f>Model_Data!A156</x:f>
        <x:v>17</x:v>
      </x:c>
      <x:c r="B156" s="40" t="n">
        <x:f>Model_Data!F156</x:f>
        <x:v>640.4272346615566</x:v>
      </x:c>
      <x:c r="C156" s="40" t="n">
        <x:f>Model_Data!AC156</x:f>
        <x:v>501.5354620233916</x:v>
      </x:c>
      <x:c r="D156" s="41"/>
      <x:c r="E156" s="40" t="n">
        <x:f>Model_Data!A156</x:f>
        <x:v>17</x:v>
      </x:c>
      <x:c r="F156" s="40" t="n">
        <x:f>Model_Data!Y156</x:f>
        <x:v>261.46821915572235</x:v>
      </x:c>
      <x:c r="G156" s="40" t="n">
        <x:f>Model_Data!X156</x:f>
        <x:v>13.497934012597739</x:v>
      </x:c>
      <x:c r="H156" s="41"/>
      <x:c r="I156" s="40" t="n">
        <x:f>Model_Data!A156</x:f>
        <x:v>17</x:v>
      </x:c>
      <x:c r="J156" s="40" t="n">
        <x:f>Model_Data!AI156</x:f>
        <x:v>-138.89177263816498</x:v>
      </x:c>
      <x:c r="K156" s="40" t="n">
        <x:f>Model_Data!AK156</x:f>
        <x:v>247.9702851431246</x:v>
      </x:c>
      <x:c r="L156" s="41"/>
      <x:c r="M156" s="40" t="n">
        <x:f>Model_Data!A156</x:f>
        <x:v>17</x:v>
      </x:c>
      <x:c r="N156" s="40" t="n">
        <x:f>Model_Data!P156</x:f>
        <x:v>-128.02533246146646</x:v>
      </x:c>
      <x:c r="O156" s="40" t="n">
        <x:f>Model_Data!AM156</x:f>
        <x:v>-110.49848338734591</x:v>
      </x:c>
      <x:c r="P156" s="40" t="n">
        <x:f>Model_Data!Q156</x:f>
        <x:v>-19.223022892112084</x:v>
      </x:c>
      <x:c r="Q156" s="40" t="n">
        <x:f>Model_Data!AN156</x:f>
        <x:v>-16.59136387197386</x:v>
      </x:c>
      <x:c r="R156" s="41"/>
      <x:c r="S156" s="40" t="n">
        <x:f>Model_Data!A156</x:f>
        <x:v>17</x:v>
      </x:c>
      <x:c r="T156" s="40" t="n">
        <x:f>Model_Data!B156-Inputs!$C$5</x:f>
        <x:v>0.3211111111111222</x:v>
      </x:c>
    </x:row>
    <x:row r="157">
      <x:c r="A157" s="40" t="n">
        <x:f>Model_Data!A157</x:f>
        <x:v>17.5</x:v>
      </x:c>
      <x:c r="B157" s="40" t="n">
        <x:f>Model_Data!F157</x:f>
        <x:v>652.4654405923689</x:v>
      </x:c>
      <x:c r="C157" s="40" t="n">
        <x:f>Model_Data!AC157</x:f>
        <x:v>514.4940047919429</x:v>
      </x:c>
      <x:c r="D157" s="41"/>
      <x:c r="E157" s="40" t="n">
        <x:f>Model_Data!A157</x:f>
        <x:v>17.5</x:v>
      </x:c>
      <x:c r="F157" s="40" t="n">
        <x:f>Model_Data!Y157</x:f>
        <x:v>267.4920633569952</x:v>
      </x:c>
      <x:c r="G157" s="40" t="n">
        <x:f>Model_Data!X157</x:f>
        <x:v>21.128641823820605</x:v>
      </x:c>
      <x:c r="H157" s="41"/>
      <x:c r="I157" s="40" t="n">
        <x:f>Model_Data!A157</x:f>
        <x:v>17.5</x:v>
      </x:c>
      <x:c r="J157" s="40" t="n">
        <x:f>Model_Data!AI157</x:f>
        <x:v>-137.97143580042598</x:v>
      </x:c>
      <x:c r="K157" s="40" t="n">
        <x:f>Model_Data!AK157</x:f>
        <x:v>246.36342153317457</x:v>
      </x:c>
      <x:c r="L157" s="41"/>
      <x:c r="M157" s="40" t="n">
        <x:f>Model_Data!A157</x:f>
        <x:v>17.5</x:v>
      </x:c>
      <x:c r="N157" s="40" t="n">
        <x:f>Model_Data!P157</x:f>
        <x:v>-131.78042876132014</x:v>
      </x:c>
      <x:c r="O157" s="40" t="n">
        <x:f>Model_Data!AM157</x:f>
        <x:v>-111.45990518434701</x:v>
      </x:c>
      <x:c r="P157" s="40" t="n">
        <x:f>Model_Data!Q157</x:f>
        <x:v>-19.786851165363387</x:v>
      </x:c>
      <x:c r="Q157" s="40" t="n">
        <x:f>Model_Data!AN157</x:f>
        <x:v>-16.735721499151204</x:v>
      </x:c>
      <x:c r="R157" s="41"/>
      <x:c r="S157" s="40" t="n">
        <x:f>Model_Data!A157</x:f>
        <x:v>17.5</x:v>
      </x:c>
      <x:c r="T157" s="40" t="n">
        <x:f>Model_Data!B157-Inputs!$C$5</x:f>
        <x:v>0.34027777777777146</x:v>
      </x:c>
    </x:row>
    <x:row r="158">
      <x:c r="A158" s="40" t="n">
        <x:f>Model_Data!A158</x:f>
        <x:v>18</x:v>
      </x:c>
      <x:c r="B158" s="40" t="n">
        <x:f>Model_Data!F158</x:f>
        <x:v>664.8507097434994</x:v>
      </x:c>
      <x:c r="C158" s="40" t="n">
        <x:f>Model_Data!AC158</x:f>
        <x:v>527.2277398752499</x:v>
      </x:c>
      <x:c r="D158" s="41"/>
      <x:c r="E158" s="40" t="n">
        <x:f>Model_Data!A158</x:f>
        <x:v>18</x:v>
      </x:c>
      <x:c r="F158" s="40" t="n">
        <x:f>Model_Data!Y158</x:f>
        <x:v>274.2343017030606</x:v>
      </x:c>
      <x:c r="G158" s="40" t="n">
        <x:f>Model_Data!X158</x:f>
        <x:v>28.456636737610513</x:v>
      </x:c>
      <x:c r="H158" s="41"/>
      <x:c r="I158" s="40" t="n">
        <x:f>Model_Data!A158</x:f>
        <x:v>18</x:v>
      </x:c>
      <x:c r="J158" s="40" t="n">
        <x:f>Model_Data!AI158</x:f>
        <x:v>-137.62296986824947</x:v>
      </x:c>
      <x:c r="K158" s="40" t="n">
        <x:f>Model_Data!AK158</x:f>
        <x:v>245.7776649654501</x:v>
      </x:c>
      <x:c r="L158" s="41"/>
      <x:c r="M158" s="40" t="n">
        <x:f>Model_Data!A158</x:f>
        <x:v>18</x:v>
      </x:c>
      <x:c r="N158" s="40" t="n">
        <x:f>Model_Data!P158</x:f>
        <x:v>-135.5346280280799</x:v>
      </x:c>
      <x:c r="O158" s="40" t="n">
        <x:f>Model_Data!AM158</x:f>
        <x:v>-113.47820175351444</x:v>
      </x:c>
      <x:c r="P158" s="40" t="n">
        <x:f>Model_Data!Q158</x:f>
        <x:v>-20.350544748960946</x:v>
      </x:c>
      <x:c r="Q158" s="40" t="n">
        <x:f>Model_Data!AN158</x:f>
        <x:v>-17.03876903205923</x:v>
      </x:c>
      <x:c r="R158" s="41"/>
      <x:c r="S158" s="40" t="n">
        <x:f>Model_Data!A158</x:f>
        <x:v>18</x:v>
      </x:c>
      <x:c r="T158" s="40" t="n">
        <x:f>Model_Data!B158-Inputs!$C$5</x:f>
        <x:v>0.36000000000001364</x:v>
      </x:c>
    </x:row>
    <x:row r="159">
      <x:c r="A159" s="40" t="n">
        <x:f>Model_Data!A159</x:f>
        <x:v>18.5</x:v>
      </x:c>
      <x:c r="B159" s="40" t="n">
        <x:f>Model_Data!F159</x:f>
        <x:v>677.5828824219851</x:v>
      </x:c>
      <x:c r="C159" s="40" t="n">
        <x:f>Model_Data!AC159</x:f>
        <x:v>539.7975462944635</x:v>
      </x:c>
      <x:c r="D159" s="41"/>
      <x:c r="E159" s="40" t="n">
        <x:f>Model_Data!A159</x:f>
        <x:v>18.5</x:v>
      </x:c>
      <x:c r="F159" s="40" t="n">
        <x:f>Model_Data!Y159</x:f>
        <x:v>281.34854272773623</x:v>
      </x:c>
      <x:c r="G159" s="40" t="n">
        <x:f>Model_Data!X159</x:f>
        <x:v>35.24506960234823</x:v>
      </x:c>
      <x:c r="H159" s="41"/>
      <x:c r="I159" s="40" t="n">
        <x:f>Model_Data!A159</x:f>
        <x:v>18.5</x:v>
      </x:c>
      <x:c r="J159" s="40" t="n">
        <x:f>Model_Data!AI159</x:f>
        <x:v>-137.78533612752165</x:v>
      </x:c>
      <x:c r="K159" s="40" t="n">
        <x:f>Model_Data!AK159</x:f>
        <x:v>246.103473125388</x:v>
      </x:c>
      <x:c r="L159" s="41"/>
      <x:c r="M159" s="40" t="n">
        <x:f>Model_Data!A159</x:f>
        <x:v>18.5</x:v>
      </x:c>
      <x:c r="N159" s="40" t="n">
        <x:f>Model_Data!P159</x:f>
        <x:v>-139.28790511207666</x:v>
      </x:c>
      <x:c r="O159" s="40" t="n">
        <x:f>Model_Data!AM159</x:f>
        <x:v>-116.63049703993238</x:v>
      </x:c>
      <x:c r="P159" s="40" t="n">
        <x:f>Model_Data!Q159</x:f>
        <x:v>-20.914099866678182</x:v>
      </x:c>
      <x:c r="Q159" s="40" t="n">
        <x:f>Model_Data!AN159</x:f>
        <x:v>-17.51208664263249</x:v>
      </x:c>
      <x:c r="R159" s="41"/>
      <x:c r="S159" s="40" t="n">
        <x:f>Model_Data!A159</x:f>
        <x:v>18.5</x:v>
      </x:c>
      <x:c r="T159" s="40" t="n">
        <x:f>Model_Data!B159-Inputs!$C$5</x:f>
        <x:v>0.3802777777777919</x:v>
      </x:c>
    </x:row>
    <x:row r="160">
      <x:c r="A160" s="40" t="n">
        <x:f>Model_Data!A160</x:f>
        <x:v>19</x:v>
      </x:c>
      <x:c r="B160" s="40" t="n">
        <x:f>Model_Data!F160</x:f>
        <x:v>690.6617945229834</x:v>
      </x:c>
      <x:c r="C160" s="40" t="n">
        <x:f>Model_Data!AC160</x:f>
        <x:v>552.2878522306086</x:v>
      </x:c>
      <x:c r="D160" s="41"/>
      <x:c r="E160" s="40" t="n">
        <x:f>Model_Data!A160</x:f>
        <x:v>19</x:v>
      </x:c>
      <x:c r="F160" s="40" t="n">
        <x:f>Model_Data!Y160</x:f>
        <x:v>288.46993534808973</x:v>
      </x:c>
      <x:c r="G160" s="40" t="n">
        <x:f>Model_Data!X160</x:f>
        <x:v>41.28068719127039</x:v>
      </x:c>
      <x:c r="H160" s="41"/>
      <x:c r="I160" s="40" t="n">
        <x:f>Model_Data!A160</x:f>
        <x:v>19</x:v>
      </x:c>
      <x:c r="J160" s="40" t="n">
        <x:f>Model_Data!AI160</x:f>
        <x:v>-138.37394229237486</x:v>
      </x:c>
      <x:c r="K160" s="40" t="n">
        <x:f>Model_Data!AK160</x:f>
        <x:v>247.18924815681936</x:v>
      </x:c>
      <x:c r="L160" s="41"/>
      <x:c r="M160" s="40" t="n">
        <x:f>Model_Data!A160</x:f>
        <x:v>19</x:v>
      </x:c>
      <x:c r="N160" s="40" t="n">
        <x:f>Model_Data!P160</x:f>
        <x:v>-143.04023490383426</x:v>
      </x:c>
      <x:c r="O160" s="40" t="n">
        <x:f>Model_Data!AM160</x:f>
        <x:v>-120.95564440278395</x:v>
      </x:c>
      <x:c r="P160" s="40" t="n">
        <x:f>Model_Data!Q160</x:f>
        <x:v>-21.477512748323466</x:v>
      </x:c>
      <x:c r="Q160" s="40" t="n">
        <x:f>Model_Data!AN160</x:f>
        <x:v>-18.16150816858618</x:v>
      </x:c>
      <x:c r="R160" s="41"/>
      <x:c r="S160" s="40" t="n">
        <x:f>Model_Data!A160</x:f>
        <x:v>19</x:v>
      </x:c>
      <x:c r="T160" s="40" t="n">
        <x:f>Model_Data!B160-Inputs!$C$5</x:f>
        <x:v>0.4011111111111063</x:v>
      </x:c>
    </x:row>
    <x:row r="161">
      <x:c r="A161" s="40" t="n">
        <x:f>Model_Data!A161</x:f>
        <x:v>19.5</x:v>
      </x:c>
      <x:c r="B161" s="40" t="n">
        <x:f>Model_Data!F161</x:f>
        <x:v>704.0872775371171</x:v>
      </x:c>
      <x:c r="C161" s="40" t="n">
        <x:f>Model_Data!AC161</x:f>
        <x:v>564.803519623772</x:v>
      </x:c>
      <x:c r="D161" s="41"/>
      <x:c r="E161" s="40" t="n">
        <x:f>Model_Data!A161</x:f>
        <x:v>19.5</x:v>
      </x:c>
      <x:c r="F161" s="40" t="n">
        <x:f>Model_Data!Y161</x:f>
        <x:v>295.2275566292752</x:v>
      </x:c>
      <x:c r="G161" s="40" t="n">
        <x:f>Model_Data!X161</x:f>
        <x:v>46.380646599011236</x:v>
      </x:c>
      <x:c r="H161" s="41"/>
      <x:c r="I161" s="40" t="n">
        <x:f>Model_Data!A161</x:f>
        <x:v>19.5</x:v>
      </x:c>
      <x:c r="J161" s="40" t="n">
        <x:f>Model_Data!AI161</x:f>
        <x:v>-139.28375791334508</x:v>
      </x:c>
      <x:c r="K161" s="40" t="n">
        <x:f>Model_Data!AK161</x:f>
        <x:v>248.84691003026398</x:v>
      </x:c>
      <x:c r="L161" s="41"/>
      <x:c r="M161" s="40" t="n">
        <x:f>Model_Data!A161</x:f>
        <x:v>19.5</x:v>
      </x:c>
      <x:c r="N161" s="40" t="n">
        <x:f>Model_Data!P161</x:f>
        <x:v>-146.79159233513664</x:v>
      </x:c>
      <x:c r="O161" s="40" t="n">
        <x:f>Model_Data!AM161</x:f>
        <x:v>-126.45234870060449</x:v>
      </x:c>
      <x:c r="P161" s="40" t="n">
        <x:f>Model_Data!Q161</x:f>
        <x:v>-22.0407796299004</x:v>
      </x:c>
      <x:c r="Q161" s="40" t="n">
        <x:f>Model_Data!AN161</x:f>
        <x:v>-18.98683914423491</x:v>
      </x:c>
      <x:c r="R161" s="41"/>
      <x:c r="S161" s="40" t="n">
        <x:f>Model_Data!A161</x:f>
        <x:v>19.5</x:v>
      </x:c>
      <x:c r="T161" s="40" t="n">
        <x:f>Model_Data!B161-Inputs!$C$5</x:f>
        <x:v>0.42250000000001364</x:v>
      </x:c>
    </x:row>
    <x:row r="162">
      <x:c r="A162" s="40" t="n">
        <x:f>Model_Data!A162</x:f>
        <x:v>20</x:v>
      </x:c>
      <x:c r="B162" s="40" t="n">
        <x:f>Model_Data!F162</x:f>
        <x:v>717.8591585575956</x:v>
      </x:c>
      <x:c r="C162" s="40" t="n">
        <x:f>Model_Data!AC162</x:f>
        <x:v>577.4658145473235</x:v>
      </x:c>
      <x:c r="D162" s="41"/>
      <x:c r="E162" s="40" t="n">
        <x:f>Model_Data!A162</x:f>
        <x:v>20</x:v>
      </x:c>
      <x:c r="F162" s="40" t="n">
        <x:f>Model_Data!Y162</x:f>
        <x:v>301.2571780831806</x:v>
      </x:c>
      <x:c r="G162" s="40" t="n">
        <x:f>Model_Data!X162</x:f>
        <x:v>50.39807551047105</x:v>
      </x:c>
      <x:c r="H162" s="41"/>
      <x:c r="I162" s="40" t="n">
        <x:f>Model_Data!A162</x:f>
        <x:v>20</x:v>
      </x:c>
      <x:c r="J162" s="40" t="n">
        <x:f>Model_Data!AI162</x:f>
        <x:v>-140.39334401027213</x:v>
      </x:c>
      <x:c r="K162" s="40" t="n">
        <x:f>Model_Data!AK162</x:f>
        <x:v>250.85910257270953</x:v>
      </x:c>
      <x:c r="L162" s="41"/>
      <x:c r="M162" s="40" t="n">
        <x:f>Model_Data!A162</x:f>
        <x:v>20</x:v>
      </x:c>
      <x:c r="N162" s="40" t="n">
        <x:f>Model_Data!P162</x:f>
        <x:v>-150.54195238009106</x:v>
      </x:c>
      <x:c r="O162" s="40" t="n">
        <x:f>Model_Data!AM162</x:f>
        <x:v>-133.07868737019817</x:v>
      </x:c>
      <x:c r="P162" s="40" t="n">
        <x:f>Model_Data!Q162</x:f>
        <x:v>-22.60389675376743</x:v>
      </x:c>
      <x:c r="Q162" s="40" t="n">
        <x:f>Model_Data!AN162</x:f>
        <x:v>-19.981784890420148</x:v>
      </x:c>
      <x:c r="R162" s="41"/>
      <x:c r="S162" s="40" t="n">
        <x:f>Model_Data!A162</x:f>
        <x:v>20</x:v>
      </x:c>
      <x:c r="T162" s="40" t="n">
        <x:f>Model_Data!B162-Inputs!$C$5</x:f>
        <x:v>0.4444444444444571</x:v>
      </x:c>
    </x:row>
    <x:row r="163">
      <x:c r="A163" s="40" t="n">
        <x:f>Model_Data!A163</x:f>
        <x:v>20.5</x:v>
      </x:c>
      <x:c r="B163" s="40" t="n">
        <x:f>Model_Data!F163</x:f>
        <x:v>731.9772602878156</x:v>
      </x:c>
      <x:c r="C163" s="40" t="n">
        <x:f>Model_Data!AC163</x:f>
        <x:v>590.407619713773</x:v>
      </x:c>
      <x:c r="D163" s="41"/>
      <x:c r="E163" s="40" t="n">
        <x:f>Model_Data!A163</x:f>
        <x:v>20.5</x:v>
      </x:c>
      <x:c r="F163" s="40" t="n">
        <x:f>Model_Data!Y163</x:f>
        <x:v>306.2139625479992</x:v>
      </x:c>
      <x:c r="G163" s="40" t="n">
        <x:f>Model_Data!X163</x:f>
        <x:v>53.22620959723946</x:v>
      </x:c>
      <x:c r="H163" s="41"/>
      <x:c r="I163" s="40" t="n">
        <x:f>Model_Data!A163</x:f>
        <x:v>20.5</x:v>
      </x:c>
      <x:c r="J163" s="40" t="n">
        <x:f>Model_Data!AI163</x:f>
        <x:v>-141.56964057404264</x:v>
      </x:c>
      <x:c r="K163" s="40" t="n">
        <x:f>Model_Data!AK163</x:f>
        <x:v>252.98775295075973</x:v>
      </x:c>
      <x:c r="L163" s="41"/>
      <x:c r="M163" s="40" t="n">
        <x:f>Model_Data!A163</x:f>
        <x:v>20.5</x:v>
      </x:c>
      <x:c r="N163" s="40" t="n">
        <x:f>Model_Data!P163</x:f>
        <x:v>-154.291290056187</x:v>
      </x:c>
      <x:c r="O163" s="40" t="n">
        <x:f>Model_Data!AM163</x:f>
        <x:v>-140.7530677660361</x:v>
      </x:c>
      <x:c r="P163" s="40" t="n">
        <x:f>Model_Data!Q163</x:f>
        <x:v>-23.166860368796847</x:v>
      </x:c>
      <x:c r="Q163" s="40" t="n">
        <x:f>Model_Data!AN163</x:f>
        <x:v>-21.134094259164584</x:v>
      </x:c>
      <x:c r="R163" s="41"/>
      <x:c r="S163" s="40" t="n">
        <x:f>Model_Data!A163</x:f>
        <x:v>20.5</x:v>
      </x:c>
      <x:c r="T163" s="40" t="n">
        <x:f>Model_Data!B163-Inputs!$C$5</x:f>
        <x:v>0.4669444444444366</x:v>
      </x:c>
    </x:row>
    <x:row r="164">
      <x:c r="A164" s="40" t="n">
        <x:f>Model_Data!A164</x:f>
        <x:v>21</x:v>
      </x:c>
      <x:c r="B164" s="40" t="n">
        <x:f>Model_Data!F164</x:f>
        <x:v>746.441401049121</x:v>
      </x:c>
      <x:c r="C164" s="40" t="n">
        <x:f>Model_Data!AC164</x:f>
        <x:v>603.768079808108</x:v>
      </x:c>
      <x:c r="D164" s="41"/>
      <x:c r="E164" s="40" t="n">
        <x:f>Model_Data!A164</x:f>
        <x:v>21</x:v>
      </x:c>
      <x:c r="F164" s="40" t="n">
        <x:f>Model_Data!Y164</x:f>
        <x:v>309.7846399241838</x:v>
      </x:c>
      <x:c r="G164" s="40" t="n">
        <x:f>Model_Data!X164</x:f>
        <x:v>54.800995876461435</x:v>
      </x:c>
      <x:c r="H164" s="41"/>
      <x:c r="I164" s="40" t="n">
        <x:f>Model_Data!A164</x:f>
        <x:v>21</x:v>
      </x:c>
      <x:c r="J164" s="40" t="n">
        <x:f>Model_Data!AI164</x:f>
        <x:v>-142.673321241013</x:v>
      </x:c>
      <x:c r="K164" s="40" t="n">
        <x:f>Model_Data!AK164</x:f>
        <x:v>254.98364404772238</x:v>
      </x:c>
      <x:c r="L164" s="41"/>
      <x:c r="M164" s="40" t="n">
        <x:f>Model_Data!A164</x:f>
        <x:v>21</x:v>
      </x:c>
      <x:c r="N164" s="40" t="n">
        <x:f>Model_Data!P164</x:f>
        <x:v>-158.03958042535135</x:v>
      </x:c>
      <x:c r="O164" s="40" t="n">
        <x:f>Model_Data!AM164</x:f>
        <x:v>-149.35660558094241</x:v>
      </x:c>
      <x:c r="P164" s="40" t="n">
        <x:f>Model_Data!Q164</x:f>
        <x:v>-23.729666730533236</x:v>
      </x:c>
      <x:c r="Q164" s="40" t="n">
        <x:f>Model_Data!AN164</x:f>
        <x:v>-22.425916753895258</x:v>
      </x:c>
      <x:c r="R164" s="41"/>
      <x:c r="S164" s="40" t="n">
        <x:f>Model_Data!A164</x:f>
        <x:v>21</x:v>
      </x:c>
      <x:c r="T164" s="40" t="n">
        <x:f>Model_Data!B164-Inputs!$C$5</x:f>
        <x:v>0.4900000000000091</x:v>
      </x:c>
    </x:row>
    <x:row r="165">
      <x:c r="A165" s="40" t="n">
        <x:f>Model_Data!A165</x:f>
        <x:v>21.5</x:v>
      </x:c>
      <x:c r="B165" s="40" t="n">
        <x:f>Model_Data!F165</x:f>
        <x:v>761.2513947886907</x:v>
      </x:c>
      <x:c r="C165" s="40" t="n">
        <x:f>Model_Data!AC165</x:f>
        <x:v>617.6868969181454</x:v>
      </x:c>
      <x:c r="D165" s="41"/>
      <x:c r="E165" s="40" t="n">
        <x:f>Model_Data!A165</x:f>
        <x:v>21.5</x:v>
      </x:c>
      <x:c r="F165" s="40" t="n">
        <x:f>Model_Data!Y165</x:f>
        <x:v>311.6987228712529</x:v>
      </x:c>
      <x:c r="G165" s="40" t="n">
        <x:f>Model_Data!X165</x:f>
        <x:v>55.102111199615564</x:v>
      </x:c>
      <x:c r="H165" s="41"/>
      <x:c r="I165" s="40" t="n">
        <x:f>Model_Data!A165</x:f>
        <x:v>21.5</x:v>
      </x:c>
      <x:c r="J165" s="40" t="n">
        <x:f>Model_Data!AI165</x:f>
        <x:v>-143.56449787054532</x:v>
      </x:c>
      <x:c r="K165" s="40" t="n">
        <x:f>Model_Data!AK165</x:f>
        <x:v>256.59661167163733</x:v>
      </x:c>
      <x:c r="L165" s="41"/>
      <x:c r="M165" s="40" t="n">
        <x:f>Model_Data!A165</x:f>
        <x:v>21.5</x:v>
      </x:c>
      <x:c r="N165" s="40" t="n">
        <x:f>Model_Data!P165</x:f>
        <x:v>-161.78679859499886</x:v>
      </x:c>
      <x:c r="O165" s="40" t="n">
        <x:f>Model_Data!AM165</x:f>
        <x:v>-158.73685656379166</x:v>
      </x:c>
      <x:c r="P165" s="40" t="n">
        <x:f>Model_Data!Q165</x:f>
        <x:v>-24.29231210135118</x:v>
      </x:c>
      <x:c r="Q165" s="40" t="n">
        <x:f>Model_Data!AN165</x:f>
        <x:v>-23.834362847416166</x:v>
      </x:c>
      <x:c r="R165" s="41"/>
      <x:c r="S165" s="40" t="n">
        <x:f>Model_Data!A165</x:f>
        <x:v>21.5</x:v>
      </x:c>
      <x:c r="T165" s="40" t="n">
        <x:f>Model_Data!B165-Inputs!$C$5</x:f>
        <x:v>0.5136111111111177</x:v>
      </x:c>
    </x:row>
    <x:row r="166">
      <x:c r="A166" s="40" t="n">
        <x:f>Model_Data!A166</x:f>
        <x:v>22</x:v>
      </x:c>
      <x:c r="B166" s="40" t="n">
        <x:f>Model_Data!F166</x:f>
        <x:v>776.4070510875223</x:v>
      </x:c>
      <x:c r="C166" s="40" t="n">
        <x:f>Model_Data!AC166</x:f>
        <x:v>632.2985109250112</x:v>
      </x:c>
      <x:c r="D166" s="41"/>
      <x:c r="E166" s="40" t="n">
        <x:f>Model_Data!A166</x:f>
        <x:v>22</x:v>
      </x:c>
      <x:c r="F166" s="40" t="n">
        <x:f>Model_Data!Y166</x:f>
        <x:v>311.7383527411061</x:v>
      </x:c>
      <x:c r="G166" s="40" t="n">
        <x:f>Model_Data!X166</x:f>
        <x:v>54.15240568995017</x:v>
      </x:c>
      <x:c r="H166" s="41"/>
      <x:c r="I166" s="40" t="n">
        <x:f>Model_Data!A166</x:f>
        <x:v>22</x:v>
      </x:c>
      <x:c r="J166" s="40" t="n">
        <x:f>Model_Data!AI166</x:f>
        <x:v>-144.10854016251108</x:v>
      </x:c>
      <x:c r="K166" s="40" t="n">
        <x:f>Model_Data!AK166</x:f>
        <x:v>257.5859470511559</x:v>
      </x:c>
      <x:c r="L166" s="41"/>
      <x:c r="M166" s="40" t="n">
        <x:f>Model_Data!A166</x:f>
        <x:v>22</x:v>
      </x:c>
      <x:c r="N166" s="40" t="n">
        <x:f>Model_Data!P166</x:f>
        <x:v>-165.5329197190784</x:v>
      </x:c>
      <x:c r="O166" s="40" t="n">
        <x:f>Model_Data!AM166</x:f>
        <x:v>-168.71278302269275</x:v>
      </x:c>
      <x:c r="P166" s="40" t="n">
        <x:f>Model_Data!Q166</x:f>
        <x:v>-24.854792750612372</x:v>
      </x:c>
      <x:c r="Q166" s="40" t="n">
        <x:f>Model_Data!AN166</x:f>
        <x:v>-25.33224970310702</x:v>
      </x:c>
      <x:c r="R166" s="41"/>
      <x:c r="S166" s="40" t="n">
        <x:f>Model_Data!A166</x:f>
        <x:v>22</x:v>
      </x:c>
      <x:c r="T166" s="40" t="n">
        <x:f>Model_Data!B166-Inputs!$C$5</x:f>
        <x:v>0.5377777777777624</x:v>
      </x:c>
    </x:row>
    <x:row r="167">
      <x:c r="A167" s="40" t="n">
        <x:f>Model_Data!A167</x:f>
        <x:v>22.5</x:v>
      </x:c>
      <x:c r="B167" s="40" t="n">
        <x:f>Model_Data!F167</x:f>
        <x:v>791.9081751687987</x:v>
      </x:c>
      <x:c r="C167" s="40" t="n">
        <x:f>Model_Data!AC167</x:f>
        <x:v>647.726407495505</x:v>
      </x:c>
      <x:c r="D167" s="41"/>
      <x:c r="E167" s="40" t="n">
        <x:f>Model_Data!A167</x:f>
        <x:v>22.5</x:v>
      </x:c>
      <x:c r="F167" s="40" t="n">
        <x:f>Model_Data!Y167</x:f>
        <x:v>309.7464106504393</x:v>
      </x:c>
      <x:c r="G167" s="40" t="n">
        <x:f>Model_Data!X167</x:f>
        <x:v>52.015839527040455</x:v>
      </x:c>
      <x:c r="H167" s="41"/>
      <x:c r="I167" s="40" t="n">
        <x:f>Model_Data!A167</x:f>
        <x:v>22.5</x:v>
      </x:c>
      <x:c r="J167" s="40" t="n">
        <x:f>Model_Data!AI167</x:f>
        <x:v>-144.18176767329373</x:v>
      </x:c>
      <x:c r="K167" s="40" t="n">
        <x:f>Model_Data!AK167</x:f>
        <x:v>257.7305711233989</x:v>
      </x:c>
      <x:c r="L167" s="41"/>
      <x:c r="M167" s="40" t="n">
        <x:f>Model_Data!A167</x:f>
        <x:v>22.5</x:v>
      </x:c>
      <x:c r="N167" s="40" t="n">
        <x:f>Model_Data!P167</x:f>
        <x:v>-169.27791899911472</x:v>
      </x:c>
      <x:c r="O167" s="40" t="n">
        <x:f>Model_Data!AM167</x:f>
        <x:v>-179.08078969021517</x:v>
      </x:c>
      <x:c r="P167" s="40" t="n">
        <x:f>Model_Data!Q167</x:f>
        <x:v>-25.417104954822033</x:v>
      </x:c>
      <x:c r="Q167" s="40" t="n">
        <x:f>Model_Data!AN167</x:f>
        <x:v>-26.88900746099327</x:v>
      </x:c>
      <x:c r="R167" s="41"/>
      <x:c r="S167" s="40" t="n">
        <x:f>Model_Data!A167</x:f>
        <x:v>22.5</x:v>
      </x:c>
      <x:c r="T167" s="40" t="n">
        <x:f>Model_Data!B167-Inputs!$C$5</x:f>
        <x:v>0.5625</x:v>
      </x:c>
    </x:row>
    <x:row r="168">
      <x:c r="A168" s="40" t="n">
        <x:f>Model_Data!A168</x:f>
        <x:v>23</x:v>
      </x:c>
      <x:c r="B168" s="40" t="n">
        <x:f>Model_Data!F168</x:f>
        <x:v>807.7545679062877</x:v>
      </x:c>
      <x:c r="C168" s="40" t="n">
        <x:f>Model_Data!AC168</x:f>
        <x:v>664.0777938473918</x:v>
      </x:c>
      <x:c r="D168" s="41"/>
      <x:c r="E168" s="40" t="n">
        <x:f>Model_Data!A168</x:f>
        <x:v>23</x:v>
      </x:c>
      <x:c r="F168" s="40" t="n">
        <x:f>Model_Data!Y168</x:f>
        <x:v>305.6325871901515</x:v>
      </x:c>
      <x:c r="G168" s="40" t="n">
        <x:f>Model_Data!X168</x:f>
        <x:v>48.79403573540186</x:v>
      </x:c>
      <x:c r="H168" s="41"/>
      <x:c r="I168" s="40" t="n">
        <x:f>Model_Data!A168</x:f>
        <x:v>23</x:v>
      </x:c>
      <x:c r="J168" s="40" t="n">
        <x:f>Model_Data!AI168</x:f>
        <x:v>-143.67677405889583</x:v>
      </x:c>
      <x:c r="K168" s="40" t="n">
        <x:f>Model_Data!AK168</x:f>
        <x:v>256.8385514547497</x:v>
      </x:c>
      <x:c r="L168" s="41"/>
      <x:c r="M168" s="40" t="n">
        <x:f>Model_Data!A168</x:f>
        <x:v>23</x:v>
      </x:c>
      <x:c r="N168" s="40" t="n">
        <x:f>Model_Data!P168</x:f>
        <x:v>-173.02177168524585</x:v>
      </x:c>
      <x:c r="O168" s="40" t="n">
        <x:f>Model_Data!AM168</x:f>
        <x:v>-189.62162228372108</x:v>
      </x:c>
      <x:c r="P168" s="40" t="n">
        <x:f>Model_Data!Q168</x:f>
        <x:v>-25.979244997784665</x:v>
      </x:c>
      <x:c r="Q168" s="40" t="n">
        <x:f>Model_Data!AN168</x:f>
        <x:v>-28.471715057615782</x:v>
      </x:c>
      <x:c r="R168" s="41"/>
      <x:c r="S168" s="40" t="n">
        <x:f>Model_Data!A168</x:f>
        <x:v>23</x:v>
      </x:c>
      <x:c r="T168" s="40" t="n">
        <x:f>Model_Data!B168-Inputs!$C$5</x:f>
        <x:v>0.5877777777777737</x:v>
      </x:c>
    </x:row>
    <x:row r="169">
      <x:c r="A169" s="40" t="n">
        <x:f>Model_Data!A169</x:f>
        <x:v>23.5</x:v>
      </x:c>
      <x:c r="B169" s="40" t="n">
        <x:f>Model_Data!F169</x:f>
        <x:v>823.9460258329628</x:v>
      </x:c>
      <x:c r="C169" s="40" t="n">
        <x:f>Model_Data!AC169</x:f>
        <x:v>681.438869765308</x:v>
      </x:c>
      <x:c r="D169" s="41"/>
      <x:c r="E169" s="40" t="n">
        <x:f>Model_Data!A169</x:f>
        <x:v>23.5</x:v>
      </x:c>
      <x:c r="F169" s="40" t="n">
        <x:f>Model_Data!Y169</x:f>
        <x:v>299.3771747958651</x:v>
      </x:c>
      <x:c r="G169" s="40" t="n">
        <x:f>Model_Data!X169</x:f>
        <x:v>44.6216195510579</x:v>
      </x:c>
      <x:c r="H169" s="41"/>
      <x:c r="I169" s="40" t="n">
        <x:f>Model_Data!A169</x:f>
        <x:v>23.5</x:v>
      </x:c>
      <x:c r="J169" s="40" t="n">
        <x:f>Model_Data!AI169</x:f>
        <x:v>-142.50715606765482</x:v>
      </x:c>
      <x:c r="K169" s="40" t="n">
        <x:f>Model_Data!AK169</x:f>
        <x:v>254.75555524480717</x:v>
      </x:c>
      <x:c r="L169" s="41"/>
      <x:c r="M169" s="40" t="n">
        <x:f>Model_Data!A169</x:f>
        <x:v>23.5</x:v>
      </x:c>
      <x:c r="N169" s="40" t="n">
        <x:f>Model_Data!P169</x:f>
        <x:v>-176.76445307725538</x:v>
      </x:c>
      <x:c r="O169" s="40" t="n">
        <x:f>Model_Data!AM169</x:f>
        <x:v>-200.10788815070555</x:v>
      </x:c>
      <x:c r="P169" s="40" t="n">
        <x:f>Model_Data!Q169</x:f>
        <x:v>-26.54120917075907</x:v>
      </x:c>
      <x:c r="Q169" s="40" t="n">
        <x:f>Model_Data!AN169</x:f>
        <x:v>-30.046229452057894</x:v>
      </x:c>
      <x:c r="R169" s="41"/>
      <x:c r="S169" s="40" t="n">
        <x:f>Model_Data!A169</x:f>
        <x:v>23.5</x:v>
      </x:c>
      <x:c r="T169" s="40" t="n">
        <x:f>Model_Data!B169-Inputs!$C$5</x:f>
        <x:v>0.6136111111110836</x:v>
      </x:c>
    </x:row>
    <x:row r="170">
      <x:c r="A170" s="40" t="n">
        <x:f>Model_Data!A170</x:f>
        <x:v>24</x:v>
      </x:c>
      <x:c r="B170" s="40" t="n">
        <x:f>Model_Data!F170</x:f>
        <x:v>840.482341149787</x:v>
      </x:c>
      <x:c r="C170" s="40" t="n">
        <x:f>Model_Data!AC170</x:f>
        <x:v>699.8708988692088</x:v>
      </x:c>
      <x:c r="D170" s="41"/>
      <x:c r="E170" s="40" t="n">
        <x:f>Model_Data!A170</x:f>
        <x:v>24</x:v>
      </x:c>
      <x:c r="F170" s="40" t="n">
        <x:f>Model_Data!Y170</x:f>
        <x:v>291.03242674650306</x:v>
      </x:c>
      <x:c r="G170" s="40" t="n">
        <x:f>Model_Data!X170</x:f>
        <x:v>39.660554802231026</x:v>
      </x:c>
      <x:c r="H170" s="41"/>
      <x:c r="I170" s="40" t="n">
        <x:f>Model_Data!A170</x:f>
        <x:v>24</x:v>
      </x:c>
      <x:c r="J170" s="40" t="n">
        <x:f>Model_Data!AI170</x:f>
        <x:v>-140.61144228057822</x:v>
      </x:c>
      <x:c r="K170" s="40" t="n">
        <x:f>Model_Data!AK170</x:f>
        <x:v>251.37187194427204</x:v>
      </x:c>
      <x:c r="L170" s="41"/>
      <x:c r="M170" s="40" t="n">
        <x:f>Model_Data!A170</x:f>
        <x:v>24</x:v>
      </x:c>
      <x:c r="N170" s="40" t="n">
        <x:f>Model_Data!P170</x:f>
        <x:v>-180.5059385256004</x:v>
      </x:c>
      <x:c r="O170" s="40" t="n">
        <x:f>Model_Data!AM170</x:f>
        <x:v>-210.31193309872833</x:v>
      </x:c>
      <x:c r="P170" s="40" t="n">
        <x:f>Model_Data!Q170</x:f>
        <x:v>-27.102993772612678</x:v>
      </x:c>
      <x:c r="Q170" s="40" t="n">
        <x:f>Model_Data!AN170</x:f>
        <x:v>-31.578368333142397</x:v>
      </x:c>
      <x:c r="R170" s="41"/>
      <x:c r="S170" s="40" t="n">
        <x:f>Model_Data!A170</x:f>
        <x:v>24</x:v>
      </x:c>
      <x:c r="T170" s="40" t="n">
        <x:f>Model_Data!B170-Inputs!$C$5</x:f>
        <x:v>0.6399999999999864</x:v>
      </x:c>
    </x:row>
    <x:row r="171">
      <x:c r="A171" s="40" t="n">
        <x:f>Model_Data!A171</x:f>
        <x:v>24.5</x:v>
      </x:c>
      <x:c r="B171" s="40" t="n">
        <x:f>Model_Data!F171</x:f>
        <x:v>857.3633017347807</x:v>
      </x:c>
      <x:c r="C171" s="40" t="n">
        <x:f>Model_Data!AC171</x:f>
        <x:v>719.4072537582118</x:v>
      </x:c>
      <x:c r="D171" s="41"/>
      <x:c r="E171" s="40" t="n">
        <x:f>Model_Data!A171</x:f>
        <x:v>24.5</x:v>
      </x:c>
      <x:c r="F171" s="40" t="n">
        <x:f>Model_Data!Y171</x:f>
        <x:v>280.7214132186816</x:v>
      </x:c>
      <x:c r="G171" s="40" t="n">
        <x:f>Model_Data!X171</x:f>
        <x:v>34.09371820506924</x:v>
      </x:c>
      <x:c r="H171" s="41"/>
      <x:c r="I171" s="40" t="n">
        <x:f>Model_Data!A171</x:f>
        <x:v>24.5</x:v>
      </x:c>
      <x:c r="J171" s="40" t="n">
        <x:f>Model_Data!AI171</x:f>
        <x:v>-137.95604797656893</x:v>
      </x:c>
      <x:c r="K171" s="40" t="n">
        <x:f>Model_Data!AK171</x:f>
        <x:v>246.62769501361237</x:v>
      </x:c>
      <x:c r="L171" s="41"/>
      <x:c r="M171" s="40" t="n">
        <x:f>Model_Data!A171</x:f>
        <x:v>24.5</x:v>
      </x:c>
      <x:c r="N171" s="40" t="n">
        <x:f>Model_Data!P171</x:f>
        <x:v>-184.2462034324345</x:v>
      </x:c>
      <x:c r="O171" s="40" t="n">
        <x:f>Model_Data!AM171</x:f>
        <x:v>-220.0137929568882</x:v>
      </x:c>
      <x:c r="P171" s="40" t="n">
        <x:f>Model_Data!Q171</x:f>
        <x:v>-27.664595109975153</x:v>
      </x:c>
      <x:c r="Q171" s="40" t="n">
        <x:f>Model_Data!AN171</x:f>
        <x:v>-33.035104047580816</x:v>
      </x:c>
      <x:c r="R171" s="41"/>
      <x:c r="S171" s="40" t="n">
        <x:f>Model_Data!A171</x:f>
        <x:v>24.5</x:v>
      </x:c>
      <x:c r="T171" s="40" t="n">
        <x:f>Model_Data!B171-Inputs!$C$5</x:f>
        <x:v>0.6669444444444252</x:v>
      </x:c>
    </x:row>
    <x:row r="172">
      <x:c r="A172" s="40" t="n">
        <x:f>Model_Data!A172</x:f>
        <x:v>25</x:v>
      </x:c>
      <x:c r="B172" s="40" t="n">
        <x:f>Model_Data!F172</x:f>
        <x:v>874.588691152092</x:v>
      </x:c>
      <x:c r="C172" s="40" t="n">
        <x:f>Model_Data!AC172</x:f>
        <x:v>740.0515696377405</x:v>
      </x:c>
      <x:c r="D172" s="41"/>
      <x:c r="E172" s="40" t="n">
        <x:f>Model_Data!A172</x:f>
        <x:v>25</x:v>
      </x:c>
      <x:c r="F172" s="40" t="n">
        <x:f>Model_Data!Y172</x:f>
        <x:v>268.63439462918575</x:v>
      </x:c>
      <x:c r="G172" s="40" t="n">
        <x:f>Model_Data!X172</x:f>
        <x:v>28.11797261662734</x:v>
      </x:c>
      <x:c r="H172" s="41"/>
      <x:c r="I172" s="40" t="n">
        <x:f>Model_Data!A172</x:f>
        <x:v>25</x:v>
      </x:c>
      <x:c r="J172" s="40" t="n">
        <x:f>Model_Data!AI172</x:f>
        <x:v>-134.5371215143515</x:v>
      </x:c>
      <x:c r="K172" s="40" t="n">
        <x:f>Model_Data!AK172</x:f>
        <x:v>240.5164220125584</x:v>
      </x:c>
      <x:c r="L172" s="41"/>
      <x:c r="M172" s="40" t="n">
        <x:f>Model_Data!A172</x:f>
        <x:v>25</x:v>
      </x:c>
      <x:c r="N172" s="40" t="n">
        <x:f>Model_Data!P172</x:f>
        <x:v>-187.98522325262562</x:v>
      </x:c>
      <x:c r="O172" s="40" t="n">
        <x:f>Model_Data!AM172</x:f>
        <x:v>-229.00893323376295</x:v>
      </x:c>
      <x:c r="P172" s="40" t="n">
        <x:f>Model_Data!Q172</x:f>
        <x:v>-28.226009497391235</x:v>
      </x:c>
      <x:c r="Q172" s="40" t="n">
        <x:f>Model_Data!AN172</x:f>
        <x:v>-34.38572571077522</x:v>
      </x:c>
      <x:c r="R172" s="41"/>
      <x:c r="S172" s="40" t="n">
        <x:f>Model_Data!A172</x:f>
        <x:v>25</x:v>
      </x:c>
      <x:c r="T172" s="40" t="n">
        <x:f>Model_Data!B172-Inputs!$C$5</x:f>
        <x:v>0.6944444444444571</x:v>
      </x:c>
    </x:row>
    <x:row r="173">
      <x:c r="A173" s="40" t="n">
        <x:f>Model_Data!A173</x:f>
        <x:v>25.5</x:v>
      </x:c>
      <x:c r="B173" s="40" t="n">
        <x:f>Model_Data!F173</x:f>
        <x:v>892.1582886614168</x:v>
      </x:c>
      <x:c r="C173" s="40" t="n">
        <x:f>Model_Data!AC173</x:f>
        <x:v>761.7770959687564</x:v>
      </x:c>
      <x:c r="D173" s="41"/>
      <x:c r="E173" s="40" t="n">
        <x:f>Model_Data!A173</x:f>
        <x:v>25.5</x:v>
      </x:c>
      <x:c r="F173" s="40" t="n">
        <x:f>Model_Data!Y173</x:f>
        <x:v>255.02282231641001</x:v>
      </x:c>
      <x:c r="G173" s="40" t="n">
        <x:f>Model_Data!X173</x:f>
        <x:v>21.937009624311344</x:v>
      </x:c>
      <x:c r="H173" s="41"/>
      <x:c r="I173" s="40" t="n">
        <x:f>Model_Data!A173</x:f>
        <x:v>25.5</x:v>
      </x:c>
      <x:c r="J173" s="40" t="n">
        <x:f>Model_Data!AI173</x:f>
        <x:v>-130.38119269266042</x:v>
      </x:c>
      <x:c r="K173" s="40" t="n">
        <x:f>Model_Data!AK173</x:f>
        <x:v>233.08581269209867</x:v>
      </x:c>
      <x:c r="L173" s="41"/>
      <x:c r="M173" s="40" t="n">
        <x:f>Model_Data!A173</x:f>
        <x:v>25.5</x:v>
      </x:c>
      <x:c r="N173" s="40" t="n">
        <x:f>Model_Data!P173</x:f>
        <x:v>-191.72297349476912</x:v>
      </x:c>
      <x:c r="O173" s="40" t="n">
        <x:f>Model_Data!AM173</x:f>
        <x:v>-237.11549574163655</x:v>
      </x:c>
      <x:c r="P173" s="40" t="n">
        <x:f>Model_Data!Q173</x:f>
        <x:v>-28.787233257472842</x:v>
      </x:c>
      <x:c r="Q173" s="40" t="n">
        <x:f>Model_Data!AN173</x:f>
        <x:v>-35.60292728853402</x:v>
      </x:c>
      <x:c r="R173" s="41"/>
      <x:c r="S173" s="40" t="n">
        <x:f>Model_Data!A173</x:f>
        <x:v>25.5</x:v>
      </x:c>
      <x:c r="T173" s="40" t="n">
        <x:f>Model_Data!B173-Inputs!$C$5</x:f>
        <x:v>0.722500000000025</x:v>
      </x:c>
    </x:row>
    <x:row r="174">
      <x:c r="A174" s="40" t="n">
        <x:f>Model_Data!A174</x:f>
        <x:v>26</x:v>
      </x:c>
      <x:c r="B174" s="40" t="n">
        <x:f>Model_Data!F174</x:f>
        <x:v>910.071869227484</x:v>
      </x:c>
      <x:c r="C174" s="40" t="n">
        <x:f>Model_Data!AC174</x:f>
        <x:v>784.5272864421871</x:v>
      </x:c>
      <x:c r="D174" s="41"/>
      <x:c r="E174" s="40" t="n">
        <x:f>Model_Data!A174</x:f>
        <x:v>26</x:v>
      </x:c>
      <x:c r="F174" s="40" t="n">
        <x:f>Model_Data!Y174</x:f>
        <x:v>240.19116308686702</x:v>
      </x:c>
      <x:c r="G174" s="40" t="n">
        <x:f>Model_Data!X174</x:f>
        <x:v>15.75423035672615</x:v>
      </x:c>
      <x:c r="H174" s="41"/>
      <x:c r="I174" s="40" t="n">
        <x:f>Model_Data!A174</x:f>
        <x:v>26</x:v>
      </x:c>
      <x:c r="J174" s="40" t="n">
        <x:f>Model_Data!AI174</x:f>
        <x:v>-125.54458278529683</x:v>
      </x:c>
      <x:c r="K174" s="40" t="n">
        <x:f>Model_Data!AK174</x:f>
        <x:v>224.43693273014088</x:v>
      </x:c>
      <x:c r="L174" s="41"/>
      <x:c r="M174" s="40" t="n">
        <x:f>Model_Data!A174</x:f>
        <x:v>26</x:v>
      </x:c>
      <x:c r="N174" s="40" t="n">
        <x:f>Model_Data!P174</x:f>
        <x:v>-195.4594297221957</x:v>
      </x:c>
      <x:c r="O174" s="40" t="n">
        <x:f>Model_Data!AM174</x:f>
        <x:v>-244.18078712060378</x:v>
      </x:c>
      <x:c r="P174" s="40" t="n">
        <x:f>Model_Data!Q174</x:f>
        <x:v>-29.348262721050407</x:v>
      </x:c>
      <x:c r="Q174" s="40" t="n">
        <x:f>Model_Data!AN174</x:f>
        <x:v>-36.66378184994051</x:v>
      </x:c>
      <x:c r="R174" s="41"/>
      <x:c r="S174" s="40" t="n">
        <x:f>Model_Data!A174</x:f>
        <x:v>26</x:v>
      </x:c>
      <x:c r="T174" s="40" t="n">
        <x:f>Model_Data!B174-Inputs!$C$5</x:f>
        <x:v>0.751111111111129</x:v>
      </x:c>
    </x:row>
    <x:row r="175">
      <x:c r="A175" s="40" t="n">
        <x:f>Model_Data!A175</x:f>
        <x:v>26.5</x:v>
      </x:c>
      <x:c r="B175" s="40" t="n">
        <x:f>Model_Data!F175</x:f>
        <x:v>928.3292035296988</x:v>
      </x:c>
      <x:c r="C175" s="40" t="n">
        <x:f>Model_Data!AC175</x:f>
        <x:v>808.2176162160836</x:v>
      </x:c>
      <x:c r="D175" s="41"/>
      <x:c r="E175" s="40" t="n">
        <x:f>Model_Data!A175</x:f>
        <x:v>26.5</x:v>
      </x:c>
      <x:c r="F175" s="40" t="n">
        <x:f>Model_Data!Y175</x:f>
        <x:v>224.48682402880684</x:v>
      </x:c>
      <x:c r="G175" s="40" t="n">
        <x:f>Model_Data!X175</x:f>
        <x:v>9.765921491898617</x:v>
      </x:c>
      <x:c r="H175" s="41"/>
      <x:c r="I175" s="40" t="n">
        <x:f>Model_Data!A175</x:f>
        <x:v>26.5</x:v>
      </x:c>
      <x:c r="J175" s="40" t="n">
        <x:f>Model_Data!AI175</x:f>
        <x:v>-120.11158731361525</x:v>
      </x:c>
      <x:c r="K175" s="40" t="n">
        <x:f>Model_Data!AK175</x:f>
        <x:v>214.72090253690823</x:v>
      </x:c>
      <x:c r="L175" s="41"/>
      <x:c r="M175" s="40" t="n">
        <x:f>Model_Data!A175</x:f>
        <x:v>26.5</x:v>
      </x:c>
      <x:c r="N175" s="40" t="n">
        <x:f>Model_Data!P175</x:f>
        <x:v>-199.1945675539738</x:v>
      </x:c>
      <x:c r="O175" s="40" t="n">
        <x:f>Model_Data!AM175</x:f>
        <x:v>-250.0867702571668</x:v>
      </x:c>
      <x:c r="P175" s="40" t="n">
        <x:f>Model_Data!Q175</x:f>
        <x:v>-29.909094227323397</x:v>
      </x:c>
      <x:c r="Q175" s="40" t="n">
        <x:f>Model_Data!AN175</x:f>
        <x:v>-37.5505661046797</x:v>
      </x:c>
      <x:c r="R175" s="41"/>
      <x:c r="S175" s="40" t="n">
        <x:f>Model_Data!A175</x:f>
        <x:v>26.5</x:v>
      </x:c>
      <x:c r="T175" s="40" t="n">
        <x:f>Model_Data!B175-Inputs!$C$5</x:f>
        <x:v>0.7802777777777692</x:v>
      </x:c>
    </x:row>
    <x:row r="176">
      <x:c r="A176" s="40" t="n">
        <x:f>Model_Data!A176</x:f>
        <x:v>27</x:v>
      </x:c>
      <x:c r="B176" s="40" t="n">
        <x:f>Model_Data!F176</x:f>
        <x:v>946.9300579721395</x:v>
      </x:c>
      <x:c r="C176" s="40" t="n">
        <x:f>Model_Data!AC176</x:f>
        <x:v>832.7385640329206</x:v>
      </x:c>
      <x:c r="D176" s="41"/>
      <x:c r="E176" s="40" t="n">
        <x:f>Model_Data!A176</x:f>
        <x:v>27</x:v>
      </x:c>
      <x:c r="F176" s="40" t="n">
        <x:f>Model_Data!Y176</x:f>
        <x:v>208.2885242437205</x:v>
      </x:c>
      <x:c r="G176" s="40" t="n">
        <x:f>Model_Data!X176</x:f>
        <x:v>4.154961946360737</x:v>
      </x:c>
      <x:c r="H176" s="41"/>
      <x:c r="I176" s="40" t="n">
        <x:f>Model_Data!A176</x:f>
        <x:v>27</x:v>
      </x:c>
      <x:c r="J176" s="40" t="n">
        <x:f>Model_Data!AI176</x:f>
        <x:v>-114.19149393921884</x:v>
      </x:c>
      <x:c r="K176" s="40" t="n">
        <x:f>Model_Data!AK176</x:f>
        <x:v>204.13356229735976</x:v>
      </x:c>
      <x:c r="L176" s="41"/>
      <x:c r="M176" s="40" t="n">
        <x:f>Model_Data!A176</x:f>
        <x:v>27</x:v>
      </x:c>
      <x:c r="N176" s="40" t="n">
        <x:f>Model_Data!P176</x:f>
        <x:v>-202.92836266590731</x:v>
      </x:c>
      <x:c r="O176" s="40" t="n">
        <x:f>Model_Data!AM176</x:f>
        <x:v>-254.7543547609166</x:v>
      </x:c>
      <x:c r="P176" s="40" t="n">
        <x:f>Model_Data!Q176</x:f>
        <x:v>-30.46972412401011</x:v>
      </x:c>
      <x:c r="Q176" s="40" t="n">
        <x:f>Model_Data!AN176</x:f>
        <x:v>-38.251404618756254</x:v>
      </x:c>
      <x:c r="R176" s="41"/>
      <x:c r="S176" s="40" t="n">
        <x:f>Model_Data!A176</x:f>
        <x:v>27</x:v>
      </x:c>
      <x:c r="T176" s="40" t="n">
        <x:f>Model_Data!B176-Inputs!$C$5</x:f>
        <x:v>0.8100000000000023</x:v>
      </x:c>
    </x:row>
    <x:row r="177">
      <x:c r="A177" s="40" t="n">
        <x:f>Model_Data!A177</x:f>
        <x:v>27.5</x:v>
      </x:c>
      <x:c r="B177" s="40" t="n">
        <x:f>Model_Data!F177</x:f>
        <x:v>965.8741946934875</x:v>
      </x:c>
      <x:c r="C177" s="40" t="n">
        <x:f>Model_Data!AC177</x:f>
        <x:v>857.9596477252214</x:v>
      </x:c>
      <x:c r="D177" s="41"/>
      <x:c r="E177" s="40" t="n">
        <x:f>Model_Data!A177</x:f>
        <x:v>27.5</x:v>
      </x:c>
      <x:c r="F177" s="40" t="n">
        <x:f>Model_Data!Y177</x:f>
        <x:v>191.99351808636266</x:v>
      </x:c>
      <x:c r="G177" s="40" t="n">
        <x:f>Model_Data!X177</x:f>
        <x:v>-0.9147341473904813</x:v>
      </x:c>
      <x:c r="H177" s="41"/>
      <x:c r="I177" s="40" t="n">
        <x:f>Model_Data!A177</x:f>
        <x:v>27.5</x:v>
      </x:c>
      <x:c r="J177" s="40" t="n">
        <x:f>Model_Data!AI177</x:f>
        <x:v>-107.91454696826611</x:v>
      </x:c>
      <x:c r="K177" s="40" t="n">
        <x:f>Model_Data!AK177</x:f>
        <x:v>192.90825223375313</x:v>
      </x:c>
      <x:c r="L177" s="41"/>
      <x:c r="M177" s="40" t="n">
        <x:f>Model_Data!A177</x:f>
        <x:v>27.5</x:v>
      </x:c>
      <x:c r="N177" s="40" t="n">
        <x:f>Model_Data!P177</x:f>
        <x:v>-206.66079079152723</x:v>
      </x:c>
      <x:c r="O177" s="40" t="n">
        <x:f>Model_Data!AM177</x:f>
        <x:v>-258.14632563324267</x:v>
      </x:c>
      <x:c r="P177" s="40" t="n">
        <x:f>Model_Data!Q177</x:f>
        <x:v>-31.030148767496584</x:v>
      </x:c>
      <x:c r="Q177" s="40" t="n">
        <x:f>Model_Data!AN177</x:f>
        <x:v>-38.760709554540945</x:v>
      </x:c>
      <x:c r="R177" s="41"/>
      <x:c r="S177" s="40" t="n">
        <x:f>Model_Data!A177</x:f>
        <x:v>27.5</x:v>
      </x:c>
      <x:c r="T177" s="40" t="n">
        <x:f>Model_Data!B177-Inputs!$C$5</x:f>
        <x:v>0.8402777777777715</x:v>
      </x:c>
    </x:row>
    <x:row r="178">
      <x:c r="A178" s="40" t="n">
        <x:f>Model_Data!A178</x:f>
        <x:v>28</x:v>
      </x:c>
      <x:c r="B178" s="40" t="n">
        <x:f>Model_Data!F178</x:f>
        <x:v>985.1613715773758</x:v>
      </x:c>
      <x:c r="C178" s="40" t="n">
        <x:f>Model_Data!AC178</x:f>
        <x:v>883.7343568108935</x:v>
      </x:c>
      <x:c r="D178" s="41"/>
      <x:c r="E178" s="40" t="n">
        <x:f>Model_Data!A178</x:f>
        <x:v>28</x:v>
      </x:c>
      <x:c r="F178" s="40" t="n">
        <x:f>Model_Data!Y178</x:f>
        <x:v>176.00411790487306</x:v>
      </x:c>
      <x:c r="G178" s="40" t="n">
        <x:f>Model_Data!X178</x:f>
        <x:v>-5.302869318491676</x:v>
      </x:c>
      <x:c r="H178" s="41"/>
      <x:c r="I178" s="40" t="n">
        <x:f>Model_Data!A178</x:f>
        <x:v>28</x:v>
      </x:c>
      <x:c r="J178" s="40" t="n">
        <x:f>Model_Data!AI178</x:f>
        <x:v>-101.42701476648233</x:v>
      </x:c>
      <x:c r="K178" s="40" t="n">
        <x:f>Model_Data!AK178</x:f>
        <x:v>181.30698722336473</x:v>
      </x:c>
      <x:c r="L178" s="41"/>
      <x:c r="M178" s="40" t="n">
        <x:f>Model_Data!A178</x:f>
        <x:v>28</x:v>
      </x:c>
      <x:c r="N178" s="40" t="n">
        <x:f>Model_Data!P178</x:f>
        <x:v>-210.39182772307828</x:v>
      </x:c>
      <x:c r="O178" s="40" t="n">
        <x:f>Model_Data!AM178</x:f>
        <x:v>-260.26879845449</x:v>
      </x:c>
      <x:c r="P178" s="40" t="n">
        <x:f>Model_Data!Q178</x:f>
        <x:v>-31.59036452298473</x:v>
      </x:c>
      <x:c r="Q178" s="40" t="n">
        <x:f>Model_Data!AN178</x:f>
        <x:v>-39.079399167340846</x:v>
      </x:c>
      <x:c r="R178" s="41"/>
      <x:c r="S178" s="40" t="n">
        <x:f>Model_Data!A178</x:f>
        <x:v>28</x:v>
      </x:c>
      <x:c r="T178" s="40" t="n">
        <x:f>Model_Data!B178-Inputs!$C$5</x:f>
        <x:v>0.8711111111111336</x:v>
      </x:c>
    </x:row>
    <x:row r="179">
      <x:c r="A179" s="40" t="n">
        <x:f>Model_Data!A179</x:f>
        <x:v>28.5</x:v>
      </x:c>
      <x:c r="B179" s="40" t="n">
        <x:f>Model_Data!F179</x:f>
        <x:v>1004.7913422626065</x:v>
      </x:c>
      <x:c r="C179" s="40" t="n">
        <x:f>Model_Data!AC179</x:f>
        <x:v>909.9057873007059</x:v>
      </x:c>
      <x:c r="D179" s="41"/>
      <x:c r="E179" s="40" t="n">
        <x:f>Model_Data!A179</x:f>
        <x:v>28.5</x:v>
      </x:c>
      <x:c r="F179" s="40" t="n">
        <x:f>Model_Data!Y179</x:f>
        <x:v>160.71399144449614</x:v>
      </x:c>
      <x:c r="G179" s="40" t="n">
        <x:f>Model_Data!X179</x:f>
        <x:v>-8.89638251486266</x:v>
      </x:c>
      <x:c r="H179" s="41"/>
      <x:c r="I179" s="40" t="n">
        <x:f>Model_Data!A179</x:f>
        <x:v>28.5</x:v>
      </x:c>
      <x:c r="J179" s="40" t="n">
        <x:f>Model_Data!AI179</x:f>
        <x:v>-94.88555496190054</x:v>
      </x:c>
      <x:c r="K179" s="40" t="n">
        <x:f>Model_Data!AK179</x:f>
        <x:v>169.6103739593588</x:v>
      </x:c>
      <x:c r="L179" s="41"/>
      <x:c r="M179" s="40" t="n">
        <x:f>Model_Data!A179</x:f>
        <x:v>28.5</x:v>
      </x:c>
      <x:c r="N179" s="40" t="n">
        <x:f>Model_Data!P179</x:f>
        <x:v>-214.12144931249978</x:v>
      </x:c>
      <x:c r="O179" s="40" t="n">
        <x:f>Model_Data!AM179</x:f>
        <x:v>-261.17114299559034</x:v>
      </x:c>
      <x:c r="P179" s="40" t="n">
        <x:f>Model_Data!Q179</x:f>
        <x:v>-32.15036776463961</x:v>
      </x:c>
      <x:c r="Q179" s="40" t="n">
        <x:f>Model_Data!AN179</x:f>
        <x:v>-39.21488633567423</x:v>
      </x:c>
      <x:c r="R179" s="41"/>
      <x:c r="S179" s="40" t="n">
        <x:f>Model_Data!A179</x:f>
        <x:v>28.5</x:v>
      </x:c>
      <x:c r="T179" s="40" t="n">
        <x:f>Model_Data!B179-Inputs!$C$5</x:f>
        <x:v>0.902499999999975</x:v>
      </x:c>
    </x:row>
    <x:row r="180">
      <x:c r="A180" s="40" t="n">
        <x:f>Model_Data!A180</x:f>
        <x:v>29</x:v>
      </x:c>
      <x:c r="B180" s="40" t="n">
        <x:f>Model_Data!F180</x:f>
        <x:v>1024.763856153882</x:v>
      </x:c>
      <x:c r="C180" s="40" t="n">
        <x:f>Model_Data!AC180</x:f>
        <x:v>936.3127531494254</x:v>
      </x:c>
      <x:c r="D180" s="41"/>
      <x:c r="E180" s="40" t="n">
        <x:f>Model_Data!A180</x:f>
        <x:v>29</x:v>
      </x:c>
      <x:c r="F180" s="40" t="n">
        <x:f>Model_Data!Y180</x:f>
        <x:v>146.4947189386606</x:v>
      </x:c>
      <x:c r="G180" s="40" t="n">
        <x:f>Model_Data!X180</x:f>
        <x:v>-11.611954874793183</x:v>
      </x:c>
      <x:c r="H180" s="41"/>
      <x:c r="I180" s="40" t="n">
        <x:f>Model_Data!A180</x:f>
        <x:v>29</x:v>
      </x:c>
      <x:c r="J180" s="40" t="n">
        <x:f>Model_Data!AI180</x:f>
        <x:v>-88.45110300445663</x:v>
      </x:c>
      <x:c r="K180" s="40" t="n">
        <x:f>Model_Data!AK180</x:f>
        <x:v>158.1066738134538</x:v>
      </x:c>
      <x:c r="L180" s="41"/>
      <x:c r="M180" s="40" t="n">
        <x:f>Model_Data!A180</x:f>
        <x:v>29</x:v>
      </x:c>
      <x:c r="N180" s="40" t="n">
        <x:f>Model_Data!P180</x:f>
        <x:v>-217.849631472401</x:v>
      </x:c>
      <x:c r="O180" s="40" t="n">
        <x:f>Model_Data!AM180</x:f>
        <x:v>-260.9443731093961</x:v>
      </x:c>
      <x:c r="P180" s="40" t="n">
        <x:f>Model_Data!Q180</x:f>
        <x:v>-32.71015487573589</x:v>
      </x:c>
      <x:c r="Q180" s="40" t="n">
        <x:f>Model_Data!AN180</x:f>
        <x:v>-39.180836803212635</x:v>
      </x:c>
      <x:c r="R180" s="41"/>
      <x:c r="S180" s="40" t="n">
        <x:f>Model_Data!A180</x:f>
        <x:v>29</x:v>
      </x:c>
      <x:c r="T180" s="40" t="n">
        <x:f>Model_Data!B180-Inputs!$C$5</x:f>
        <x:v>0.9344444444444662</x:v>
      </x:c>
    </x:row>
    <x:row r="181">
      <x:c r="A181" s="40" t="n">
        <x:f>Model_Data!A181</x:f>
        <x:v>29.5</x:v>
      </x:c>
      <x:c r="B181" s="40" t="n">
        <x:f>Model_Data!F181</x:f>
        <x:v>1045.0786584324383</x:v>
      </x:c>
      <x:c r="C181" s="40" t="n">
        <x:f>Model_Data!AC181</x:f>
        <x:v>962.7961273274765</x:v>
      </x:c>
      <x:c r="D181" s="41"/>
      <x:c r="E181" s="40" t="n">
        <x:f>Model_Data!A181</x:f>
        <x:v>29.5</x:v>
      </x:c>
      <x:c r="F181" s="40" t="n">
        <x:f>Model_Data!Y181</x:f>
        <x:v>133.68308702880248</x:v>
      </x:c>
      <x:c r="G181" s="40" t="n">
        <x:f>Model_Data!X181</x:f>
        <x:v>-13.39736601613842</x:v>
      </x:c>
      <x:c r="H181" s="41"/>
      <x:c r="I181" s="40" t="n">
        <x:f>Model_Data!A181</x:f>
        <x:v>29.5</x:v>
      </x:c>
      <x:c r="J181" s="40" t="n">
        <x:f>Model_Data!AI181</x:f>
        <x:v>-82.28253110496178</x:v>
      </x:c>
      <x:c r="K181" s="40" t="n">
        <x:f>Model_Data!AK181</x:f>
        <x:v>147.0804530449409</x:v>
      </x:c>
      <x:c r="L181" s="41"/>
      <x:c r="M181" s="40" t="n">
        <x:f>Model_Data!A181</x:f>
        <x:v>29.5</x:v>
      </x:c>
      <x:c r="N181" s="40" t="n">
        <x:f>Model_Data!P181</x:f>
        <x:v>-221.57635017703063</x:v>
      </x:c>
      <x:c r="O181" s="40" t="n">
        <x:f>Model_Data!AM181</x:f>
        <x:v>-259.7180569741795</x:v>
      </x:c>
      <x:c r="P181" s="40" t="n">
        <x:f>Model_Data!Q181</x:f>
        <x:v>-33.269722248803404</x:v>
      </x:c>
      <x:c r="Q181" s="40" t="n">
        <x:f>Model_Data!AN181</x:f>
        <x:v>-38.9967052513783</x:v>
      </x:c>
      <x:c r="R181" s="41"/>
      <x:c r="S181" s="40" t="n">
        <x:f>Model_Data!A181</x:f>
        <x:v>29.5</x:v>
      </x:c>
      <x:c r="T181" s="40" t="n">
        <x:f>Model_Data!B181-Inputs!$C$5</x:f>
        <x:v>0.9669444444444366</x:v>
      </x:c>
    </x:row>
    <x:row r="182">
      <x:c r="A182" s="40" t="n">
        <x:f>Model_Data!A182</x:f>
        <x:v>30</x:v>
      </x:c>
      <x:c r="B182" s="40" t="n">
        <x:f>Model_Data!F182</x:f>
        <x:v>1065.7354900670628</x:v>
      </x:c>
      <x:c r="C182" s="40" t="n">
        <x:f>Model_Data!AC182</x:f>
        <x:v>989.2051542233671</x:v>
      </x:c>
      <x:c r="D182" s="41"/>
      <x:c r="E182" s="40" t="n">
        <x:f>Model_Data!A182</x:f>
        <x:v>30</x:v>
      </x:c>
      <x:c r="F182" s="40" t="n">
        <x:f>Model_Data!Y182</x:f>
        <x:v>122.56957126874944</x:v>
      </x:c>
      <x:c r="G182" s="40" t="n">
        <x:f>Model_Data!X182</x:f>
        <x:v>-14.231711016514744</x:v>
      </x:c>
      <x:c r="H182" s="41"/>
      <x:c r="I182" s="40" t="n">
        <x:f>Model_Data!A182</x:f>
        <x:v>30</x:v>
      </x:c>
      <x:c r="J182" s="40" t="n">
        <x:f>Model_Data!AI182</x:f>
        <x:v>-76.53033584369564</x:v>
      </x:c>
      <x:c r="K182" s="40" t="n">
        <x:f>Model_Data!AK182</x:f>
        <x:v>136.8012822852642</x:v>
      </x:c>
      <x:c r="L182" s="41"/>
      <x:c r="M182" s="40" t="n">
        <x:f>Model_Data!A182</x:f>
        <x:v>30</x:v>
      </x:c>
      <x:c r="N182" s="40" t="n">
        <x:f>Model_Data!P182</x:f>
        <x:v>-225.30158146324067</x:v>
      </x:c>
      <x:c r="O182" s="40" t="n">
        <x:f>Model_Data!AM182</x:f>
        <x:v>-257.6558560986996</x:v>
      </x:c>
      <x:c r="P182" s="40" t="n">
        <x:f>Model_Data!Q182</x:f>
        <x:v>-33.82906628577187</x:v>
      </x:c>
      <x:c r="Q182" s="40" t="n">
        <x:f>Model_Data!AN182</x:f>
        <x:v>-38.68706548028523</x:v>
      </x:c>
      <x:c r="R182" s="41"/>
      <x:c r="S182" s="40" t="n">
        <x:f>Model_Data!A182</x:f>
        <x:v>30</x:v>
      </x:c>
      <x:c r="T182" s="40" t="n">
        <x:f>Model_Data!B182-Inputs!$C$5</x:f>
        <x:v>1</x:v>
      </x:c>
    </x:row>
    <x:row r="183">
      <x:c r="A183" s="40" t="n">
        <x:f>Model_Data!A183</x:f>
        <x:v>30.5</x:v>
      </x:c>
      <x:c r="B183" s="40" t="n">
        <x:f>Model_Data!F183</x:f>
        <x:v>1086.7340878249845</x:v>
      </x:c>
      <x:c r="C183" s="40" t="n">
        <x:f>Model_Data!AC183</x:f>
        <x:v>1015.4034745399582</x:v>
      </x:c>
      <x:c r="D183" s="41"/>
      <x:c r="E183" s="40" t="n">
        <x:f>Model_Data!A183</x:f>
        <x:v>30.5</x:v>
      </x:c>
      <x:c r="F183" s="40" t="n">
        <x:f>Model_Data!Y183</x:f>
        <x:v>113.3884169833957</x:v>
      </x:c>
      <x:c r="G183" s="40" t="n">
        <x:f>Model_Data!X183</x:f>
        <x:v>-14.124531372914369</x:v>
      </x:c>
      <x:c r="H183" s="41"/>
      <x:c r="I183" s="40" t="n">
        <x:f>Model_Data!A183</x:f>
        <x:v>30.5</x:v>
      </x:c>
      <x:c r="J183" s="40" t="n">
        <x:f>Model_Data!AI183</x:f>
        <x:v>-71.33061328502629</x:v>
      </x:c>
      <x:c r="K183" s="40" t="n">
        <x:f>Model_Data!AK183</x:f>
        <x:v>127.51294835631006</x:v>
      </x:c>
      <x:c r="L183" s="41"/>
      <x:c r="M183" s="40" t="n">
        <x:f>Model_Data!A183</x:f>
        <x:v>30.5</x:v>
      </x:c>
      <x:c r="N183" s="40" t="n">
        <x:f>Model_Data!P183</x:f>
        <x:v>-229.02530143144403</x:v>
      </x:c>
      <x:c r="O183" s="40" t="n">
        <x:f>Model_Data!AM183</x:f>
        <x:v>-254.94985192144668</x:v>
      </x:c>
      <x:c r="P183" s="40" t="n">
        <x:f>Model_Data!Q183</x:f>
        <x:v>-34.38818339811473</x:v>
      </x:c>
      <x:c r="Q183" s="40" t="n">
        <x:f>Model_Data!AN183</x:f>
        <x:v>-38.28075854676377</x:v>
      </x:c>
      <x:c r="R183" s="41"/>
      <x:c r="S183" s="40" t="n">
        <x:f>Model_Data!A183</x:f>
        <x:v>30.5</x:v>
      </x:c>
      <x:c r="T183" s="40" t="n">
        <x:f>Model_Data!B183-Inputs!$C$5</x:f>
        <x:v>1.0336111111110995</x:v>
      </x:c>
    </x:row>
    <x:row r="184">
      <x:c r="A184" s="40" t="n">
        <x:f>Model_Data!A184</x:f>
        <x:v>31</x:v>
      </x:c>
      <x:c r="B184" s="40" t="n">
        <x:f>Model_Data!F184</x:f>
        <x:v>1108.0741842832733</x:v>
      </x:c>
      <x:c r="C184" s="40" t="n">
        <x:f>Model_Data!AC184</x:f>
        <x:v>1041.2746141008965</x:v>
      </x:c>
      <x:c r="D184" s="41"/>
      <x:c r="E184" s="40" t="n">
        <x:f>Model_Data!A184</x:f>
        <x:v>31</x:v>
      </x:c>
      <x:c r="F184" s="40" t="n">
        <x:f>Model_Data!Y184</x:f>
        <x:v>106.30967119743309</x:v>
      </x:c>
      <x:c r="G184" s="40" t="n">
        <x:f>Model_Data!X184</x:f>
        <x:v>-13.113952107658134</x:v>
      </x:c>
      <x:c r="H184" s="41"/>
      <x:c r="I184" s="40" t="n">
        <x:f>Model_Data!A184</x:f>
        <x:v>31</x:v>
      </x:c>
      <x:c r="J184" s="40" t="n">
        <x:f>Model_Data!AI184</x:f>
        <x:v>-66.79957018237678</x:v>
      </x:c>
      <x:c r="K184" s="40" t="n">
        <x:f>Model_Data!AK184</x:f>
        <x:v>119.42362330509123</x:v>
      </x:c>
      <x:c r="L184" s="41"/>
      <x:c r="M184" s="40" t="n">
        <x:f>Model_Data!A184</x:f>
        <x:v>31</x:v>
      </x:c>
      <x:c r="N184" s="40" t="n">
        <x:f>Model_Data!P184</x:f>
        <x:v>-232.74748624656678</x:v>
      </x:c>
      <x:c r="O184" s="40" t="n">
        <x:f>Model_Data!AM184</x:f>
        <x:v>-251.8138634058232</x:v>
      </x:c>
      <x:c r="P184" s="40" t="n">
        <x:f>Model_Data!Q184</x:f>
        <x:v>-34.94707000699201</x:v>
      </x:c>
      <x:c r="Q184" s="40" t="n">
        <x:f>Model_Data!AN184</x:f>
        <x:v>-37.80988940027376</x:v>
      </x:c>
      <x:c r="R184" s="41"/>
      <x:c r="S184" s="40" t="n">
        <x:f>Model_Data!A184</x:f>
        <x:v>31</x:v>
      </x:c>
      <x:c r="T184" s="40" t="n">
        <x:f>Model_Data!B184-Inputs!$C$5</x:f>
        <x:v>1.067777777777792</x:v>
      </x:c>
    </x:row>
    <x:row r="185">
      <x:c r="A185" s="40" t="n">
        <x:f>Model_Data!A185</x:f>
        <x:v>31.5</x:v>
      </x:c>
      <x:c r="B185" s="40" t="n">
        <x:f>Model_Data!F185</x:f>
        <x:v>1129.7555078402418</x:v>
      </x:c>
      <x:c r="C185" s="40" t="n">
        <x:f>Model_Data!AC185</x:f>
        <x:v>1066.726708653077</x:v>
      </x:c>
      <x:c r="D185" s="41"/>
      <x:c r="E185" s="40" t="n">
        <x:f>Model_Data!A185</x:f>
        <x:v>31.5</x:v>
      </x:c>
      <x:c r="F185" s="40" t="n">
        <x:f>Model_Data!Y185</x:f>
        <x:v>101.43344833297084</x:v>
      </x:c>
      <x:c r="G185" s="40" t="n">
        <x:f>Model_Data!X185</x:f>
        <x:v>-11.263950391329796</x:v>
      </x:c>
      <x:c r="H185" s="41"/>
      <x:c r="I185" s="40" t="n">
        <x:f>Model_Data!A185</x:f>
        <x:v>31.5</x:v>
      </x:c>
      <x:c r="J185" s="40" t="n">
        <x:f>Model_Data!AI185</x:f>
        <x:v>-63.02879918716485</x:v>
      </x:c>
      <x:c r="K185" s="40" t="n">
        <x:f>Model_Data!AK185</x:f>
        <x:v>112.69739872430064</x:v>
      </x:c>
      <x:c r="L185" s="41"/>
      <x:c r="M185" s="40" t="n">
        <x:f>Model_Data!A185</x:f>
        <x:v>31.5</x:v>
      </x:c>
      <x:c r="N185" s="40" t="n">
        <x:f>Model_Data!P185</x:f>
        <x:v>-236.46811213899355</x:v>
      </x:c>
      <x:c r="O185" s="40" t="n">
        <x:f>Model_Data!AM185</x:f>
        <x:v>-248.475996068737</x:v>
      </x:c>
      <x:c r="P185" s="40" t="n">
        <x:f>Model_Data!Q185</x:f>
        <x:v>-35.50572254339243</x:v>
      </x:c>
      <x:c r="Q185" s="40" t="n">
        <x:f>Model_Data!AN185</x:f>
        <x:v>-37.30870811842898</x:v>
      </x:c>
      <x:c r="R185" s="41"/>
      <x:c r="S185" s="40" t="n">
        <x:f>Model_Data!A185</x:f>
        <x:v>31.5</x:v>
      </x:c>
      <x:c r="T185" s="40" t="n">
        <x:f>Model_Data!B185-Inputs!$C$5</x:f>
        <x:v>1.1025000000000205</x:v>
      </x:c>
    </x:row>
    <x:row r="186">
      <x:c r="A186" s="40" t="n">
        <x:f>Model_Data!A186</x:f>
        <x:v>32</x:v>
      </x:c>
      <x:c r="B186" s="40" t="n">
        <x:f>Model_Data!F186</x:f>
        <x:v>1151.7777827269733</x:v>
      </x:c>
      <x:c r="C186" s="40" t="n">
        <x:f>Model_Data!AC186</x:f>
        <x:v>1091.6962670270157</x:v>
      </x:c>
      <x:c r="D186" s="41"/>
      <x:c r="E186" s="40" t="n">
        <x:f>Model_Data!A186</x:f>
        <x:v>32</x:v>
      </x:c>
      <x:c r="F186" s="40" t="n">
        <x:f>Model_Data!Y186</x:f>
        <x:v>98.7866319918729</x:v>
      </x:c>
      <x:c r="G186" s="40" t="n">
        <x:f>Model_Data!X186</x:f>
        <x:v>-8.660907442086296</x:v>
      </x:c>
      <x:c r="H186" s="41"/>
      <x:c r="I186" s="40" t="n">
        <x:f>Model_Data!A186</x:f>
        <x:v>32</x:v>
      </x:c>
      <x:c r="J186" s="40" t="n">
        <x:f>Model_Data!AI186</x:f>
        <x:v>-60.08151569995766</x:v>
      </x:c>
      <x:c r="K186" s="40" t="n">
        <x:f>Model_Data!AK186</x:f>
        <x:v>107.4475394339592</x:v>
      </x:c>
      <x:c r="L186" s="41"/>
      <x:c r="M186" s="40" t="n">
        <x:f>Model_Data!A186</x:f>
        <x:v>32</x:v>
      </x:c>
      <x:c r="N186" s="40" t="n">
        <x:f>Model_Data!P186</x:f>
        <x:v>-240.18715540550747</x:v>
      </x:c>
      <x:c r="O186" s="40" t="n">
        <x:f>Model_Data!AM186</x:f>
        <x:v>-245.17069097637432</x:v>
      </x:c>
      <x:c r="P186" s="40" t="n">
        <x:f>Model_Data!Q186</x:f>
        <x:v>-36.0641374482744</x:v>
      </x:c>
      <x:c r="Q186" s="40" t="n">
        <x:f>Model_Data!AN186</x:f>
        <x:v>-36.81241606251867</x:v>
      </x:c>
      <x:c r="R186" s="41"/>
      <x:c r="S186" s="40" t="n">
        <x:f>Model_Data!A186</x:f>
        <x:v>32</x:v>
      </x:c>
      <x:c r="T186" s="40" t="n">
        <x:f>Model_Data!B186-Inputs!$C$5</x:f>
        <x:v>1.137777777777785</x:v>
      </x:c>
    </x:row>
    <x:row r="187">
      <x:c r="A187" s="40" t="n">
        <x:f>Model_Data!A187</x:f>
        <x:v>32.5</x:v>
      </x:c>
      <x:c r="B187" s="40" t="n">
        <x:f>Model_Data!F187</x:f>
        <x:v>1174.1407290190098</x:v>
      </x:c>
      <x:c r="C187" s="40" t="n">
        <x:f>Model_Data!AC187</x:f>
        <x:v>1116.1508136574207</x:v>
      </x:c>
      <x:c r="D187" s="41"/>
      <x:c r="E187" s="40" t="n">
        <x:f>Model_Data!A187</x:f>
        <x:v>32.5</x:v>
      </x:c>
      <x:c r="F187" s="40" t="n">
        <x:f>Model_Data!Y187</x:f>
        <x:v>98.32212737908807</x:v>
      </x:c>
      <x:c r="G187" s="40" t="n">
        <x:f>Model_Data!X187</x:f>
        <x:v>-5.409614232725581</x:v>
      </x:c>
      <x:c r="H187" s="41"/>
      <x:c r="I187" s="40" t="n">
        <x:f>Model_Data!A187</x:f>
        <x:v>32.5</x:v>
      </x:c>
      <x:c r="J187" s="40" t="n">
        <x:f>Model_Data!AI187</x:f>
        <x:v>-57.989915361589055</x:v>
      </x:c>
      <x:c r="K187" s="40" t="n">
        <x:f>Model_Data!AK187</x:f>
        <x:v>103.73174161181366</x:v>
      </x:c>
      <x:c r="L187" s="41"/>
      <x:c r="M187" s="40" t="n">
        <x:f>Model_Data!A187</x:f>
        <x:v>32.5</x:v>
      </x:c>
      <x:c r="N187" s="40" t="n">
        <x:f>Model_Data!P187</x:f>
        <x:v>-243.9045924102238</x:v>
      </x:c>
      <x:c r="O187" s="40" t="n">
        <x:f>Model_Data!AM187</x:f>
        <x:v>-242.13056032731402</x:v>
      </x:c>
      <x:c r="P187" s="40" t="n">
        <x:f>Model_Data!Q187</x:f>
        <x:v>-36.62231117270628</x:v>
      </x:c>
      <x:c r="Q187" s="40" t="n">
        <x:f>Model_Data!AN187</x:f>
        <x:v>-36.35593998908619</x:v>
      </x:c>
      <x:c r="R187" s="41"/>
      <x:c r="S187" s="40" t="n">
        <x:f>Model_Data!A187</x:f>
        <x:v>32.5</x:v>
      </x:c>
      <x:c r="T187" s="40" t="n">
        <x:f>Model_Data!B187-Inputs!$C$5</x:f>
        <x:v>1.1736111111110858</x:v>
      </x:c>
    </x:row>
    <x:row r="188">
      <x:c r="A188" s="40" t="n">
        <x:f>Model_Data!A188</x:f>
        <x:v>33</x:v>
      </x:c>
      <x:c r="B188" s="40" t="n">
        <x:f>Model_Data!F188</x:f>
        <x:v>1196.8440626483268</x:v>
      </x:c>
      <x:c r="C188" s="40" t="n">
        <x:f>Model_Data!AC188</x:f>
        <x:v>1140.0902968985652</x:v>
      </x:c>
      <x:c r="D188" s="41"/>
      <x:c r="E188" s="40" t="n">
        <x:f>Model_Data!A188</x:f>
        <x:v>33</x:v>
      </x:c>
      <x:c r="F188" s="40" t="n">
        <x:f>Model_Data!Y188</x:f>
        <x:v>99.92068705453045</x:v>
      </x:c>
      <x:c r="G188" s="40" t="n">
        <x:f>Model_Data!X188</x:f>
        <x:v>-1.6289122531170737</x:v>
      </x:c>
      <x:c r="H188" s="41"/>
      <x:c r="I188" s="40" t="n">
        <x:f>Model_Data!A188</x:f>
        <x:v>33</x:v>
      </x:c>
      <x:c r="J188" s="40" t="n">
        <x:f>Model_Data!AI188</x:f>
        <x:v>-56.75376574976167</x:v>
      </x:c>
      <x:c r="K188" s="40" t="n">
        <x:f>Model_Data!AK188</x:f>
        <x:v>101.54959930764753</x:v>
      </x:c>
      <x:c r="L188" s="41"/>
      <x:c r="M188" s="40" t="n">
        <x:f>Model_Data!A188</x:f>
        <x:v>33</x:v>
      </x:c>
      <x:c r="N188" s="40" t="n">
        <x:f>Model_Data!P188</x:f>
        <x:v>-247.62039958551682</x:v>
      </x:c>
      <x:c r="O188" s="40" t="n">
        <x:f>Model_Data!AM188</x:f>
        <x:v>-239.5783036558896</x:v>
      </x:c>
      <x:c r="P188" s="40" t="n">
        <x:f>Model_Data!Q188</x:f>
        <x:v>-37.18024017800553</x:v>
      </x:c>
      <x:c r="Q188" s="40" t="n">
        <x:f>Model_Data!AN188</x:f>
        <x:v>-35.9727182666501</x:v>
      </x:c>
      <x:c r="R188" s="41"/>
      <x:c r="S188" s="40" t="n">
        <x:f>Model_Data!A188</x:f>
        <x:v>33</x:v>
      </x:c>
      <x:c r="T188" s="40" t="n">
        <x:f>Model_Data!B188-Inputs!$C$5</x:f>
        <x:v>1.2099999999999795</x:v>
      </x:c>
    </x:row>
    <x:row r="189">
      <x:c r="A189" s="40" t="n">
        <x:f>Model_Data!A189</x:f>
        <x:v>33.5</x:v>
      </x:c>
      <x:c r="B189" s="40" t="n">
        <x:f>Model_Data!F189</x:f>
        <x:v>1219.8874954154699</x:v>
      </x:c>
      <x:c r="C189" s="40" t="n">
        <x:f>Model_Data!AC189</x:f>
        <x:v>1163.5471999028368</x:v>
      </x:c>
      <x:c r="D189" s="41"/>
      <x:c r="E189" s="40" t="n">
        <x:f>Model_Data!A189</x:f>
        <x:v>33.5</x:v>
      </x:c>
      <x:c r="F189" s="40" t="n">
        <x:f>Model_Data!Y189</x:f>
        <x:v>103.39524014286131</x:v>
      </x:c>
      <x:c r="G189" s="40" t="n">
        <x:f>Model_Data!X189</x:f>
        <x:v>2.5528468325602667</x:v>
      </x:c>
      <x:c r="H189" s="41"/>
      <x:c r="I189" s="40" t="n">
        <x:f>Model_Data!A189</x:f>
        <x:v>33.5</x:v>
      </x:c>
      <x:c r="J189" s="40" t="n">
        <x:f>Model_Data!AI189</x:f>
        <x:v>-56.34029551263302</x:v>
      </x:c>
      <x:c r="K189" s="40" t="n">
        <x:f>Model_Data!AK189</x:f>
        <x:v>100.84239331030105</x:v>
      </x:c>
      <x:c r="L189" s="41"/>
      <x:c r="M189" s="40" t="n">
        <x:f>Model_Data!A189</x:f>
        <x:v>33.5</x:v>
      </x:c>
      <x:c r="N189" s="40" t="n">
        <x:f>Model_Data!P189</x:f>
        <x:v>-251.33455343294068</x:v>
      </x:c>
      <x:c r="O189" s="40" t="n">
        <x:f>Model_Data!AM189</x:f>
        <x:v>-237.71899515404584</x:v>
      </x:c>
      <x:c r="P189" s="40" t="n">
        <x:f>Model_Data!Q189</x:f>
        <x:v>-37.73792093587698</x:v>
      </x:c>
      <x:c r="Q189" s="40" t="n">
        <x:f>Model_Data!AN189</x:f>
        <x:v>-35.693542815922804</x:v>
      </x:c>
      <x:c r="R189" s="41"/>
      <x:c r="S189" s="40" t="n">
        <x:f>Model_Data!A189</x:f>
        <x:v>33.5</x:v>
      </x:c>
      <x:c r="T189" s="40" t="n">
        <x:f>Model_Data!B189-Inputs!$C$5</x:f>
        <x:v>1.2469444444444662</x:v>
      </x:c>
    </x:row>
    <x:row r="190">
      <x:c r="A190" s="40" t="n">
        <x:f>Model_Data!A190</x:f>
        <x:v>34</x:v>
      </x:c>
      <x:c r="B190" s="40" t="n">
        <x:f>Model_Data!F190</x:f>
        <x:v>1243.2707350015928</x:v>
      </x:c>
      <x:c r="C190" s="40" t="n">
        <x:f>Model_Data!AC190</x:f>
        <x:v>1186.5853439852099</x:v>
      </x:c>
      <x:c r="D190" s="41"/>
      <x:c r="E190" s="40" t="n">
        <x:f>Model_Data!A190</x:f>
        <x:v>34</x:v>
      </x:c>
      <x:c r="F190" s="40" t="n">
        <x:f>Model_Data!Y190</x:f>
        <x:v>108.4975653234918</x:v>
      </x:c>
      <x:c r="G190" s="40" t="n">
        <x:f>Model_Data!X190</x:f>
        <x:v>7.00234403425444</x:v>
      </x:c>
      <x:c r="H190" s="41"/>
      <x:c r="I190" s="40" t="n">
        <x:f>Model_Data!A190</x:f>
        <x:v>34</x:v>
      </x:c>
      <x:c r="J190" s="40" t="n">
        <x:f>Model_Data!AI190</x:f>
        <x:v>-56.68539101638294</x:v>
      </x:c>
      <x:c r="K190" s="40" t="n">
        <x:f>Model_Data!AK190</x:f>
        <x:v>101.49522128923736</x:v>
      </x:c>
      <x:c r="L190" s="41"/>
      <x:c r="M190" s="40" t="n">
        <x:f>Model_Data!A190</x:f>
        <x:v>34</x:v>
      </x:c>
      <x:c r="N190" s="40" t="n">
        <x:f>Model_Data!P190</x:f>
        <x:v>-255.04703052414416</x:v>
      </x:c>
      <x:c r="O190" s="40" t="n">
        <x:f>Model_Data!AM190</x:f>
        <x:v>-236.73301828002877</x:v>
      </x:c>
      <x:c r="P190" s="40" t="n">
        <x:f>Model_Data!Q190</x:f>
        <x:v>-38.29534992855017</x:v>
      </x:c>
      <x:c r="Q190" s="40" t="n">
        <x:f>Model_Data!AN190</x:f>
        <x:v>-35.54549824024456</x:v>
      </x:c>
      <x:c r="R190" s="41"/>
      <x:c r="S190" s="40" t="n">
        <x:f>Model_Data!A190</x:f>
        <x:v>34</x:v>
      </x:c>
      <x:c r="T190" s="40" t="n">
        <x:f>Model_Data!B190-Inputs!$C$5</x:f>
        <x:v>1.284444444444432</x:v>
      </x:c>
    </x:row>
    <x:row r="191">
      <x:c r="A191" s="40" t="n">
        <x:f>Model_Data!A191</x:f>
        <x:v>34.5</x:v>
      </x:c>
      <x:c r="B191" s="40" t="n">
        <x:f>Model_Data!F191</x:f>
        <x:v>1266.9934849810077</x:v>
      </x:c>
      <x:c r="C191" s="40" t="n">
        <x:f>Model_Data!AC191</x:f>
        <x:v>1209.297428144715</x:v>
      </x:c>
      <x:c r="D191" s="41"/>
      <x:c r="E191" s="40" t="n">
        <x:f>Model_Data!A191</x:f>
        <x:v>34.5</x:v>
      </x:c>
      <x:c r="F191" s="40" t="n">
        <x:f>Model_Data!Y191</x:f>
        <x:v>114.9270641968389</x:v>
      </x:c>
      <x:c r="G191" s="40" t="n">
        <x:f>Model_Data!X191</x:f>
        <x:v>11.585672233589069</x:v>
      </x:c>
      <x:c r="H191" s="41"/>
      <x:c r="I191" s="40" t="n">
        <x:f>Model_Data!A191</x:f>
        <x:v>34.5</x:v>
      </x:c>
      <x:c r="J191" s="40" t="n">
        <x:f>Model_Data!AI191</x:f>
        <x:v>-57.696056836292655</x:v>
      </x:c>
      <x:c r="K191" s="40" t="n">
        <x:f>Model_Data!AK191</x:f>
        <x:v>103.34139196324983</x:v>
      </x:c>
      <x:c r="L191" s="41"/>
      <x:c r="M191" s="40" t="n">
        <x:f>Model_Data!A191</x:f>
        <x:v>34.5</x:v>
      </x:c>
      <x:c r="N191" s="40" t="n">
        <x:f>Model_Data!P191</x:f>
        <x:v>-258.75780750177796</x:v>
      </x:c>
      <x:c r="O191" s="40" t="n">
        <x:f>Model_Data!AM191</x:f>
        <x:v>-236.76989926689203</x:v>
      </x:c>
      <x:c r="P191" s="40" t="n">
        <x:f>Model_Data!Q191</x:f>
        <x:v>-38.852523648915614</x:v>
      </x:c>
      <x:c r="Q191" s="40" t="n">
        <x:f>Model_Data!AN191</x:f>
        <x:v>-35.551035925959766</x:v>
      </x:c>
      <x:c r="R191" s="41"/>
      <x:c r="S191" s="40" t="n">
        <x:f>Model_Data!A191</x:f>
        <x:v>34.5</x:v>
      </x:c>
      <x:c r="T191" s="40" t="n">
        <x:f>Model_Data!B191-Inputs!$C$5</x:f>
        <x:v>1.322499999999991</x:v>
      </x:c>
    </x:row>
    <x:row r="192">
      <x:c r="A192" s="40" t="n">
        <x:f>Model_Data!A192</x:f>
        <x:v>35</x:v>
      </x:c>
      <x:c r="B192" s="40" t="n">
        <x:f>Model_Data!F192</x:f>
        <x:v>1291.0554448335768</x:v>
      </x:c>
      <x:c r="C192" s="40" t="n">
        <x:f>Model_Data!AC192</x:f>
        <x:v>1231.801400522055</x:v>
      </x:c>
      <x:c r="D192" s="41"/>
      <x:c r="E192" s="40" t="n">
        <x:f>Model_Data!A192</x:f>
        <x:v>35</x:v>
      </x:c>
      <x:c r="F192" s="40" t="n">
        <x:f>Model_Data!Y192</x:f>
        <x:v>122.34131706845977</x:v>
      </x:c>
      <x:c r="G192" s="40" t="n">
        <x:f>Model_Data!X192</x:f>
        <x:v>16.172404294727308</x:v>
      </x:c>
      <x:c r="H192" s="41"/>
      <x:c r="I192" s="40" t="n">
        <x:f>Model_Data!A192</x:f>
        <x:v>35</x:v>
      </x:c>
      <x:c r="J192" s="40" t="n">
        <x:f>Model_Data!AI192</x:f>
        <x:v>-59.25404431152174</x:v>
      </x:c>
      <x:c r="K192" s="40" t="n">
        <x:f>Model_Data!AK192</x:f>
        <x:v>106.16891277373247</x:v>
      </x:c>
      <x:c r="L192" s="41"/>
      <x:c r="M192" s="40" t="n">
        <x:f>Model_Data!A192</x:f>
        <x:v>35</x:v>
      </x:c>
      <x:c r="N192" s="40" t="n">
        <x:f>Model_Data!P192</x:f>
        <x:v>-262.4668610803968</x:v>
      </x:c>
      <x:c r="O192" s="40" t="n">
        <x:f>Model_Data!AM192</x:f>
        <x:v>-237.94325733624646</x:v>
      </x:c>
      <x:c r="P192" s="40" t="n">
        <x:f>Model_Data!Q192</x:f>
        <x:v>-39.40943860066018</x:v>
      </x:c>
      <x:c r="Q192" s="40" t="n">
        <x:f>Model_Data!AN192</x:f>
        <x:v>-35.72721581625323</x:v>
      </x:c>
      <x:c r="R192" s="41"/>
      <x:c r="S192" s="40" t="n">
        <x:f>Model_Data!A192</x:f>
        <x:v>35</x:v>
      </x:c>
      <x:c r="T192" s="40" t="n">
        <x:f>Model_Data!B192-Inputs!$C$5</x:f>
        <x:v>1.3611111111110858</x:v>
      </x:c>
    </x:row>
    <x:row r="193">
      <x:c r="A193" s="40" t="n">
        <x:f>Model_Data!A193</x:f>
        <x:v>35.5</x:v>
      </x:c>
      <x:c r="B193" s="40" t="n">
        <x:f>Model_Data!F193</x:f>
        <x:v>1315.4563099576765</x:v>
      </x:c>
      <x:c r="C193" s="40" t="n">
        <x:f>Model_Data!AC193</x:f>
        <x:v>1254.2358058443929</x:v>
      </x:c>
      <x:c r="D193" s="41"/>
      <x:c r="E193" s="40" t="n">
        <x:f>Model_Data!A193</x:f>
        <x:v>35.5</x:v>
      </x:c>
      <x:c r="F193" s="40" t="n">
        <x:f>Model_Data!Y193</x:f>
        <x:v>130.3680405449295</x:v>
      </x:c>
      <x:c r="G193" s="40" t="n">
        <x:f>Model_Data!X193</x:f>
        <x:v>20.63922648162064</x:v>
      </x:c>
      <x:c r="H193" s="41"/>
      <x:c r="I193" s="40" t="n">
        <x:f>Model_Data!A193</x:f>
        <x:v>35.5</x:v>
      </x:c>
      <x:c r="J193" s="40" t="n">
        <x:f>Model_Data!AI193</x:f>
        <x:v>-61.220504113283596</x:v>
      </x:c>
      <x:c r="K193" s="40" t="n">
        <x:f>Model_Data!AK193</x:f>
        <x:v>109.72881406330886</x:v>
      </x:c>
      <x:c r="L193" s="41"/>
      <x:c r="M193" s="40" t="n">
        <x:f>Model_Data!A193</x:f>
        <x:v>35.5</x:v>
      </x:c>
      <x:c r="N193" s="40" t="n">
        <x:f>Model_Data!P193</x:f>
        <x:v>-266.1741680473529</x:v>
      </x:c>
      <x:c r="O193" s="40" t="n">
        <x:f>Model_Data!AM193</x:f>
        <x:v>-240.3270476518628</x:v>
      </x:c>
      <x:c r="P193" s="40" t="n">
        <x:f>Model_Data!Q193</x:f>
        <x:v>-39.96609129840134</x:v>
      </x:c>
      <x:c r="Q193" s="40" t="n">
        <x:f>Model_Data!AN193</x:f>
        <x:v>-36.08514229006949</x:v>
      </x:c>
      <x:c r="R193" s="41"/>
      <x:c r="S193" s="40" t="n">
        <x:f>Model_Data!A193</x:f>
        <x:v>35.5</x:v>
      </x:c>
      <x:c r="T193" s="40" t="n">
        <x:f>Model_Data!B193-Inputs!$C$5</x:f>
        <x:v>1.4002777777777737</x:v>
      </x:c>
    </x:row>
    <x:row r="194">
      <x:c r="A194" s="40" t="n">
        <x:f>Model_Data!A194</x:f>
        <x:v>36</x:v>
      </x:c>
      <x:c r="B194" s="40" t="n">
        <x:f>Model_Data!F194</x:f>
        <x:v>1340.195771682717</x:v>
      </x:c>
      <x:c r="C194" s="40" t="n">
        <x:f>Model_Data!AC194</x:f>
        <x:v>1276.7542953299794</x:v>
      </x:c>
      <x:c r="D194" s="41"/>
      <x:c r="E194" s="40" t="n">
        <x:f>Model_Data!A194</x:f>
        <x:v>36</x:v>
      </x:c>
      <x:c r="F194" s="40" t="n">
        <x:f>Model_Data!Y194</x:f>
        <x:v>138.61801786909967</x:v>
      </x:c>
      <x:c r="G194" s="40" t="n">
        <x:f>Model_Data!X194</x:f>
        <x:v>24.87304115933043</x:v>
      </x:c>
      <x:c r="H194" s="41"/>
      <x:c r="I194" s="40" t="n">
        <x:f>Model_Data!A194</x:f>
        <x:v>36</x:v>
      </x:c>
      <x:c r="J194" s="40" t="n">
        <x:f>Model_Data!AI194</x:f>
        <x:v>-63.44147635273748</x:v>
      </x:c>
      <x:c r="K194" s="40" t="n">
        <x:f>Model_Data!AK194</x:f>
        <x:v>113.74497670976925</x:v>
      </x:c>
      <x:c r="L194" s="41"/>
      <x:c r="M194" s="40" t="n">
        <x:f>Model_Data!A194</x:f>
        <x:v>36</x:v>
      </x:c>
      <x:c r="N194" s="40" t="n">
        <x:f>Model_Data!P194</x:f>
        <x:v>-269.8797052636854</x:v>
      </x:c>
      <x:c r="O194" s="40" t="n">
        <x:f>Model_Data!AM194</x:f>
        <x:v>-243.9532249442891</x:v>
      </x:c>
      <x:c r="P194" s="40" t="n">
        <x:f>Model_Data!Q194</x:f>
        <x:v>-40.52247826782064</x:v>
      </x:c>
      <x:c r="Q194" s="40" t="n">
        <x:f>Model_Data!AN194</x:f>
        <x:v>-36.62961335499837</x:v>
      </x:c>
      <x:c r="R194" s="41"/>
      <x:c r="S194" s="40" t="n">
        <x:f>Model_Data!A194</x:f>
        <x:v>36</x:v>
      </x:c>
      <x:c r="T194" s="40" t="n">
        <x:f>Model_Data!B194-Inputs!$C$5</x:f>
        <x:v>1.4399999999999977</x:v>
      </x:c>
    </x:row>
    <x:row r="195">
      <x:c r="A195" s="40" t="n">
        <x:f>Model_Data!A195</x:f>
        <x:v>36.5</x:v>
      </x:c>
      <x:c r="B195" s="40" t="n">
        <x:f>Model_Data!F195</x:f>
        <x:v>1365.2735172823614</x:v>
      </x:c>
      <x:c r="C195" s="40" t="n">
        <x:f>Model_Data!AC195</x:f>
        <x:v>1299.5195203047983</x:v>
      </x:c>
      <x:c r="D195" s="41"/>
      <x:c r="E195" s="40" t="n">
        <x:f>Model_Data!A195</x:f>
        <x:v>36.5</x:v>
      </x:c>
      <x:c r="F195" s="40" t="n">
        <x:f>Model_Data!Y195</x:f>
        <x:v>146.69854036724973</x:v>
      </x:c>
      <x:c r="G195" s="40" t="n">
        <x:f>Model_Data!X195</x:f>
        <x:v>28.773472630990696</x:v>
      </x:c>
      <x:c r="H195" s="41"/>
      <x:c r="I195" s="40" t="n">
        <x:f>Model_Data!A195</x:f>
        <x:v>36.5</x:v>
      </x:c>
      <x:c r="J195" s="40" t="n">
        <x:f>Model_Data!AI195</x:f>
        <x:v>-65.75399697756302</x:v>
      </x:c>
      <x:c r="K195" s="40" t="n">
        <x:f>Model_Data!AK195</x:f>
        <x:v>117.92506773625904</x:v>
      </x:c>
      <x:c r="L195" s="41"/>
      <x:c r="M195" s="40" t="n">
        <x:f>Model_Data!A195</x:f>
        <x:v>36.5</x:v>
      </x:c>
      <x:c r="N195" s="40" t="n">
        <x:f>Model_Data!P195</x:f>
        <x:v>-273.5834496650001</x:v>
      </x:c>
      <x:c r="O195" s="40" t="n">
        <x:f>Model_Data!AM195</x:f>
        <x:v>-248.81090314411267</x:v>
      </x:c>
      <x:c r="P195" s="40" t="n">
        <x:f>Model_Data!Q195</x:f>
        <x:v>-41.07859604579582</x:v>
      </x:c>
      <x:c r="Q195" s="40" t="n">
        <x:f>Model_Data!AN195</x:f>
        <x:v>-37.35899446608299</x:v>
      </x:c>
      <x:c r="R195" s="41"/>
      <x:c r="S195" s="40" t="n">
        <x:f>Model_Data!A195</x:f>
        <x:v>36.5</x:v>
      </x:c>
      <x:c r="T195" s="40" t="n">
        <x:f>Model_Data!B195-Inputs!$C$5</x:f>
        <x:v>1.4802777777777578</x:v>
      </x:c>
    </x:row>
    <x:row r="196">
      <x:c r="A196" s="40" t="n">
        <x:f>Model_Data!A196</x:f>
        <x:v>37</x:v>
      </x:c>
      <x:c r="B196" s="40" t="n">
        <x:f>Model_Data!F196</x:f>
        <x:v>1390.689229987749</x:v>
      </x:c>
      <x:c r="C196" s="40" t="n">
        <x:f>Model_Data!AC196</x:f>
        <x:v>1322.696656459874</x:v>
      </x:c>
      <x:c r="D196" s="41"/>
      <x:c r="E196" s="40" t="n">
        <x:f>Model_Data!A196</x:f>
        <x:v>37</x:v>
      </x:c>
      <x:c r="F196" s="40" t="n">
        <x:f>Model_Data!Y196</x:f>
        <x:v>154.22688285713113</x:v>
      </x:c>
      <x:c r="G196" s="40" t="n">
        <x:f>Model_Data!X196</x:f>
        <x:v>32.254740616555885</x:v>
      </x:c>
      <x:c r="H196" s="41"/>
      <x:c r="I196" s="40" t="n">
        <x:f>Model_Data!A196</x:f>
        <x:v>37</x:v>
      </x:c>
      <x:c r="J196" s="40" t="n">
        <x:f>Model_Data!AI196</x:f>
        <x:v>-67.99257352787504</x:v>
      </x:c>
      <x:c r="K196" s="40" t="n">
        <x:f>Model_Data!AK196</x:f>
        <x:v>121.97214224057524</x:v>
      </x:c>
      <x:c r="L196" s="41"/>
      <x:c r="M196" s="40" t="n">
        <x:f>Model_Data!A196</x:f>
        <x:v>37</x:v>
      </x:c>
      <x:c r="N196" s="40" t="n">
        <x:f>Model_Data!P196</x:f>
        <x:v>-277.2853782623445</x:v>
      </x:c>
      <x:c r="O196" s="40" t="n">
        <x:f>Model_Data!AM196</x:f>
        <x:v>-254.84703128495312</x:v>
      </x:c>
      <x:c r="P196" s="40" t="n">
        <x:f>Model_Data!Q196</x:f>
        <x:v>-41.634441180532214</x:v>
      </x:c>
      <x:c r="Q196" s="40" t="n">
        <x:f>Model_Data!AN196</x:f>
        <x:v>-38.26532001275573</x:v>
      </x:c>
      <x:c r="R196" s="41"/>
      <x:c r="S196" s="40" t="n">
        <x:f>Model_Data!A196</x:f>
        <x:v>37</x:v>
      </x:c>
      <x:c r="T196" s="40" t="n">
        <x:f>Model_Data!B196-Inputs!$C$5</x:f>
        <x:v>1.5211111111111109</x:v>
      </x:c>
    </x:row>
    <x:row r="197">
      <x:c r="A197" s="40" t="n">
        <x:f>Model_Data!A197</x:f>
        <x:v>37.5</x:v>
      </x:c>
      <x:c r="B197" s="40" t="n">
        <x:f>Model_Data!F197</x:f>
        <x:v>1416.4425890006503</x:v>
      </x:c>
      <x:c r="C197" s="40" t="n">
        <x:f>Model_Data!AC197</x:f>
        <x:v>1346.4468211677458</x:v>
      </x:c>
      <x:c r="D197" s="41"/>
      <x:c r="E197" s="40" t="n">
        <x:f>Model_Data!A197</x:f>
        <x:v>37.5</x:v>
      </x:c>
      <x:c r="F197" s="40" t="n">
        <x:f>Model_Data!Y197</x:f>
        <x:v>160.84333784568236</x:v>
      </x:c>
      <x:c r="G197" s="40" t="n">
        <x:f>Model_Data!X197</x:f>
        <x:v>35.246895836170104</x:v>
      </x:c>
      <x:c r="H197" s="41"/>
      <x:c r="I197" s="40" t="n">
        <x:f>Model_Data!A197</x:f>
        <x:v>37.5</x:v>
      </x:c>
      <x:c r="J197" s="40" t="n">
        <x:f>Model_Data!AI197</x:f>
        <x:v>-69.99576783290445</x:v>
      </x:c>
      <x:c r="K197" s="40" t="n">
        <x:f>Model_Data!AK197</x:f>
        <x:v>125.59644200951226</x:v>
      </x:c>
      <x:c r="L197" s="41"/>
      <x:c r="M197" s="40" t="n">
        <x:f>Model_Data!A197</x:f>
        <x:v>37.5</x:v>
      </x:c>
      <x:c r="N197" s="40" t="n">
        <x:f>Model_Data!P197</x:f>
        <x:v>-280.98546814307457</x:v>
      </x:c>
      <x:c r="O197" s="40" t="n">
        <x:f>Model_Data!AM197</x:f>
        <x:v>-261.968550482743</x:v>
      </x:c>
      <x:c r="P197" s="40" t="n">
        <x:f>Model_Data!Q197</x:f>
        <x:v>-42.19001023169288</x:v>
      </x:c>
      <x:c r="Q197" s="40" t="n">
        <x:f>Model_Data!AN197</x:f>
        <x:v>-39.334617189601055</x:v>
      </x:c>
      <x:c r="R197" s="41"/>
      <x:c r="S197" s="40" t="n">
        <x:f>Model_Data!A197</x:f>
        <x:v>37.5</x:v>
      </x:c>
      <x:c r="T197" s="40" t="n">
        <x:f>Model_Data!B197-Inputs!$C$5</x:f>
        <x:v>1.5625</x:v>
      </x:c>
    </x:row>
    <x:row r="198">
      <x:c r="A198" s="40" t="n">
        <x:f>Model_Data!A198</x:f>
        <x:v>38</x:v>
      </x:c>
      <x:c r="B198" s="40" t="n">
        <x:f>Model_Data!F198</x:f>
        <x:v>1442.533269506944</x:v>
      </x:c>
      <x:c r="C198" s="40" t="n">
        <x:f>Model_Data!AC198</x:f>
        <x:v>1370.9206509216156</x:v>
      </x:c>
      <x:c r="D198" s="41"/>
      <x:c r="E198" s="40" t="n">
        <x:f>Model_Data!A198</x:f>
        <x:v>38</x:v>
      </x:c>
      <x:c r="F198" s="40" t="n">
        <x:f>Model_Data!Y198</x:f>
        <x:v>166.22335263672178</x:v>
      </x:c>
      <x:c r="G198" s="40" t="n">
        <x:f>Model_Data!X198</x:f>
        <x:v>37.696440040073</x:v>
      </x:c>
      <x:c r="H198" s="41"/>
      <x:c r="I198" s="40" t="n">
        <x:f>Model_Data!A198</x:f>
        <x:v>38</x:v>
      </x:c>
      <x:c r="J198" s="40" t="n">
        <x:f>Model_Data!AI198</x:f>
        <x:v>-71.61261858532839</x:v>
      </x:c>
      <x:c r="K198" s="40" t="n">
        <x:f>Model_Data!AK198</x:f>
        <x:v>128.5269125966488</x:v>
      </x:c>
      <x:c r="L198" s="41"/>
      <x:c r="M198" s="40" t="n">
        <x:f>Model_Data!A198</x:f>
        <x:v>38</x:v>
      </x:c>
      <x:c r="N198" s="40" t="n">
        <x:f>Model_Data!P198</x:f>
        <x:v>-284.68369647171596</x:v>
      </x:c>
      <x:c r="O198" s="40" t="n">
        <x:f>Model_Data!AM198</x:f>
        <x:v>-270.0459430495357</x:v>
      </x:c>
      <x:c r="P198" s="40" t="n">
        <x:f>Model_Data!Q198</x:f>
        <x:v>-42.74529977052792</x:v>
      </x:c>
      <x:c r="Q198" s="40" t="n">
        <x:f>Model_Data!AN198</x:f>
        <x:v>-40.54743889632669</x:v>
      </x:c>
      <x:c r="R198" s="41"/>
      <x:c r="S198" s="40" t="n">
        <x:f>Model_Data!A198</x:f>
        <x:v>38</x:v>
      </x:c>
      <x:c r="T198" s="40" t="n">
        <x:f>Model_Data!B198-Inputs!$C$5</x:f>
        <x:v>1.6044444444444252</x:v>
      </x:c>
    </x:row>
    <x:row r="199">
      <x:c r="A199" s="40" t="n">
        <x:f>Model_Data!A199</x:f>
        <x:v>38.5</x:v>
      </x:c>
      <x:c r="B199" s="40" t="n">
        <x:f>Model_Data!F199</x:f>
        <x:v>1468.9609426904447</x:v>
      </x:c>
      <x:c r="C199" s="40" t="n">
        <x:f>Model_Data!AC199</x:f>
        <x:v>1396.2522995583822</x:v>
      </x:c>
      <x:c r="D199" s="41"/>
      <x:c r="E199" s="40" t="n">
        <x:f>Model_Data!A199</x:f>
        <x:v>38.5</x:v>
      </x:c>
      <x:c r="F199" s="40" t="n">
        <x:f>Model_Data!Y199</x:f>
        <x:v>170.08834922907718</x:v>
      </x:c>
      <x:c r="G199" s="40" t="n">
        <x:f>Model_Data!X199</x:f>
        <x:v>39.5663774099726</x:v>
      </x:c>
      <x:c r="H199" s="41"/>
      <x:c r="I199" s="40" t="n">
        <x:f>Model_Data!A199</x:f>
        <x:v>38.5</x:v>
      </x:c>
      <x:c r="J199" s="40" t="n">
        <x:f>Model_Data!AI199</x:f>
        <x:v>-72.70864313206243</x:v>
      </x:c>
      <x:c r="K199" s="40" t="n">
        <x:f>Model_Data!AK199</x:f>
        <x:v>130.52197181910458</x:v>
      </x:c>
      <x:c r="L199" s="41"/>
      <x:c r="M199" s="40" t="n">
        <x:f>Model_Data!A199</x:f>
        <x:v>38.5</x:v>
      </x:c>
      <x:c r="N199" s="40" t="n">
        <x:f>Model_Data!P199</x:f>
        <x:v>-288.38004049081604</x:v>
      </x:c>
      <x:c r="O199" s="40" t="n">
        <x:f>Model_Data!AM199</x:f>
        <x:v>-278.91803477805297</x:v>
      </x:c>
      <x:c r="P199" s="40" t="n">
        <x:f>Model_Data!Q199</x:f>
        <x:v>-43.30030638000241</x:v>
      </x:c>
      <x:c r="Q199" s="40" t="n">
        <x:f>Model_Data!AN199</x:f>
        <x:v>-41.87958480150946</x:v>
      </x:c>
      <x:c r="R199" s="41"/>
      <x:c r="S199" s="40" t="n">
        <x:f>Model_Data!A199</x:f>
        <x:v>38.5</x:v>
      </x:c>
      <x:c r="T199" s="40" t="n">
        <x:f>Model_Data!B199-Inputs!$C$5</x:f>
        <x:v>1.6469444444444434</x:v>
      </x:c>
    </x:row>
    <x:row r="200">
      <x:c r="A200" s="40" t="n">
        <x:f>Model_Data!A200</x:f>
        <x:v>39</x:v>
      </x:c>
      <x:c r="B200" s="40" t="n">
        <x:f>Model_Data!F200</x:f>
        <x:v>1495.7252757464753</x:v>
      </x:c>
      <x:c r="C200" s="40" t="n">
        <x:f>Model_Data!AC200</x:f>
        <x:v>1422.5541007421184</x:v>
      </x:c>
      <x:c r="D200" s="41"/>
      <x:c r="E200" s="40" t="n">
        <x:f>Model_Data!A200</x:f>
        <x:v>39</x:v>
      </x:c>
      <x:c r="F200" s="40" t="n">
        <x:f>Model_Data!Y200</x:f>
        <x:v>172.21485765644678</x:v>
      </x:c>
      <x:c r="G200" s="40" t="n">
        <x:f>Model_Data!X200</x:f>
        <x:v>40.83576453984723</x:v>
      </x:c>
      <x:c r="H200" s="41"/>
      <x:c r="I200" s="40" t="n">
        <x:f>Model_Data!A200</x:f>
        <x:v>39</x:v>
      </x:c>
      <x:c r="J200" s="40" t="n">
        <x:f>Model_Data!AI200</x:f>
        <x:v>-73.17117500435688</x:v>
      </x:c>
      <x:c r="K200" s="40" t="n">
        <x:f>Model_Data!AK200</x:f>
        <x:v>131.37909311659956</x:v>
      </x:c>
      <x:c r="L200" s="41"/>
      <x:c r="M200" s="40" t="n">
        <x:f>Model_Data!A200</x:f>
        <x:v>39</x:v>
      </x:c>
      <x:c r="N200" s="40" t="n">
        <x:f>Model_Data!P200</x:f>
        <x:v>-292.0744775217912</x:v>
      </x:c>
      <x:c r="O200" s="40" t="n">
        <x:f>Model_Data!AM200</x:f>
        <x:v>-288.3978670034594</x:v>
      </x:c>
      <x:c r="P200" s="40" t="n">
        <x:f>Model_Data!Q200</x:f>
        <x:v>-43.855026654923606</x:v>
      </x:c>
      <x:c r="Q200" s="40" t="n">
        <x:f>Model_Data!AN200</x:f>
        <x:v>-43.302983033552465</x:v>
      </x:c>
      <x:c r="R200" s="41"/>
      <x:c r="S200" s="40" t="n">
        <x:f>Model_Data!A200</x:f>
        <x:v>39</x:v>
      </x:c>
      <x:c r="T200" s="40" t="n">
        <x:f>Model_Data!B200-Inputs!$C$5</x:f>
        <x:v>1.6899999999999977</x:v>
      </x:c>
    </x:row>
    <x:row r="201">
      <x:c r="A201" s="40" t="n">
        <x:f>Model_Data!A201</x:f>
        <x:v>39.5</x:v>
      </x:c>
      <x:c r="B201" s="40" t="n">
        <x:f>Model_Data!F201</x:f>
        <x:v>1522.82593189579</x:v>
      </x:c>
      <x:c r="C201" s="40" t="n">
        <x:f>Model_Data!AC201</x:f>
        <x:v>1449.912110929207</x:v>
      </x:c>
      <x:c r="D201" s="41"/>
      <x:c r="E201" s="40" t="n">
        <x:f>Model_Data!A201</x:f>
        <x:v>39.5</x:v>
      </x:c>
      <x:c r="F201" s="40" t="n">
        <x:f>Model_Data!Y201</x:f>
        <x:v>172.44165718966366</x:v>
      </x:c>
      <x:c r="G201" s="40" t="n">
        <x:f>Model_Data!X201</x:f>
        <x:v>41.498841439546396</x:v>
      </x:c>
      <x:c r="H201" s="41"/>
      <x:c r="I201" s="40" t="n">
        <x:f>Model_Data!A201</x:f>
        <x:v>39.5</x:v>
      </x:c>
      <x:c r="J201" s="40" t="n">
        <x:f>Model_Data!AI201</x:f>
        <x:v>-72.91382096658299</x:v>
      </x:c>
      <x:c r="K201" s="40" t="n">
        <x:f>Model_Data!AK201</x:f>
        <x:v>130.94281575011726</x:v>
      </x:c>
      <x:c r="L201" s="41"/>
      <x:c r="M201" s="40" t="n">
        <x:f>Model_Data!A201</x:f>
        <x:v>39.5</x:v>
      </x:c>
      <x:c r="N201" s="40" t="n">
        <x:f>Model_Data!P201</x:f>
        <x:v>-295.766984965765</x:v>
      </x:c>
      <x:c r="O201" s="40" t="n">
        <x:f>Model_Data!AM201</x:f>
        <x:v>-298.2794178228687</x:v>
      </x:c>
      <x:c r="P201" s="40" t="n">
        <x:f>Model_Data!Q201</x:f>
        <x:v>-44.40945720206682</x:v>
      </x:c>
      <x:c r="Q201" s="40" t="n">
        <x:f>Model_Data!AN201</x:f>
        <x:v>-44.78669937280311</x:v>
      </x:c>
      <x:c r="R201" s="41"/>
      <x:c r="S201" s="40" t="n">
        <x:f>Model_Data!A201</x:f>
        <x:v>39.5</x:v>
      </x:c>
      <x:c r="T201" s="40" t="n">
        <x:f>Model_Data!B201-Inputs!$C$5</x:f>
        <x:v>1.7336111111110881</x:v>
      </x:c>
    </x:row>
    <x:row r="202">
      <x:c r="A202" s="40" t="n">
        <x:f>Model_Data!A202</x:f>
        <x:v>40</x:v>
      </x:c>
      <x:c r="B202" s="40" t="n">
        <x:f>Model_Data!F202</x:f>
        <x:v>1550.26257039885</x:v>
      </x:c>
      <x:c r="C202" s="40" t="n">
        <x:f>Model_Data!AC202</x:f>
        <x:v>1478.382712849456</x:v>
      </x:c>
      <x:c r="D202" s="41"/>
      <x:c r="E202" s="40" t="n">
        <x:f>Model_Data!A202</x:f>
        <x:v>40</x:v>
      </x:c>
      <x:c r="F202" s="40" t="n">
        <x:f>Model_Data!Y202</x:f>
        <x:v>170.67469410517486</x:v>
      </x:c>
      <x:c r="G202" s="40" t="n">
        <x:f>Model_Data!X202</x:f>
        <x:v>41.56383572941411</x:v>
      </x:c>
      <x:c r="H202" s="41"/>
      <x:c r="I202" s="40" t="n">
        <x:f>Model_Data!A202</x:f>
        <x:v>40</x:v>
      </x:c>
      <x:c r="J202" s="40" t="n">
        <x:f>Model_Data!AI202</x:f>
        <x:v>-71.87985754939382</x:v>
      </x:c>
      <x:c r="K202" s="40" t="n">
        <x:f>Model_Data!AK202</x:f>
        <x:v>129.11085837576076</x:v>
      </x:c>
      <x:c r="L202" s="41"/>
      <x:c r="M202" s="40" t="n">
        <x:f>Model_Data!A202</x:f>
        <x:v>40</x:v>
      </x:c>
      <x:c r="N202" s="40" t="n">
        <x:f>Model_Data!P202</x:f>
        <x:v>-299.4575403044</x:v>
      </x:c>
      <x:c r="O202" s="40" t="n">
        <x:f>Model_Data!AM202</x:f>
        <x:v>-308.3449231766281</x:v>
      </x:c>
      <x:c r="P202" s="40" t="n">
        <x:f>Model_Data!Q202</x:f>
        <x:v>-44.96359464030031</x:v>
      </x:c>
      <x:c r="Q202" s="40" t="n">
        <x:f>Model_Data!AN202</x:f>
        <x:v>-46.29803651300722</x:v>
      </x:c>
      <x:c r="R202" s="41"/>
      <x:c r="S202" s="40" t="n">
        <x:f>Model_Data!A202</x:f>
        <x:v>40</x:v>
      </x:c>
      <x:c r="T202" s="40" t="n">
        <x:f>Model_Data!B202-Inputs!$C$5</x:f>
        <x:v>1.7777777777777715</x:v>
      </x:c>
    </x:row>
    <x:row r="203">
      <x:c r="A203" s="40" t="n">
        <x:f>Model_Data!A203</x:f>
        <x:v>40.5</x:v>
      </x:c>
      <x:c r="B203" s="40" t="n">
        <x:f>Model_Data!F203</x:f>
        <x:v>1578.0348465697127</x:v>
      </x:c>
      <x:c r="C203" s="40" t="n">
        <x:f>Model_Data!AC203</x:f>
        <x:v>1507.9904159299506</x:v>
      </x:c>
      <x:c r="D203" s="41"/>
      <x:c r="E203" s="40" t="n">
        <x:f>Model_Data!A203</x:f>
        <x:v>40.5</x:v>
      </x:c>
      <x:c r="F203" s="40" t="n">
        <x:f>Model_Data!Y203</x:f>
        <x:v>166.88962666254307</x:v>
      </x:c>
      <x:c r="G203" s="40" t="n">
        <x:f>Model_Data!X203</x:f>
        <x:v>41.05153624434281</x:v>
      </x:c>
      <x:c r="H203" s="41"/>
      <x:c r="I203" s="40" t="n">
        <x:f>Model_Data!A203</x:f>
        <x:v>40.5</x:v>
      </x:c>
      <x:c r="J203" s="40" t="n">
        <x:f>Model_Data!AI203</x:f>
        <x:v>-70.04443063976214</x:v>
      </x:c>
      <x:c r="K203" s="40" t="n">
        <x:f>Model_Data!AK203</x:f>
        <x:v>125.83809041820025</x:v>
      </x:c>
      <x:c r="L203" s="41"/>
      <x:c r="M203" s="40" t="n">
        <x:f>Model_Data!A203</x:f>
        <x:v>40.5</x:v>
      </x:c>
      <x:c r="N203" s="40" t="n">
        <x:f>Model_Data!P203</x:f>
        <x:v>-303.14612110072255</x:v>
      </x:c>
      <x:c r="O203" s="40" t="n">
        <x:f>Model_Data!AM203</x:f>
        <x:v>-318.372529368753</x:v>
      </x:c>
      <x:c r="P203" s="40" t="n">
        <x:f>Model_Data!Q203</x:f>
        <x:v>-45.5174356007091</x:v>
      </x:c>
      <x:c r="Q203" s="40" t="n">
        <x:f>Model_Data!AN203</x:f>
        <x:v>-47.80368308840136</x:v>
      </x:c>
      <x:c r="R203" s="41"/>
      <x:c r="S203" s="40" t="n">
        <x:f>Model_Data!A203</x:f>
        <x:v>40.5</x:v>
      </x:c>
      <x:c r="T203" s="40" t="n">
        <x:f>Model_Data!B203-Inputs!$C$5</x:f>
        <x:v>1.822499999999991</x:v>
      </x:c>
    </x:row>
    <x:row r="204">
      <x:c r="A204" s="40" t="n">
        <x:f>Model_Data!A204</x:f>
        <x:v>41</x:v>
      </x:c>
      <x:c r="B204" s="40" t="n">
        <x:f>Model_Data!F204</x:f>
        <x:v>1606.1424117907243</x:v>
      </x:c>
      <x:c r="C204" s="40" t="n">
        <x:f>Model_Data!AC204</x:f>
        <x:v>1538.7269408837815</x:v>
      </x:c>
      <x:c r="D204" s="41"/>
      <x:c r="E204" s="40" t="n">
        <x:f>Model_Data!A204</x:f>
        <x:v>41</x:v>
      </x:c>
      <x:c r="F204" s="40" t="n">
        <x:f>Model_Data!Y204</x:f>
        <x:v>161.13193441060406</x:v>
      </x:c>
      <x:c r="G204" s="40" t="n">
        <x:f>Model_Data!X204</x:f>
        <x:v>39.99373077507672</x:v>
      </x:c>
      <x:c r="H204" s="41"/>
      <x:c r="I204" s="40" t="n">
        <x:f>Model_Data!A204</x:f>
        <x:v>41</x:v>
      </x:c>
      <x:c r="J204" s="40" t="n">
        <x:f>Model_Data!AI204</x:f>
        <x:v>-67.4154709069428</x:v>
      </x:c>
      <x:c r="K204" s="40" t="n">
        <x:f>Model_Data!AK204</x:f>
        <x:v>121.13820363552733</x:v>
      </x:c>
      <x:c r="L204" s="41"/>
      <x:c r="M204" s="40" t="n">
        <x:f>Model_Data!A204</x:f>
        <x:v>41</x:v>
      </x:c>
      <x:c r="N204" s="40" t="n">
        <x:f>Model_Data!P204</x:f>
        <x:v>-306.8327049999392</x:v>
      </x:c>
      <x:c r="O204" s="40" t="n">
        <x:f>Model_Data!AM204</x:f>
        <x:v>-328.14399963444885</x:v>
      </x:c>
      <x:c r="P204" s="40" t="n">
        <x:f>Model_Data!Q204</x:f>
        <x:v>-46.070976726717596</x:v>
      </x:c>
      <x:c r="Q204" s="40" t="n">
        <x:f>Model_Data!AN204</x:f>
        <x:v>-49.270870815983315</x:v>
      </x:c>
      <x:c r="R204" s="41"/>
      <x:c r="S204" s="40" t="n">
        <x:f>Model_Data!A204</x:f>
        <x:v>41</x:v>
      </x:c>
      <x:c r="T204" s="40" t="n">
        <x:f>Model_Data!B204-Inputs!$C$5</x:f>
        <x:v>1.8677777777778033</x:v>
      </x:c>
    </x:row>
    <x:row r="205">
      <x:c r="A205" s="40" t="n">
        <x:f>Model_Data!A205</x:f>
        <x:v>41.5</x:v>
      </x:c>
      <x:c r="B205" s="40" t="n">
        <x:f>Model_Data!F205</x:f>
        <x:v>1634.5849135267295</x:v>
      </x:c>
      <x:c r="C205" s="40" t="n">
        <x:f>Model_Data!AC205</x:f>
        <x:v>1570.5516229388968</x:v>
      </x:c>
      <x:c r="D205" s="41"/>
      <x:c r="E205" s="40" t="n">
        <x:f>Model_Data!A205</x:f>
        <x:v>41.5</x:v>
      </x:c>
      <x:c r="F205" s="40" t="n">
        <x:f>Model_Data!Y205</x:f>
        <x:v>153.51461670069205</x:v>
      </x:c>
      <x:c r="G205" s="40" t="n">
        <x:f>Model_Data!X205</x:f>
        <x:v>38.43159605988062</x:v>
      </x:c>
      <x:c r="H205" s="41"/>
      <x:c r="I205" s="40" t="n">
        <x:f>Model_Data!A205</x:f>
        <x:v>41.5</x:v>
      </x:c>
      <x:c r="J205" s="40" t="n">
        <x:f>Model_Data!AI205</x:f>
        <x:v>-64.03329058783265</x:v>
      </x:c>
      <x:c r="K205" s="40" t="n">
        <x:f>Model_Data!AK205</x:f>
        <x:v>115.08302064081143</x:v>
      </x:c>
      <x:c r="L205" s="41"/>
      <x:c r="M205" s="40" t="n">
        <x:f>Model_Data!A205</x:f>
        <x:v>41.5</x:v>
      </x:c>
      <x:c r="N205" s="40" t="n">
        <x:f>Model_Data!P205</x:f>
        <x:v>-310.51726973024654</x:v>
      </x:c>
      <x:c r="O205" s="40" t="n">
        <x:f>Model_Data!AM205</x:f>
        <x:v>-337.4521987857406</x:v>
      </x:c>
      <x:c r="P205" s="40" t="n">
        <x:f>Model_Data!Q205</x:f>
        <x:v>-46.624214674211196</x:v>
      </x:c>
      <x:c r="Q205" s="40" t="n">
        <x:f>Model_Data!AN205</x:f>
        <x:v>-50.66849831617728</x:v>
      </x:c>
      <x:c r="R205" s="41"/>
      <x:c r="S205" s="40" t="n">
        <x:f>Model_Data!A205</x:f>
        <x:v>41.5</x:v>
      </x:c>
      <x:c r="T205" s="40" t="n">
        <x:f>Model_Data!B205-Inputs!$C$5</x:f>
        <x:v>1.913611111111095</x:v>
      </x:c>
    </x:row>
    <x:row r="206">
      <x:c r="A206" s="40" t="n">
        <x:f>Model_Data!A206</x:f>
        <x:v>42</x:v>
      </x:c>
      <x:c r="B206" s="40" t="n">
        <x:f>Model_Data!F206</x:f>
        <x:v>1663.3619953398884</x:v>
      </x:c>
      <x:c r="C206" s="40" t="n">
        <x:f>Model_Data!AC206</x:f>
        <x:v>1603.3931140945947</x:v>
      </x:c>
      <x:c r="D206" s="41"/>
      <x:c r="E206" s="40" t="n">
        <x:f>Model_Data!A206</x:f>
        <x:v>42</x:v>
      </x:c>
      <x:c r="F206" s="40" t="n">
        <x:f>Model_Data!Y206</x:f>
        <x:v>144.2135910586973</x:v>
      </x:c>
      <x:c r="G206" s="40" t="n">
        <x:f>Model_Data!X206</x:f>
        <x:v>36.41411707136549</x:v>
      </x:c>
      <x:c r="H206" s="41"/>
      <x:c r="I206" s="40" t="n">
        <x:f>Model_Data!A206</x:f>
        <x:v>42</x:v>
      </x:c>
      <x:c r="J206" s="40" t="n">
        <x:f>Model_Data!AI206</x:f>
        <x:v>-59.96888124529369</x:v>
      </x:c>
      <x:c r="K206" s="40" t="n">
        <x:f>Model_Data!AK206</x:f>
        <x:v>107.7994739873318</x:v>
      </x:c>
      <x:c r="L206" s="41"/>
      <x:c r="M206" s="40" t="n">
        <x:f>Model_Data!A206</x:f>
        <x:v>42</x:v>
      </x:c>
      <x:c r="N206" s="40" t="n">
        <x:f>Model_Data!P206</x:f>
        <x:v>-314.1997931036334</x:v>
      </x:c>
      <x:c r="O206" s="40" t="n">
        <x:f>Model_Data!AM206</x:f>
        <x:v>-346.1080915936691</x:v>
      </x:c>
      <x:c r="P206" s="40" t="n">
        <x:f>Model_Data!Q206</x:f>
        <x:v>-47.17714611165667</x:v>
      </x:c>
      <x:c r="Q206" s="40" t="n">
        <x:f>Model_Data!AN206</x:f>
        <x:v>-51.96818192097134</x:v>
      </x:c>
      <x:c r="R206" s="41"/>
      <x:c r="S206" s="40" t="n">
        <x:f>Model_Data!A206</x:f>
        <x:v>42</x:v>
      </x:c>
      <x:c r="T206" s="40" t="n">
        <x:f>Model_Data!B206-Inputs!$C$5</x:f>
        <x:v>1.9599999999999795</x:v>
      </x:c>
    </x:row>
    <x:row r="207">
      <x:c r="A207" s="40" t="n">
        <x:f>Model_Data!A207</x:f>
        <x:v>42.5</x:v>
      </x:c>
      <x:c r="B207" s="40" t="n">
        <x:f>Model_Data!F207</x:f>
        <x:v>1692.4732969044633</x:v>
      </x:c>
      <x:c r="C207" s="40" t="n">
        <x:f>Model_Data!AC207</x:f>
        <x:v>1637.1523116229293</x:v>
      </x:c>
      <x:c r="D207" s="41"/>
      <x:c r="E207" s="40" t="n">
        <x:f>Model_Data!A207</x:f>
        <x:v>42.5</x:v>
      </x:c>
      <x:c r="F207" s="40" t="n">
        <x:f>Model_Data!Y207</x:f>
        <x:v>133.4609827023121</x:v>
      </x:c>
      <x:c r="G207" s="40" t="n">
        <x:f>Model_Data!X207</x:f>
        <x:v>33.99659800476828</x:v>
      </x:c>
      <x:c r="H207" s="41"/>
      <x:c r="I207" s="40" t="n">
        <x:f>Model_Data!A207</x:f>
        <x:v>42.5</x:v>
      </x:c>
      <x:c r="J207" s="40" t="n">
        <x:f>Model_Data!AI207</x:f>
        <x:v>-55.32098528153392</x:v>
      </x:c>
      <x:c r="K207" s="40" t="n">
        <x:f>Model_Data!AK207</x:f>
        <x:v>99.4643846975438</x:v>
      </x:c>
      <x:c r="L207" s="41"/>
      <x:c r="M207" s="40" t="n">
        <x:f>Model_Data!A207</x:f>
        <x:v>42.5</x:v>
      </x:c>
      <x:c r="N207" s="40" t="n">
        <x:f>Model_Data!P207</x:f>
        <x:v>-317.88025301667517</x:v>
      </x:c>
      <x:c r="O207" s="40" t="n">
        <x:f>Model_Data!AM207</x:f>
        <x:v>-353.9470118396821</x:v>
      </x:c>
      <x:c r="P207" s="40" t="n">
        <x:f>Model_Data!Q207</x:f>
        <x:v>-47.7297677202215</x:v>
      </x:c>
      <x:c r="Q207" s="40" t="n">
        <x:f>Model_Data!AN207</x:f>
        <x:v>-53.14519697292524</x:v>
      </x:c>
      <x:c r="R207" s="41"/>
      <x:c r="S207" s="40" t="n">
        <x:f>Model_Data!A207</x:f>
        <x:v>42.5</x:v>
      </x:c>
      <x:c r="T207" s="40" t="n">
        <x:f>Model_Data!B207-Inputs!$C$5</x:f>
        <x:v>2.006944444444457</x:v>
      </x:c>
    </x:row>
    <x:row r="208">
      <x:c r="A208" s="40" t="n">
        <x:f>Model_Data!A208</x:f>
        <x:v>43</x:v>
      </x:c>
      <x:c r="B208" s="40" t="n">
        <x:f>Model_Data!F208</x:f>
        <x:v>1721.9184540215401</x:v>
      </x:c>
      <x:c r="C208" s="40" t="n">
        <x:f>Model_Data!AC208</x:f>
        <x:v>1671.706389990614</x:v>
      </x:c>
      <x:c r="D208" s="41"/>
      <x:c r="E208" s="40" t="n">
        <x:f>Model_Data!A208</x:f>
        <x:v>43</x:v>
      </x:c>
      <x:c r="F208" s="40" t="n">
        <x:f>Model_Data!Y208</x:f>
        <x:v>121.53656906611579</x:v>
      </x:c>
      <x:c r="G208" s="40" t="n">
        <x:f>Model_Data!X208</x:f>
        <x:v>31.239310210976942</x:v>
      </x:c>
      <x:c r="H208" s="41"/>
      <x:c r="I208" s="40" t="n">
        <x:f>Model_Data!A208</x:f>
        <x:v>43</x:v>
      </x:c>
      <x:c r="J208" s="40" t="n">
        <x:f>Model_Data!AI208</x:f>
        <x:v>-50.21206403092606</x:v>
      </x:c>
      <x:c r="K208" s="40" t="n">
        <x:f>Model_Data!AK208</x:f>
        <x:v>90.29725885513885</x:v>
      </x:c>
      <x:c r="L208" s="41"/>
      <x:c r="M208" s="40" t="n">
        <x:f>Model_Data!A208</x:f>
        <x:v>43</x:v>
      </x:c>
      <x:c r="N208" s="40" t="n">
        <x:f>Model_Data!P208</x:f>
        <x:v>-321.55862745132083</x:v>
      </x:c>
      <x:c r="O208" s="40" t="n">
        <x:f>Model_Data!AM208</x:f>
        <x:v>-360.83398895289065</x:v>
      </x:c>
      <x:c r="P208" s="40" t="n">
        <x:f>Model_Data!Q208</x:f>
        <x:v>-48.282076193892024</x:v>
      </x:c>
      <x:c r="Q208" s="40" t="n">
        <x:f>Model_Data!AN208</x:f>
        <x:v>-54.17927762055415</x:v>
      </x:c>
      <x:c r="R208" s="41"/>
      <x:c r="S208" s="40" t="n">
        <x:f>Model_Data!A208</x:f>
        <x:v>43</x:v>
      </x:c>
      <x:c r="T208" s="40" t="n">
        <x:f>Model_Data!B208-Inputs!$C$5</x:f>
        <x:v>2.0544444444444707</x:v>
      </x:c>
    </x:row>
    <x:row r="209">
      <x:c r="A209" s="40" t="n">
        <x:f>Model_Data!A209</x:f>
        <x:v>43.5</x:v>
      </x:c>
      <x:c r="B209" s="40" t="n">
        <x:f>Model_Data!F209</x:f>
        <x:v>1751.6970986344204</x:v>
      </x:c>
      <x:c r="C209" s="40" t="n">
        <x:f>Model_Data!AC209</x:f>
        <x:v>1706.9137685415321</x:v>
      </x:c>
      <x:c r="D209" s="41"/>
      <x:c r="E209" s="40" t="n">
        <x:f>Model_Data!A209</x:f>
        <x:v>43.5</x:v>
      </x:c>
      <x:c r="F209" s="40" t="n">
        <x:f>Model_Data!Y209</x:f>
        <x:v>108.75770513857424</x:v>
      </x:c>
      <x:c r="G209" s="40" t="n">
        <x:f>Model_Data!X209</x:f>
        <x:v>28.20630377988818</x:v>
      </x:c>
      <x:c r="H209" s="41"/>
      <x:c r="I209" s="40" t="n">
        <x:f>Model_Data!A209</x:f>
        <x:v>43.5</x:v>
      </x:c>
      <x:c r="J209" s="40" t="n">
        <x:f>Model_Data!AI209</x:f>
        <x:v>-44.783330092888264</x:v>
      </x:c>
      <x:c r="K209" s="40" t="n">
        <x:f>Model_Data!AK209</x:f>
        <x:v>80.55140135868606</x:v>
      </x:c>
      <x:c r="L209" s="41"/>
      <x:c r="M209" s="40" t="n">
        <x:f>Model_Data!A209</x:f>
        <x:v>43.5</x:v>
      </x:c>
      <x:c r="N209" s="40" t="n">
        <x:f>Model_Data!P209</x:f>
        <x:v>-325.2348944756723</x:v>
      </x:c>
      <x:c r="O209" s="40" t="n">
        <x:f>Model_Data!AM209</x:f>
        <x:v>-366.6679565904815</x:v>
      </x:c>
      <x:c r="P209" s="40" t="n">
        <x:f>Model_Data!Q209</x:f>
        <x:v>-48.834068239590444</x:v>
      </x:c>
      <x:c r="Q209" s="40" t="n">
        <x:f>Model_Data!AN209</x:f>
        <x:v>-55.05524873730953</x:v>
      </x:c>
      <x:c r="R209" s="41"/>
      <x:c r="S209" s="40" t="n">
        <x:f>Model_Data!A209</x:f>
        <x:v>43.5</x:v>
      </x:c>
      <x:c r="T209" s="40" t="n">
        <x:f>Model_Data!B209-Inputs!$C$5</x:f>
        <x:v>2.1025000000000205</x:v>
      </x:c>
    </x:row>
    <x:row r="210">
      <x:c r="A210" s="40" t="n">
        <x:f>Model_Data!A210</x:f>
        <x:v>44</x:v>
      </x:c>
      <x:c r="B210" s="40" t="n">
        <x:f>Model_Data!F210</x:f>
        <x:v>1781.8088588434077</x:v>
      </x:c>
      <x:c r="C210" s="40" t="n">
        <x:f>Model_Data!AC210</x:f>
        <x:v>1742.6198095132654</x:v>
      </x:c>
      <x:c r="D210" s="41"/>
      <x:c r="E210" s="40" t="n">
        <x:f>Model_Data!A210</x:f>
        <x:v>44</x:v>
      </x:c>
      <x:c r="F210" s="40" t="n">
        <x:f>Model_Data!Y210</x:f>
        <x:v>95.4681045825794</x:v>
      </x:c>
      <x:c r="G210" s="40" t="n">
        <x:f>Model_Data!X210</x:f>
        <x:v>24.964390758878583</x:v>
      </x:c>
      <x:c r="H210" s="41"/>
      <x:c r="I210" s="40" t="n">
        <x:f>Model_Data!A210</x:f>
        <x:v>44</x:v>
      </x:c>
      <x:c r="J210" s="40" t="n">
        <x:f>Model_Data!AI210</x:f>
        <x:v>-39.189049330142325</x:v>
      </x:c>
      <x:c r="K210" s="40" t="n">
        <x:f>Model_Data!AK210</x:f>
        <x:v>70.50371382370082</x:v>
      </x:c>
      <x:c r="L210" s="41"/>
      <x:c r="M210" s="40" t="n">
        <x:f>Model_Data!A210</x:f>
        <x:v>44</x:v>
      </x:c>
      <x:c r="N210" s="40" t="n">
        <x:f>Model_Data!P210</x:f>
        <x:v>-328.9090322447558</x:v>
      </x:c>
      <x:c r="O210" s="40" t="n">
        <x:f>Model_Data!AM210</x:f>
        <x:v>-371.3847109021117</x:v>
      </x:c>
      <x:c r="P210" s="40" t="n">
        <x:f>Model_Data!Q210</x:f>
        <x:v>-49.38574057729066</x:v>
      </x:c>
      <x:c r="Q210" s="40" t="n">
        <x:f>Model_Data!AN210</x:f>
        <x:v>-55.76347010542218</x:v>
      </x:c>
      <x:c r="R210" s="41"/>
      <x:c r="S210" s="40" t="n">
        <x:f>Model_Data!A210</x:f>
        <x:v>44</x:v>
      </x:c>
      <x:c r="T210" s="40" t="n">
        <x:f>Model_Data!B210-Inputs!$C$5</x:f>
        <x:v>2.1511111111111063</x:v>
      </x:c>
    </x:row>
    <x:row r="211">
      <x:c r="A211" s="40" t="n">
        <x:f>Model_Data!A211</x:f>
        <x:v>44.5</x:v>
      </x:c>
      <x:c r="B211" s="40" t="n">
        <x:f>Model_Data!F211</x:f>
        <x:v>1812.253358921519</x:v>
      </x:c>
      <x:c r="C211" s="40" t="n">
        <x:f>Model_Data!AC211</x:f>
        <x:v>1778.6630118073365</x:v>
      </x:c>
      <x:c r="D211" s="41"/>
      <x:c r="E211" s="40" t="n">
        <x:f>Model_Data!A211</x:f>
        <x:v>44.5</x:v>
      </x:c>
      <x:c r="F211" s="40" t="n">
        <x:f>Model_Data!Y211</x:f>
        <x:v>82.02588637952535</x:v>
      </x:c>
      <x:c r="G211" s="40" t="n">
        <x:f>Model_Data!X211</x:f>
        <x:v>21.58229025694802</x:v>
      </x:c>
      <x:c r="H211" s="41"/>
      <x:c r="I211" s="40" t="n">
        <x:f>Model_Data!A211</x:f>
        <x:v>44.5</x:v>
      </x:c>
      <x:c r="J211" s="40" t="n">
        <x:f>Model_Data!AI211</x:f>
        <x:v>-33.59034711418258</x:v>
      </x:c>
      <x:c r="K211" s="40" t="n">
        <x:f>Model_Data!AK211</x:f>
        <x:v>60.443596122577326</x:v>
      </x:c>
      <x:c r="L211" s="41"/>
      <x:c r="M211" s="40" t="n">
        <x:f>Model_Data!A211</x:f>
        <x:v>44.5</x:v>
      </x:c>
      <x:c r="N211" s="40" t="n">
        <x:f>Model_Data!P211</x:f>
        <x:v>-332.58101900128577</x:v>
      </x:c>
      <x:c r="O211" s="40" t="n">
        <x:f>Model_Data!AM211</x:f>
        <x:v>-374.9585338009638</x:v>
      </x:c>
      <x:c r="P211" s="40" t="n">
        <x:f>Model_Data!Q211</x:f>
        <x:v>-49.937089940133</x:v>
      </x:c>
      <x:c r="Q211" s="40" t="n">
        <x:f>Model_Data!AN211</x:f>
        <x:v>-56.30008015029487</x:v>
      </x:c>
      <x:c r="R211" s="41"/>
      <x:c r="S211" s="40" t="n">
        <x:f>Model_Data!A211</x:f>
        <x:v>44.5</x:v>
      </x:c>
      <x:c r="T211" s="40" t="n">
        <x:f>Model_Data!B211-Inputs!$C$5</x:f>
        <x:v>2.200277777777785</x:v>
      </x:c>
    </x:row>
    <x:row r="212">
      <x:c r="A212" s="40" t="n">
        <x:f>Model_Data!A212</x:f>
        <x:v>45</x:v>
      </x:c>
      <x:c r="B212" s="40" t="n">
        <x:f>Model_Data!F212</x:f>
        <x:v>1843.0302193297173</x:v>
      </x:c>
      <x:c r="C212" s="40" t="n">
        <x:f>Model_Data!AC212</x:f>
        <x:v>1814.8814465926246</x:v>
      </x:c>
      <x:c r="D212" s="41"/>
      <x:c r="E212" s="40" t="n">
        <x:f>Model_Data!A212</x:f>
        <x:v>45</x:v>
      </x:c>
      <x:c r="F212" s="40" t="n">
        <x:f>Model_Data!Y212</x:f>
        <x:v>68.79131604971116</x:v>
      </x:c>
      <x:c r="G212" s="40" t="n">
        <x:f>Model_Data!X212</x:f>
        <x:v>18.12991002345303</x:v>
      </x:c>
      <x:c r="H212" s="41"/>
      <x:c r="I212" s="40" t="n">
        <x:f>Model_Data!A212</x:f>
        <x:v>45</x:v>
      </x:c>
      <x:c r="J212" s="40" t="n">
        <x:f>Model_Data!AI212</x:f>
        <x:v>-28.148772737092713</x:v>
      </x:c>
      <x:c r="K212" s="40" t="n">
        <x:f>Model_Data!AK212</x:f>
        <x:v>50.66140602625813</x:v>
      </x:c>
      <x:c r="L212" s="41"/>
      <x:c r="M212" s="40" t="n">
        <x:f>Model_Data!A212</x:f>
        <x:v>45</x:v>
      </x:c>
      <x:c r="N212" s="40" t="n">
        <x:f>Model_Data!P212</x:f>
        <x:v>-336.250833076421</x:v>
      </x:c>
      <x:c r="O212" s="40" t="n">
        <x:f>Model_Data!AM212</x:f>
        <x:v>-377.4024465061302</x:v>
      </x:c>
      <x:c r="P212" s="40" t="n">
        <x:f>Model_Data!Q212</x:f>
        <x:v>-50.48811307453769</x:v>
      </x:c>
      <x:c r="Q212" s="40" t="n">
        <x:f>Model_Data!AN212</x:f>
        <x:v>-56.667034009929466</x:v>
      </x:c>
      <x:c r="R212" s="41"/>
      <x:c r="S212" s="40" t="n">
        <x:f>Model_Data!A212</x:f>
        <x:v>45</x:v>
      </x:c>
      <x:c r="T212" s="40" t="n">
        <x:f>Model_Data!B212-Inputs!$C$5</x:f>
        <x:v>2.25</x:v>
      </x:c>
    </x:row>
    <x:row r="213">
      <x:c r="A213" s="40" t="n">
        <x:f>Model_Data!A213</x:f>
        <x:v>45.5</x:v>
      </x:c>
      <x:c r="B213" s="40" t="n">
        <x:f>Model_Data!F213</x:f>
        <x:v>1874.139056732528</x:v>
      </x:c>
      <x:c r="C213" s="40" t="n">
        <x:f>Model_Data!AC213</x:f>
        <x:v>1851.1191720635638</x:v>
      </x:c>
      <x:c r="D213" s="41"/>
      <x:c r="E213" s="40" t="n">
        <x:f>Model_Data!A213</x:f>
        <x:v>45.5</x:v>
      </x:c>
      <x:c r="F213" s="40" t="n">
        <x:f>Model_Data!Y213</x:f>
        <x:v>56.11467390361598</x:v>
      </x:c>
      <x:c r="G213" s="40" t="n">
        <x:f>Model_Data!X213</x:f>
        <x:v>14.677726446671002</x:v>
      </x:c>
      <x:c r="H213" s="41"/>
      <x:c r="I213" s="40" t="n">
        <x:f>Model_Data!A213</x:f>
        <x:v>45.5</x:v>
      </x:c>
      <x:c r="J213" s="40" t="n">
        <x:f>Model_Data!AI213</x:f>
        <x:v>-23.019884668964096</x:v>
      </x:c>
      <x:c r="K213" s="40" t="n">
        <x:f>Model_Data!AK213</x:f>
        <x:v>41.43694745694498</x:v>
      </x:c>
      <x:c r="L213" s="41"/>
      <x:c r="M213" s="40" t="n">
        <x:f>Model_Data!A213</x:f>
        <x:v>45.5</x:v>
      </x:c>
      <x:c r="N213" s="40" t="n">
        <x:f>Model_Data!P213</x:f>
        <x:v>-339.9184528905128</x:v>
      </x:c>
      <x:c r="O213" s="40" t="n">
        <x:f>Model_Data!AM213</x:f>
        <x:v>-378.7671089642572</x:v>
      </x:c>
      <x:c r="P213" s="40" t="n">
        <x:f>Model_Data!Q213</x:f>
        <x:v>-51.03880674031724</x:v>
      </x:c>
      <x:c r="Q213" s="40" t="n">
        <x:f>Model_Data!AN213</x:f>
        <x:v>-56.871938282921505</x:v>
      </x:c>
      <x:c r="R213" s="41"/>
      <x:c r="S213" s="40" t="n">
        <x:f>Model_Data!A213</x:f>
        <x:v>45.5</x:v>
      </x:c>
      <x:c r="T213" s="40" t="n">
        <x:f>Model_Data!B213-Inputs!$C$5</x:f>
        <x:v>2.300277777777751</x:v>
      </x:c>
    </x:row>
    <x:row r="214">
      <x:c r="A214" s="40" t="n">
        <x:f>Model_Data!A214</x:f>
        <x:v>46</x:v>
      </x:c>
      <x:c r="B214" s="40" t="n">
        <x:f>Model_Data!F214</x:f>
        <x:v>1905.5794840138458</x:v>
      </x:c>
      <x:c r="C214" s="40" t="n">
        <x:f>Model_Data!AC214</x:f>
        <x:v>1887.2323668259735</x:v>
      </x:c>
      <x:c r="D214" s="41"/>
      <x:c r="E214" s="40" t="n">
        <x:f>Model_Data!A214</x:f>
        <x:v>46</x:v>
      </x:c>
      <x:c r="F214" s="40" t="n">
        <x:f>Model_Data!Y214</x:f>
        <x:v>44.32467042294173</x:v>
      </x:c>
      <x:c r="G214" s="40" t="n">
        <x:f>Model_Data!X214</x:f>
        <x:v>11.296216047250368</x:v>
      </x:c>
      <x:c r="H214" s="41"/>
      <x:c r="I214" s="40" t="n">
        <x:f>Model_Data!A214</x:f>
        <x:v>46</x:v>
      </x:c>
      <x:c r="J214" s="40" t="n">
        <x:f>Model_Data!AI214</x:f>
        <x:v>-18.3471171878723</x:v>
      </x:c>
      <x:c r="K214" s="40" t="n">
        <x:f>Model_Data!AK214</x:f>
        <x:v>33.02845437569136</x:v>
      </x:c>
      <x:c r="L214" s="41"/>
      <x:c r="M214" s="40" t="n">
        <x:f>Model_Data!A214</x:f>
        <x:v>46</x:v>
      </x:c>
      <x:c r="N214" s="40" t="n">
        <x:f>Model_Data!P214</x:f>
        <x:v>-343.58385695384493</x:v>
      </x:c>
      <x:c r="O214" s="40" t="n">
        <x:f>Model_Data!AM214</x:f>
        <x:v>-379.13842962016133</x:v>
      </x:c>
      <x:c r="P214" s="40" t="n">
        <x:f>Model_Data!Q214</x:f>
        <x:v>-51.58916771078753</x:v>
      </x:c>
      <x:c r="Q214" s="40" t="n">
        <x:f>Model_Data!AN214</x:f>
        <x:v>-56.92769213515936</x:v>
      </x:c>
      <x:c r="R214" s="41"/>
      <x:c r="S214" s="40" t="n">
        <x:f>Model_Data!A214</x:f>
        <x:v>46</x:v>
      </x:c>
      <x:c r="T214" s="40" t="n">
        <x:f>Model_Data!B214-Inputs!$C$5</x:f>
        <x:v>2.351111111111095</x:v>
      </x:c>
    </x:row>
    <x:row r="215">
      <x:c r="A215" s="40" t="n">
        <x:f>Model_Data!A215</x:f>
        <x:v>46.5</x:v>
      </x:c>
      <x:c r="B215" s="40" t="n">
        <x:f>Model_Data!F215</x:f>
        <x:v>1937.3511102927434</x:v>
      </x:c>
      <x:c r="C215" s="40" t="n">
        <x:f>Model_Data!AC215</x:f>
        <x:v>1923.0949343192365</x:v>
      </x:c>
      <x:c r="D215" s="41"/>
      <x:c r="E215" s="40" t="n">
        <x:f>Model_Data!A215</x:f>
        <x:v>46.5</x:v>
      </x:c>
      <x:c r="F215" s="40" t="n">
        <x:f>Model_Data!Y215</x:f>
        <x:v>33.71780150403367</x:v>
      </x:c>
      <x:c r="G215" s="40" t="n">
        <x:f>Model_Data!X215</x:f>
        <x:v>8.055286971401584</x:v>
      </x:c>
      <x:c r="H215" s="41"/>
      <x:c r="I215" s="40" t="n">
        <x:f>Model_Data!A215</x:f>
        <x:v>46.5</x:v>
      </x:c>
      <x:c r="J215" s="40" t="n">
        <x:f>Model_Data!AI215</x:f>
        <x:v>-14.25617597350697</x:v>
      </x:c>
      <x:c r="K215" s="40" t="n">
        <x:f>Model_Data!AK215</x:f>
        <x:v>25.662514532632088</x:v>
      </x:c>
      <x:c r="L215" s="41"/>
      <x:c r="M215" s="40" t="n">
        <x:f>Model_Data!A215</x:f>
        <x:v>46.5</x:v>
      </x:c>
      <x:c r="N215" s="40" t="n">
        <x:f>Model_Data!P215</x:f>
        <x:v>-347.2470238673663</x:v>
      </x:c>
      <x:c r="O215" s="40" t="n">
        <x:f>Model_Data!AM215</x:f>
        <x:v>-378.6339955551739</x:v>
      </x:c>
      <x:c r="P215" s="40" t="n">
        <x:f>Model_Data!Q215</x:f>
        <x:v>-52.13919277287783</x:v>
      </x:c>
      <x:c r="Q215" s="40" t="n">
        <x:f>Model_Data!AN215</x:f>
        <x:v>-56.85195128456065</x:v>
      </x:c>
      <x:c r="R215" s="41"/>
      <x:c r="S215" s="40" t="n">
        <x:f>Model_Data!A215</x:f>
        <x:v>46.5</x:v>
      </x:c>
      <x:c r="T215" s="40" t="n">
        <x:f>Model_Data!B215-Inputs!$C$5</x:f>
        <x:v>2.402499999999975</x:v>
      </x:c>
    </x:row>
    <x:row r="216">
      <x:c r="A216" s="40" t="n">
        <x:f>Model_Data!A216</x:f>
        <x:v>47</x:v>
      </x:c>
      <x:c r="B216" s="40" t="n">
        <x:f>Model_Data!F216</x:f>
        <x:v>1969.4535409394057</x:v>
      </x:c>
      <x:c r="C216" s="40" t="n">
        <x:f>Model_Data!AC216</x:f>
        <x:v>1958.603353809172</x:v>
      </x:c>
      <x:c r="D216" s="41"/>
      <x:c r="E216" s="40" t="n">
        <x:f>Model_Data!A216</x:f>
        <x:v>47</x:v>
      </x:c>
      <x:c r="F216" s="40" t="n">
        <x:f>Model_Data!Y216</x:f>
        <x:v>24.548995220412312</x:v>
      </x:c>
      <x:c r="G216" s="40" t="n">
        <x:f>Model_Data!X216</x:f>
        <x:v>5.023658988682083</x:v>
      </x:c>
      <x:c r="H216" s="41"/>
      <x:c r="I216" s="40" t="n">
        <x:f>Model_Data!A216</x:f>
        <x:v>47</x:v>
      </x:c>
      <x:c r="J216" s="40" t="n">
        <x:f>Model_Data!AI216</x:f>
        <x:v>-10.850187130233735</x:v>
      </x:c>
      <x:c r="K216" s="40" t="n">
        <x:f>Model_Data!AK216</x:f>
        <x:v>19.52533623173023</x:v>
      </x:c>
      <x:c r="L216" s="41"/>
      <x:c r="M216" s="40" t="n">
        <x:f>Model_Data!A216</x:f>
        <x:v>47</x:v>
      </x:c>
      <x:c r="N216" s="40" t="n">
        <x:f>Model_Data!P216</x:f>
        <x:v>-350.90793232341497</x:v>
      </x:c>
      <x:c r="O216" s="40" t="n">
        <x:f>Model_Data!AM216</x:f>
        <x:v>-377.3984735785234</x:v>
      </x:c>
      <x:c r="P216" s="40" t="n">
        <x:f>Model_Data!Q216</x:f>
        <x:v>-52.68887872723949</x:v>
      </x:c>
      <x:c r="Q216" s="40" t="n">
        <x:f>Model_Data!AN216</x:f>
        <x:v>-56.66643747425277</x:v>
      </x:c>
      <x:c r="R216" s="41"/>
      <x:c r="S216" s="40" t="n">
        <x:f>Model_Data!A216</x:f>
        <x:v>47</x:v>
      </x:c>
      <x:c r="T216" s="40" t="n">
        <x:f>Model_Data!B216-Inputs!$C$5</x:f>
        <x:v>2.454444444444448</x:v>
      </x:c>
    </x:row>
    <x:row r="217">
      <x:c r="A217" s="40" t="n">
        <x:f>Model_Data!A217</x:f>
        <x:v>47.5</x:v>
      </x:c>
      <x:c r="B217" s="40" t="n">
        <x:f>Model_Data!F217</x:f>
        <x:v>2001.8863775912891</x:v>
      </x:c>
      <x:c r="C217" s="40" t="n">
        <x:f>Model_Data!AC217</x:f>
        <x:v>1993.6805858024493</x:v>
      </x:c>
      <x:c r="D217" s="41"/>
      <x:c r="E217" s="40" t="n">
        <x:f>Model_Data!A217</x:f>
        <x:v>47.5</x:v>
      </x:c>
      <x:c r="F217" s="40" t="n">
        <x:f>Model_Data!Y217</x:f>
        <x:v>17.02384877090261</x:v>
      </x:c>
      <x:c r="G217" s="40" t="n">
        <x:f>Model_Data!X217</x:f>
        <x:v>2.2681450694340786</x:v>
      </x:c>
      <x:c r="H217" s="41"/>
      <x:c r="I217" s="40" t="n">
        <x:f>Model_Data!A217</x:f>
        <x:v>47.5</x:v>
      </x:c>
      <x:c r="J217" s="40" t="n">
        <x:f>Model_Data!AI217</x:f>
        <x:v>-8.20579178883986</x:v>
      </x:c>
      <x:c r="K217" s="40" t="n">
        <x:f>Model_Data!AK217</x:f>
        <x:v>14.755703701468532</x:v>
      </x:c>
      <x:c r="L217" s="41"/>
      <x:c r="M217" s="40" t="n">
        <x:f>Model_Data!A217</x:f>
        <x:v>47.5</x:v>
      </x:c>
      <x:c r="N217" s="40" t="n">
        <x:f>Model_Data!P217</x:f>
        <x:v>-354.5665611064348</x:v>
      </x:c>
      <x:c r="O217" s="40" t="n">
        <x:f>Model_Data!AM217</x:f>
        <x:v>-375.59816701914315</x:v>
      </x:c>
      <x:c r="P217" s="40" t="n">
        <x:f>Model_Data!Q217</x:f>
        <x:v>-53.23822238835358</x:v>
      </x:c>
      <x:c r="Q217" s="40" t="n">
        <x:f>Model_Data!AN217</x:f>
        <x:v>-56.396121174045525</x:v>
      </x:c>
      <x:c r="R217" s="41"/>
      <x:c r="S217" s="40" t="n">
        <x:f>Model_Data!A217</x:f>
        <x:v>47.5</x:v>
      </x:c>
      <x:c r="T217" s="40" t="n">
        <x:f>Model_Data!B217-Inputs!$C$5</x:f>
        <x:v>2.506944444444457</x:v>
      </x:c>
    </x:row>
    <x:row r="218">
      <x:c r="A218" s="40" t="n">
        <x:f>Model_Data!A218</x:f>
        <x:v>48</x:v>
      </x:c>
      <x:c r="B218" s="40" t="n">
        <x:f>Model_Data!F218</x:f>
        <x:v>2034.6492181694086</x:v>
      </x:c>
      <x:c r="C218" s="40" t="n">
        <x:f>Model_Data!AC218</x:f>
        <x:v>2028.278879837163</x:v>
      </x:c>
      <x:c r="D218" s="41"/>
      <x:c r="E218" s="40" t="n">
        <x:f>Model_Data!A218</x:f>
        <x:v>48</x:v>
      </x:c>
      <x:c r="F218" s="40" t="n">
        <x:f>Model_Data!Y218</x:f>
        <x:v>11.292691586182919</x:v>
      </x:c>
      <x:c r="G218" s="40" t="n">
        <x:f>Model_Data!X218</x:f>
        <x:v>-0.14720351288510702</x:v>
      </x:c>
      <x:c r="H218" s="41"/>
      <x:c r="I218" s="40" t="n">
        <x:f>Model_Data!A218</x:f>
        <x:v>48</x:v>
      </x:c>
      <x:c r="J218" s="40" t="n">
        <x:f>Model_Data!AI218</x:f>
        <x:v>-6.3703383322456375</x:v>
      </x:c>
      <x:c r="K218" s="40" t="n">
        <x:f>Model_Data!AK218</x:f>
        <x:v>11.439895099068025</x:v>
      </x:c>
      <x:c r="L218" s="41"/>
      <x:c r="M218" s="40" t="n">
        <x:f>Model_Data!A218</x:f>
        <x:v>48</x:v>
      </x:c>
      <x:c r="N218" s="40" t="n">
        <x:f>Model_Data!P218</x:f>
        <x:v>-358.22288909368314</x:v>
      </x:c>
      <x:c r="O218" s="40" t="n">
        <x:f>Model_Data!AM218</x:f>
        <x:v>-373.41493954018006</x:v>
      </x:c>
      <x:c r="P218" s="40" t="n">
        <x:f>Model_Data!Q218</x:f>
        <x:v>-53.78722058463711</x:v>
      </x:c>
      <x:c r="Q218" s="40" t="n">
        <x:f>Model_Data!AN218</x:f>
        <x:v>-56.06830924026728</x:v>
      </x:c>
      <x:c r="R218" s="41"/>
      <x:c r="S218" s="40" t="n">
        <x:f>Model_Data!A218</x:f>
        <x:v>48</x:v>
      </x:c>
      <x:c r="T218" s="40" t="n">
        <x:f>Model_Data!B218-Inputs!$C$5</x:f>
        <x:v>2.5600000000000023</x:v>
      </x:c>
    </x:row>
    <x:row r="219">
      <x:c r="A219" s="40" t="n">
        <x:f>Model_Data!A219</x:f>
        <x:v>48.5</x:v>
      </x:c>
      <x:c r="B219" s="40" t="n">
        <x:f>Model_Data!F219</x:f>
        <x:v>2067.7416568945596</x:v>
      </x:c>
      <x:c r="C219" s="40" t="n">
        <x:f>Model_Data!AC219</x:f>
        <x:v>2062.381378786171</x:v>
      </x:c>
      <x:c r="D219" s="41"/>
      <x:c r="E219" s="40" t="n">
        <x:f>Model_Data!A219</x:f>
        <x:v>48.5</x:v>
      </x:c>
      <x:c r="F219" s="40" t="n">
        <x:f>Model_Data!Y219</x:f>
        <x:v>7.446640702770427</x:v>
      </x:c>
      <x:c r="G219" s="40" t="n">
        <x:f>Model_Data!X219</x:f>
        <x:v>-2.1621139655556783</x:v>
      </x:c>
      <x:c r="H219" s="41"/>
      <x:c r="I219" s="40" t="n">
        <x:f>Model_Data!A219</x:f>
        <x:v>48.5</x:v>
      </x:c>
      <x:c r="J219" s="40" t="n">
        <x:f>Model_Data!AI219</x:f>
        <x:v>-5.360278108388684</x:v>
      </x:c>
      <x:c r="K219" s="40" t="n">
        <x:f>Model_Data!AK219</x:f>
        <x:v>9.608754668326105</x:v>
      </x:c>
      <x:c r="L219" s="41"/>
      <x:c r="M219" s="40" t="n">
        <x:f>Model_Data!A219</x:f>
        <x:v>48.5</x:v>
      </x:c>
      <x:c r="N219" s="40" t="n">
        <x:f>Model_Data!P219</x:f>
        <x:v>-361.87689525593146</x:v>
      </x:c>
      <x:c r="O219" s="40" t="n">
        <x:f>Model_Data!AM219</x:f>
        <x:v>-371.03973545645204</x:v>
      </x:c>
      <x:c r="P219" s="40" t="n">
        <x:f>Model_Data!Q219</x:f>
        <x:v>-54.335870158548275</x:v>
      </x:c>
      <x:c r="Q219" s="40" t="n">
        <x:f>Model_Data!AN219</x:f>
        <x:v>-55.71167199045827</x:v>
      </x:c>
      <x:c r="R219" s="41"/>
      <x:c r="S219" s="40" t="n">
        <x:f>Model_Data!A219</x:f>
        <x:v>48.5</x:v>
      </x:c>
      <x:c r="T219" s="40" t="n">
        <x:f>Model_Data!B219-Inputs!$C$5</x:f>
        <x:v>2.6136111111110836</x:v>
      </x:c>
    </x:row>
    <x:row r="220">
      <x:c r="A220" s="40" t="n">
        <x:f>Model_Data!A220</x:f>
        <x:v>49</x:v>
      </x:c>
      <x:c r="B220" s="40" t="n">
        <x:f>Model_Data!F220</x:f>
        <x:v>2101.1632843038606</x:v>
      </x:c>
      <x:c r="C220" s="40" t="n">
        <x:f>Model_Data!AC220</x:f>
        <x:v>2096.0024641064574</x:v>
      </x:c>
      <x:c r="D220" s="41"/>
      <x:c r="E220" s="40" t="n">
        <x:f>Model_Data!A220</x:f>
        <x:v>49</x:v>
      </x:c>
      <x:c r="F220" s="40" t="n">
        <x:f>Model_Data!Y220</x:f>
        <x:v>5.51574023059921</x:v>
      </x:c>
      <x:c r="G220" s="40" t="n">
        <x:f>Model_Data!X220</x:f>
        <x:v>-3.7212803960716743</x:v>
      </x:c>
      <x:c r="H220" s="41"/>
      <x:c r="I220" s="40" t="n">
        <x:f>Model_Data!A220</x:f>
        <x:v>49</x:v>
      </x:c>
      <x:c r="J220" s="40" t="n">
        <x:f>Model_Data!AI220</x:f>
        <x:v>-5.1608201974031545</x:v>
      </x:c>
      <x:c r="K220" s="40" t="n">
        <x:f>Model_Data!AK220</x:f>
        <x:v>9.237020626670883</x:v>
      </x:c>
      <x:c r="L220" s="41"/>
      <x:c r="M220" s="40" t="n">
        <x:f>Model_Data!A220</x:f>
        <x:v>49</x:v>
      </x:c>
      <x:c r="N220" s="40" t="n">
        <x:f>Model_Data!P220</x:f>
        <x:v>-365.5285586581568</x:v>
      </x:c>
      <x:c r="O220" s="40" t="n">
        <x:f>Model_Data!AM220</x:f>
        <x:v>-368.66593524882774</x:v>
      </x:c>
      <x:c r="P220" s="40" t="n">
        <x:f>Model_Data!Q220</x:f>
        <x:v>-54.884167966690214</x:v>
      </x:c>
      <x:c r="Q220" s="40" t="n">
        <x:f>Model_Data!AN220</x:f>
        <x:v>-55.35524553285702</x:v>
      </x:c>
      <x:c r="R220" s="41"/>
      <x:c r="S220" s="40" t="n">
        <x:f>Model_Data!A220</x:f>
        <x:v>49</x:v>
      </x:c>
      <x:c r="T220" s="40" t="n">
        <x:f>Model_Data!B220-Inputs!$C$5</x:f>
        <x:v>2.667777777777758</x:v>
      </x:c>
    </x:row>
    <x:row r="221">
      <x:c r="A221" s="40" t="n">
        <x:f>Model_Data!A221</x:f>
        <x:v>49.5</x:v>
      </x:c>
      <x:c r="B221" s="40" t="n">
        <x:f>Model_Data!F221</x:f>
        <x:v>2134.9136872674544</x:v>
      </x:c>
      <x:c r="C221" s="40" t="n">
        <x:f>Model_Data!AC221</x:f>
        <x:v>2129.186838743859</x:v>
      </x:c>
      <x:c r="D221" s="41"/>
      <x:c r="E221" s="40" t="n">
        <x:f>Model_Data!A221</x:f>
        <x:v>49.5</x:v>
      </x:c>
      <x:c r="F221" s="40" t="n">
        <x:f>Model_Data!Y221</x:f>
        <x:v>5.469200896391602</x:v>
      </x:c>
      <x:c r="G221" s="40" t="n">
        <x:f>Model_Data!X221</x:f>
        <x:v>-4.7757158824539765</x:v>
      </x:c>
      <x:c r="H221" s="41"/>
      <x:c r="I221" s="40" t="n">
        <x:f>Model_Data!A221</x:f>
        <x:v>49.5</x:v>
      </x:c>
      <x:c r="J221" s="40" t="n">
        <x:f>Model_Data!AI221</x:f>
        <x:v>-5.726848523595436</x:v>
      </x:c>
      <x:c r="K221" s="40" t="n">
        <x:f>Model_Data!AK221</x:f>
        <x:v>10.244916778845578</x:v>
      </x:c>
      <x:c r="L221" s="41"/>
      <x:c r="M221" s="40" t="n">
        <x:f>Model_Data!A221</x:f>
        <x:v>49.5</x:v>
      </x:c>
      <x:c r="N221" s="40" t="n">
        <x:f>Model_Data!P221</x:f>
        <x:v>-369.17785846022554</x:v>
      </x:c>
      <x:c r="O221" s="40" t="n">
        <x:f>Model_Data!AM221</x:f>
        <x:v>-366.4827851181144</x:v>
      </x:c>
      <x:c r="P221" s="40" t="n">
        <x:f>Model_Data!Q221</x:f>
        <x:v>-55.43211087991375</x:v>
      </x:c>
      <x:c r="Q221" s="40" t="n">
        <x:f>Model_Data!AN221</x:f>
        <x:v>-55.0274452129301</x:v>
      </x:c>
      <x:c r="R221" s="41"/>
      <x:c r="S221" s="40" t="n">
        <x:f>Model_Data!A221</x:f>
        <x:v>49.5</x:v>
      </x:c>
      <x:c r="T221" s="40" t="n">
        <x:f>Model_Data!B221-Inputs!$C$5</x:f>
        <x:v>2.722500000000025</x:v>
      </x:c>
    </x:row>
    <x:row r="222">
      <x:c r="A222" s="40" t="n">
        <x:f>Model_Data!A222</x:f>
        <x:v>50</x:v>
      </x:c>
      <x:c r="B222" s="40" t="n">
        <x:f>Model_Data!F222</x:f>
        <x:v>2168.9924490050507</x:v>
      </x:c>
      <x:c r="C222" s="40" t="n">
        <x:f>Model_Data!AC222</x:f>
        <x:v>2162.007396469406</x:v>
      </x:c>
      <x:c r="D222" s="41"/>
      <x:c r="E222" s="40" t="n">
        <x:f>Model_Data!A222</x:f>
        <x:v>50</x:v>
      </x:c>
      <x:c r="F222" s="40" t="n">
        <x:f>Model_Data!Y222</x:f>
        <x:v>7.217681091586282</x:v>
      </x:c>
      <x:c r="G222" s="40" t="n">
        <x:f>Model_Data!X222</x:f>
        <x:v>-5.284241488807525</x:v>
      </x:c>
      <x:c r="H222" s="41"/>
      <x:c r="I222" s="40" t="n">
        <x:f>Model_Data!A222</x:f>
        <x:v>50</x:v>
      </x:c>
      <x:c r="J222" s="40" t="n">
        <x:f>Model_Data!AI222</x:f>
        <x:v>-6.985052535644627</x:v>
      </x:c>
      <x:c r="K222" s="40" t="n">
        <x:f>Model_Data!AK222</x:f>
        <x:v>12.501922580393806</x:v>
      </x:c>
      <x:c r="L222" s="41"/>
      <x:c r="M222" s="40" t="n">
        <x:f>Model_Data!A222</x:f>
        <x:v>50</x:v>
      </x:c>
      <x:c r="N222" s="40" t="n">
        <x:f>Model_Data!P222</x:f>
        <x:v>-372.8247739175692</x:v>
      </x:c>
      <x:c r="O222" s="40" t="n">
        <x:f>Model_Data!AM222</x:f>
        <x:v>-364.6691306892535</x:v>
      </x:c>
      <x:c r="P222" s="40" t="n">
        <x:f>Model_Data!Q222</x:f>
        <x:v>-55.979695783418805</x:v>
      </x:c>
      <x:c r="Q222" s="40" t="n">
        <x:f>Model_Data!AN222</x:f>
        <x:v>-54.755124728116144</x:v>
      </x:c>
      <x:c r="R222" s="41"/>
      <x:c r="S222" s="40" t="n">
        <x:f>Model_Data!A222</x:f>
        <x:v>50</x:v>
      </x:c>
      <x:c r="T222" s="40" t="n">
        <x:f>Model_Data!B222-Inputs!$C$5</x:f>
        <x:v>2.7777777777777715</x:v>
      </x:c>
    </x:row>
    <x:row r="223">
      <x:c r="A223" s="40" t="n">
        <x:f>Model_Data!A223</x:f>
        <x:v>50.5</x:v>
      </x:c>
      <x:c r="B223" s="40" t="n">
        <x:f>Model_Data!F223</x:f>
        <x:v>2203.39914910282</x:v>
      </x:c>
      <x:c r="C223" s="40" t="n">
        <x:f>Model_Data!AC223</x:f>
        <x:v>2194.5619760861628</x:v>
      </x:c>
      <x:c r="D223" s="41"/>
      <x:c r="E223" s="40" t="n">
        <x:f>Model_Data!A223</x:f>
        <x:v>50.5</x:v>
      </x:c>
      <x:c r="F223" s="40" t="n">
        <x:f>Model_Data!Y223</x:f>
        <x:v>10.617480325471728</x:v>
      </x:c>
      <x:c r="G223" s="40" t="n">
        <x:f>Model_Data!X223</x:f>
        <x:v>-5.215066982826331</x:v>
      </x:c>
      <x:c r="H223" s="41"/>
      <x:c r="I223" s="40" t="n">
        <x:f>Model_Data!A223</x:f>
        <x:v>50.5</x:v>
      </x:c>
      <x:c r="J223" s="40" t="n">
        <x:f>Model_Data!AI223</x:f>
        <x:v>-8.837173016657289</x:v>
      </x:c>
      <x:c r="K223" s="40" t="n">
        <x:f>Model_Data!AK223</x:f>
        <x:v>15.832547308298059</x:v>
      </x:c>
      <x:c r="L223" s="41"/>
      <x:c r="M223" s="40" t="n">
        <x:f>Model_Data!A223</x:f>
        <x:v>50.5</x:v>
      </x:c>
      <x:c r="N223" s="40" t="n">
        <x:f>Model_Data!P223</x:f>
        <x:v>-376.4692843818514</x:v>
      </x:c>
      <x:c r="O223" s="40" t="n">
        <x:f>Model_Data!AM223</x:f>
        <x:v>-363.3876679200512</x:v>
      </x:c>
      <x:c r="P223" s="40" t="n">
        <x:f>Model_Data!Q223</x:f>
        <x:v>-56.526919576854574</x:v>
      </x:c>
      <x:c r="Q223" s="40" t="n">
        <x:f>Model_Data!AN223</x:f>
        <x:v>-54.562712900908586</x:v>
      </x:c>
      <x:c r="R223" s="41"/>
      <x:c r="S223" s="40" t="n">
        <x:f>Model_Data!A223</x:f>
        <x:v>50.5</x:v>
      </x:c>
      <x:c r="T223" s="40" t="n">
        <x:f>Model_Data!B223-Inputs!$C$5</x:f>
        <x:v>2.833611111111111</x:v>
      </x:c>
    </x:row>
    <x:row r="224">
      <x:c r="A224" s="40" t="n">
        <x:f>Model_Data!A224</x:f>
        <x:v>51</x:v>
      </x:c>
      <x:c r="B224" s="40" t="n">
        <x:f>Model_Data!F224</x:f>
        <x:v>2238.133363530445</x:v>
      </x:c>
      <x:c r="C224" s="40" t="n">
        <x:f>Model_Data!AC224</x:f>
        <x:v>2226.969144147892</x:v>
      </x:c>
      <x:c r="D224" s="41"/>
      <x:c r="E224" s="40" t="n">
        <x:f>Model_Data!A224</x:f>
        <x:v>51</x:v>
      </x:c>
      <x:c r="F224" s="40" t="n">
        <x:f>Model_Data!Y224</x:f>
        <x:v>15.47645199571049</x:v>
      </x:c>
      <x:c r="G224" s="40" t="n">
        <x:f>Model_Data!X224</x:f>
        <x:v>-4.5474008489417015</x:v>
      </x:c>
      <x:c r="H224" s="41"/>
      <x:c r="I224" s="40" t="n">
        <x:f>Model_Data!A224</x:f>
        <x:v>51</x:v>
      </x:c>
      <x:c r="J224" s="40" t="n">
        <x:f>Model_Data!AI224</x:f>
        <x:v>-11.164219382552801</x:v>
      </x:c>
      <x:c r="K224" s="40" t="n">
        <x:f>Model_Data!AK224</x:f>
        <x:v>20.02385284465219</x:v>
      </x:c>
      <x:c r="L224" s="41"/>
      <x:c r="M224" s="40" t="n">
        <x:f>Model_Data!A224</x:f>
        <x:v>51</x:v>
      </x:c>
      <x:c r="N224" s="40" t="n">
        <x:f>Model_Data!P224</x:f>
        <x:v>-380.1113693016265</x:v>
      </x:c>
      <x:c r="O224" s="40" t="n">
        <x:f>Model_Data!AM224</x:f>
        <x:v>-362.7798997589707</x:v>
      </x:c>
      <x:c r="P224" s="40" t="n">
        <x:f>Model_Data!Q224</x:f>
        <x:v>-57.0737791744184</x:v>
      </x:c>
      <x:c r="Q224" s="40" t="n">
        <x:f>Model_Data!AN224</x:f>
        <x:v>-54.47145642026588</x:v>
      </x:c>
      <x:c r="R224" s="41"/>
      <x:c r="S224" s="40" t="n">
        <x:f>Model_Data!A224</x:f>
        <x:v>51</x:v>
      </x:c>
      <x:c r="T224" s="40" t="n">
        <x:f>Model_Data!B224-Inputs!$C$5</x:f>
        <x:v>2.8899999999999864</x:v>
      </x:c>
    </x:row>
    <x:row r="225">
      <x:c r="A225" s="40" t="n">
        <x:f>Model_Data!A225</x:f>
        <x:v>51.5</x:v>
      </x:c>
      <x:c r="B225" s="40" t="n">
        <x:f>Model_Data!F225</x:f>
        <x:v>2273.194664658047</x:v>
      </x:c>
      <x:c r="C225" s="40" t="n">
        <x:f>Model_Data!AC225</x:f>
        <x:v>2259.3631886965713</x:v>
      </x:c>
      <x:c r="D225" s="41"/>
      <x:c r="E225" s="40" t="n">
        <x:f>Model_Data!A225</x:f>
        <x:v>51.5</x:v>
      </x:c>
      <x:c r="F225" s="40" t="n">
        <x:f>Model_Data!Y225</x:f>
        <x:v>21.561387140863644</x:v>
      </x:c>
      <x:c r="G225" s="40" t="n">
        <x:f>Model_Data!X225</x:f>
        <x:v>-3.2730125523154205</x:v>
      </x:c>
      <x:c r="H225" s="41"/>
      <x:c r="I225" s="40" t="n">
        <x:f>Model_Data!A225</x:f>
        <x:v>51.5</x:v>
      </x:c>
      <x:c r="J225" s="40" t="n">
        <x:f>Model_Data!AI225</x:f>
        <x:v>-13.831475961475462</x:v>
      </x:c>
      <x:c r="K225" s="40" t="n">
        <x:f>Model_Data!AK225</x:f>
        <x:v>24.834399693179066</x:v>
      </x:c>
      <x:c r="L225" s="41"/>
      <x:c r="M225" s="40" t="n">
        <x:f>Model_Data!A225</x:f>
        <x:v>51.5</x:v>
      </x:c>
      <x:c r="N225" s="40" t="n">
        <x:f>Model_Data!P225</x:f>
        <x:v>-383.75100822299083</x:v>
      </x:c>
      <x:c r="O225" s="40" t="n">
        <x:f>Model_Data!AM225</x:f>
        <x:v>-362.96195624163374</x:v>
      </x:c>
      <x:c r="P225" s="40" t="n">
        <x:f>Model_Data!Q225</x:f>
        <x:v>-57.62027150495358</x:v>
      </x:c>
      <x:c r="Q225" s="40" t="n">
        <x:f>Model_Data!AN225</x:f>
        <x:v>-54.49879222847354</x:v>
      </x:c>
      <x:c r="R225" s="41"/>
      <x:c r="S225" s="40" t="n">
        <x:f>Model_Data!A225</x:f>
        <x:v>51.5</x:v>
      </x:c>
      <x:c r="T225" s="40" t="n">
        <x:f>Model_Data!B225-Inputs!$C$5</x:f>
        <x:v>2.946944444444455</x:v>
      </x:c>
    </x:row>
    <x:row r="226">
      <x:c r="A226" s="40" t="n">
        <x:f>Model_Data!A226</x:f>
        <x:v>52</x:v>
      </x:c>
      <x:c r="B226" s="40" t="n">
        <x:f>Model_Data!F226</x:f>
        <x:v>2308.5826212735265</x:v>
      </x:c>
      <x:c r="C226" s="40" t="n">
        <x:f>Model_Data!AC226</x:f>
        <x:v>2291.888537470882</x:v>
      </x:c>
      <x:c r="D226" s="41"/>
      <x:c r="E226" s="40" t="n">
        <x:f>Model_Data!A226</x:f>
        <x:v>52</x:v>
      </x:c>
      <x:c r="F226" s="40" t="n">
        <x:f>Model_Data!Y226</x:f>
        <x:v>28.606576142882343</x:v>
      </x:c>
      <x:c r="G226" s="40" t="n">
        <x:f>Model_Data!X226</x:f>
        <x:v>-1.397658940554857</x:v>
      </x:c>
      <x:c r="H226" s="41"/>
      <x:c r="I226" s="40" t="n">
        <x:f>Model_Data!A226</x:f>
        <x:v>52</x:v>
      </x:c>
      <x:c r="J226" s="40" t="n">
        <x:f>Model_Data!AI226</x:f>
        <x:v>-16.6940838026444</x:v>
      </x:c>
      <x:c r="K226" s="40" t="n">
        <x:f>Model_Data!AK226</x:f>
        <x:v>30.0042350834372</x:v>
      </x:c>
      <x:c r="L226" s="41"/>
      <x:c r="M226" s="40" t="n">
        <x:f>Model_Data!A226</x:f>
        <x:v>52</x:v>
      </x:c>
      <x:c r="N226" s="40" t="n">
        <x:f>Model_Data!P226</x:f>
        <x:v>-387.38818079022377</x:v>
      </x:c>
      <x:c r="O226" s="40" t="n">
        <x:f>Model_Data!AM226</x:f>
        <x:v>-364.02139988676936</x:v>
      </x:c>
      <x:c r="P226" s="40" t="n">
        <x:f>Model_Data!Q226</x:f>
        <x:v>-58.166393512045616</x:v>
      </x:c>
      <x:c r="Q226" s="40" t="n">
        <x:f>Model_Data!AN226</x:f>
        <x:v>-54.657867850866275</x:v>
      </x:c>
      <x:c r="R226" s="41"/>
      <x:c r="S226" s="40" t="n">
        <x:f>Model_Data!A226</x:f>
        <x:v>52</x:v>
      </x:c>
      <x:c r="T226" s="40" t="n">
        <x:f>Model_Data!B226-Inputs!$C$5</x:f>
        <x:v>3.0044444444444594</x:v>
      </x:c>
    </x:row>
    <x:row r="227">
      <x:c r="A227" s="40" t="n">
        <x:f>Model_Data!A227</x:f>
        <x:v>52.5</x:v>
      </x:c>
      <x:c r="B227" s="40" t="n">
        <x:f>Model_Data!F227</x:f>
        <x:v>2344.296798599615</x:v>
      </x:c>
      <x:c r="C227" s="40" t="n">
        <x:f>Model_Data!AC227</x:f>
        <x:v>2324.69383581494</x:v>
      </x:c>
      <x:c r="D227" s="41"/>
      <x:c r="E227" s="40" t="n">
        <x:f>Model_Data!A227</x:f>
        <x:v>52.5</x:v>
      </x:c>
      <x:c r="F227" s="40" t="n">
        <x:f>Model_Data!Y227</x:f>
        <x:v>36.32322255991018</x:v>
      </x:c>
      <x:c r="G227" s="40" t="n">
        <x:f>Model_Data!X227</x:f>
        <x:v>1.057719944677313</x:v>
      </x:c>
      <x:c r="H227" s="41"/>
      <x:c r="I227" s="40" t="n">
        <x:f>Model_Data!A227</x:f>
        <x:v>52.5</x:v>
      </x:c>
      <x:c r="J227" s="40" t="n">
        <x:f>Model_Data!AI227</x:f>
        <x:v>-19.602962784675128</x:v>
      </x:c>
      <x:c r="K227" s="40" t="n">
        <x:f>Model_Data!AK227</x:f>
        <x:v>35.26550261523286</x:v>
      </x:c>
      <x:c r="L227" s="41"/>
      <x:c r="M227" s="40" t="n">
        <x:f>Model_Data!A227</x:f>
        <x:v>52.5</x:v>
      </x:c>
      <x:c r="N227" s="40" t="n">
        <x:f>Model_Data!P227</x:f>
        <x:v>-391.02286674642266</x:v>
      </x:c>
      <x:c r="O227" s="40" t="n">
        <x:f>Model_Data!AM227</x:f>
        <x:v>-366.01509893862385</x:v>
      </x:c>
      <x:c r="P227" s="40" t="n">
        <x:f>Model_Data!Q227</x:f>
        <x:v>-58.71214215411752</x:v>
      </x:c>
      <x:c r="Q227" s="40" t="n">
        <x:f>Model_Data!AN227</x:f>
        <x:v>-54.95722206285644</x:v>
      </x:c>
      <x:c r="R227" s="41"/>
      <x:c r="S227" s="40" t="n">
        <x:f>Model_Data!A227</x:f>
        <x:v>52.5</x:v>
      </x:c>
      <x:c r="T227" s="40" t="n">
        <x:f>Model_Data!B227-Inputs!$C$5</x:f>
        <x:v>3.0625</x:v>
      </x:c>
    </x:row>
    <x:row r="228">
      <x:c r="A228" s="40" t="n">
        <x:f>Model_Data!A228</x:f>
        <x:v>53</x:v>
      </x:c>
      <x:c r="B228" s="40" t="n">
        <x:f>Model_Data!F228</x:f>
        <x:v>2380.3367583116014</x:v>
      </x:c>
      <x:c r="C228" s="40" t="n">
        <x:f>Model_Data!AC228</x:f>
        <x:v>2357.92593127711</x:v>
      </x:c>
      <x:c r="D228" s="41"/>
      <x:c r="E228" s="40" t="n">
        <x:f>Model_Data!A228</x:f>
        <x:v>53</x:v>
      </x:c>
      <x:c r="F228" s="40" t="n">
        <x:f>Model_Data!Y228</x:f>
        <x:v>44.40936325603966</x:v>
      </x:c>
      <x:c r="G228" s="40" t="n">
        <x:f>Model_Data!X228</x:f>
        <x:v>4.056131864573157</x:v>
      </x:c>
      <x:c r="H228" s="41"/>
      <x:c r="I228" s="40" t="n">
        <x:f>Model_Data!A228</x:f>
        <x:v>53</x:v>
      </x:c>
      <x:c r="J228" s="40" t="n">
        <x:f>Model_Data!AI228</x:f>
        <x:v>-22.410827034491376</x:v>
      </x:c>
      <x:c r="K228" s="40" t="n">
        <x:f>Model_Data!AK228</x:f>
        <x:v>40.35323139146651</x:v>
      </x:c>
      <x:c r="L228" s="41"/>
      <x:c r="M228" s="40" t="n">
        <x:f>Model_Data!A228</x:f>
        <x:v>53</x:v>
      </x:c>
      <x:c r="N228" s="40" t="n">
        <x:f>Model_Data!P228</x:f>
        <x:v>-394.6550459341274</x:v>
      </x:c>
      <x:c r="O228" s="40" t="n">
        <x:f>Model_Data!AM228</x:f>
        <x:v>-368.9682098191952</x:v>
      </x:c>
      <x:c r="P228" s="40" t="n">
        <x:f>Model_Data!Q228</x:f>
        <x:v>-59.25751440452363</x:v>
      </x:c>
      <x:c r="Q228" s="40" t="n">
        <x:f>Model_Data!AN228</x:f>
        <x:v>-55.40063210498427</x:v>
      </x:c>
      <x:c r="R228" s="41"/>
      <x:c r="S228" s="40" t="n">
        <x:f>Model_Data!A228</x:f>
        <x:v>53</x:v>
      </x:c>
      <x:c r="T228" s="40" t="n">
        <x:f>Model_Data!B228-Inputs!$C$5</x:f>
        <x:v>3.1211111111111336</x:v>
      </x:c>
    </x:row>
    <x:row r="229">
      <x:c r="A229" s="40" t="n">
        <x:f>Model_Data!A229</x:f>
        <x:v>53.5</x:v>
      </x:c>
      <x:c r="B229" s="40" t="n">
        <x:f>Model_Data!F229</x:f>
        <x:v>2416.7020585545083</x:v>
      </x:c>
      <x:c r="C229" s="40" t="n">
        <x:f>Model_Data!AC229</x:f>
        <x:v>2391.72401321457</x:v>
      </x:c>
      <x:c r="D229" s="41"/>
      <x:c r="E229" s="40" t="n">
        <x:f>Model_Data!A229</x:f>
        <x:v>53.5</x:v>
      </x:c>
      <x:c r="F229" s="40" t="n">
        <x:f>Model_Data!Y229</x:f>
        <x:v>52.559942106016294</x:v>
      </x:c>
      <x:c r="G229" s="40" t="n">
        <x:f>Model_Data!X229</x:f>
        <x:v>7.54408235684131</x:v>
      </x:c>
      <x:c r="H229" s="41"/>
      <x:c r="I229" s="40" t="n">
        <x:f>Model_Data!A229</x:f>
        <x:v>53.5</x:v>
      </x:c>
      <x:c r="J229" s="40" t="n">
        <x:f>Model_Data!AI229</x:f>
        <x:v>-24.97804533993849</x:v>
      </x:c>
      <x:c r="K229" s="40" t="n">
        <x:f>Model_Data!AK229</x:f>
        <x:v>45.015859749174986</x:v>
      </x:c>
      <x:c r="L229" s="41"/>
      <x:c r="M229" s="40" t="n">
        <x:f>Model_Data!A229</x:f>
        <x:v>53.5</x:v>
      </x:c>
      <x:c r="N229" s="40" t="n">
        <x:f>Model_Data!P229</x:f>
        <x:v>-398.28469829593723</x:v>
      </x:c>
      <x:c r="O229" s="40" t="n">
        <x:f>Model_Data!AM229</x:f>
        <x:v>-372.87426874372613</x:v>
      </x:c>
      <x:c r="P229" s="40" t="n">
        <x:f>Model_Data!Q229</x:f>
        <x:v>-59.80250725164223</x:v>
      </x:c>
      <x:c r="Q229" s="40" t="n">
        <x:f>Model_Data!AN229</x:f>
        <x:v>-55.98712743899792</x:v>
      </x:c>
      <x:c r="R229" s="41"/>
      <x:c r="S229" s="40" t="n">
        <x:f>Model_Data!A229</x:f>
        <x:v>53.5</x:v>
      </x:c>
      <x:c r="T229" s="40" t="n">
        <x:f>Model_Data!B229-Inputs!$C$5</x:f>
        <x:v>3.1802777777778033</x:v>
      </x:c>
    </x:row>
    <x:row r="230">
      <x:c r="A230" s="40" t="n">
        <x:f>Model_Data!A230</x:f>
        <x:v>54</x:v>
      </x:c>
      <x:c r="B230" s="40" t="n">
        <x:f>Model_Data!F230</x:f>
        <x:v>2453.3922539609484</x:v>
      </x:c>
      <x:c r="C230" s="40" t="n">
        <x:f>Model_Data!AC230</x:f>
        <x:v>2426.214146637155</x:v>
      </x:c>
      <x:c r="D230" s="41"/>
      <x:c r="E230" s="40" t="n">
        <x:f>Model_Data!A230</x:f>
        <x:v>54</x:v>
      </x:c>
      <x:c r="F230" s="40" t="n">
        <x:f>Model_Data!Y230</x:f>
        <x:v>60.476690627263174</x:v>
      </x:c>
      <x:c r="G230" s="40" t="n">
        <x:f>Model_Data!X230</x:f>
        <x:v>11.451626129494453</x:v>
      </x:c>
      <x:c r="H230" s="41"/>
      <x:c r="I230" s="40" t="n">
        <x:f>Model_Data!A230</x:f>
        <x:v>54</x:v>
      </x:c>
      <x:c r="J230" s="40" t="n">
        <x:f>Model_Data!AI230</x:f>
        <x:v>-27.178107323793483</x:v>
      </x:c>
      <x:c r="K230" s="40" t="n">
        <x:f>Model_Data!AK230</x:f>
        <x:v>49.025064497768724</x:v>
      </x:c>
      <x:c r="L230" s="41"/>
      <x:c r="M230" s="40" t="n">
        <x:f>Model_Data!A230</x:f>
        <x:v>54</x:v>
      </x:c>
      <x:c r="N230" s="40" t="n">
        <x:f>Model_Data!P230</x:f>
        <x:v>-401.9118038751195</x:v>
      </x:c>
      <x:c r="O230" s="40" t="n">
        <x:f>Model_Data!AM230</x:f>
        <x:v>-377.69635238300907</x:v>
      </x:c>
      <x:c r="P230" s="40" t="n">
        <x:f>Model_Data!Q230</x:f>
        <x:v>-60.347117698966905</x:v>
      </x:c>
      <x:c r="Q230" s="40" t="n">
        <x:f>Model_Data!AN230</x:f>
        <x:v>-56.71116402147284</x:v>
      </x:c>
      <x:c r="R230" s="41"/>
      <x:c r="S230" s="40" t="n">
        <x:f>Model_Data!A230</x:f>
        <x:v>54</x:v>
      </x:c>
      <x:c r="T230" s="40" t="n">
        <x:f>Model_Data!B230-Inputs!$C$5</x:f>
        <x:v>3.240000000000009</x:v>
      </x:c>
    </x:row>
    <x:row r="231">
      <x:c r="A231" s="40" t="n">
        <x:f>Model_Data!A231</x:f>
        <x:v>54.5</x:v>
      </x:c>
      <x:c r="B231" s="40" t="n">
        <x:f>Model_Data!F231</x:f>
        <x:v>2490.406895668812</x:v>
      </x:c>
      <x:c r="C231" s="40" t="n">
        <x:f>Model_Data!AC231</x:f>
        <x:v>2461.5044204984565</x:v>
      </x:c>
      <x:c r="D231" s="41"/>
      <x:c r="E231" s="40" t="n">
        <x:f>Model_Data!A231</x:f>
        <x:v>54.5</x:v>
      </x:c>
      <x:c r="F231" s="40" t="n">
        <x:f>Model_Data!Y231</x:f>
        <x:v>67.8774872749263</x:v>
      </x:c>
      <x:c r="G231" s="40" t="n">
        <x:f>Model_Data!X231</x:f>
        <x:v>15.692987082730703</x:v>
      </x:c>
      <x:c r="H231" s="41"/>
      <x:c r="I231" s="40" t="n">
        <x:f>Model_Data!A231</x:f>
        <x:v>54.5</x:v>
      </x:c>
      <x:c r="J231" s="40" t="n">
        <x:f>Model_Data!AI231</x:f>
        <x:v>-28.9024751703555</x:v>
      </x:c>
      <x:c r="K231" s="40" t="n">
        <x:f>Model_Data!AK231</x:f>
        <x:v>52.18450019219559</x:v>
      </x:c>
      <x:c r="L231" s="41"/>
      <x:c r="M231" s="40" t="n">
        <x:f>Model_Data!A231</x:f>
        <x:v>54.5</x:v>
      </x:c>
      <x:c r="N231" s="40" t="n">
        <x:f>Model_Data!P231</x:f>
        <x:v>-405.5363428162093</x:v>
      </x:c>
      <x:c r="O231" s="40" t="n">
        <x:f>Model_Data!AM231</x:f>
        <x:v>-383.36923024999123</x:v>
      </x:c>
      <x:c r="P231" s="40" t="n">
        <x:f>Model_Data!Q231</x:f>
        <x:v>-60.8913427651966</x:v>
      </x:c>
      <x:c r="Q231" s="40" t="n">
        <x:f>Model_Data!AN231</x:f>
        <x:v>-57.562947484983674</x:v>
      </x:c>
      <x:c r="R231" s="41"/>
      <x:c r="S231" s="40" t="n">
        <x:f>Model_Data!A231</x:f>
        <x:v>54.5</x:v>
      </x:c>
      <x:c r="T231" s="40" t="n">
        <x:f>Model_Data!B231-Inputs!$C$5</x:f>
        <x:v>3.300277777777751</x:v>
      </x:c>
    </x:row>
    <x:row r="232">
      <x:c r="A232" s="40" t="n">
        <x:f>Model_Data!A232</x:f>
        <x:v>55</x:v>
      </x:c>
      <x:c r="B232" s="40" t="n">
        <x:f>Model_Data!F232</x:f>
        <x:v>2527.745531338961</x:v>
      </x:c>
      <x:c r="C232" s="40" t="n">
        <x:f>Model_Data!AC232</x:f>
        <x:v>2497.6809025638545</x:v>
      </x:c>
      <x:c r="D232" s="41"/>
      <x:c r="E232" s="40" t="n">
        <x:f>Model_Data!A232</x:f>
        <x:v>55</x:v>
      </x:c>
      <x:c r="F232" s="40" t="n">
        <x:f>Model_Data!Y232</x:f>
        <x:v>74.50489672221897</x:v>
      </x:c>
      <x:c r="G232" s="40" t="n">
        <x:f>Model_Data!X232</x:f>
        <x:v>20.167793883838257</x:v>
      </x:c>
      <x:c r="H232" s="41"/>
      <x:c r="I232" s="40" t="n">
        <x:f>Model_Data!A232</x:f>
        <x:v>55</x:v>
      </x:c>
      <x:c r="J232" s="40" t="n">
        <x:f>Model_Data!AI232</x:f>
        <x:v>-30.064628775106485</x:v>
      </x:c>
      <x:c r="K232" s="40" t="n">
        <x:f>Model_Data!AK232</x:f>
        <x:v>54.337102838380716</x:v>
      </x:c>
      <x:c r="L232" s="41"/>
      <x:c r="M232" s="40" t="n">
        <x:f>Model_Data!A232</x:f>
        <x:v>55</x:v>
      </x:c>
      <x:c r="N232" s="40" t="n">
        <x:f>Model_Data!P232</x:f>
        <x:v>-409.15829536560034</x:v>
      </x:c>
      <x:c r="O232" s="40" t="n">
        <x:f>Model_Data!AM232</x:f>
        <x:v>-389.8023984736028</x:v>
      </x:c>
      <x:c r="P232" s="40" t="n">
        <x:f>Model_Data!Q232</x:f>
        <x:v>-61.43517948432438</x:v>
      </x:c>
      <x:c r="Q232" s="40" t="n">
        <x:f>Model_Data!AN232</x:f>
        <x:v>-58.52888865970013</x:v>
      </x:c>
      <x:c r="R232" s="41"/>
      <x:c r="S232" s="40" t="n">
        <x:f>Model_Data!A232</x:f>
        <x:v>55</x:v>
      </x:c>
      <x:c r="T232" s="40" t="n">
        <x:f>Model_Data!B232-Inputs!$C$5</x:f>
        <x:v>3.361111111111086</x:v>
      </x:c>
    </x:row>
    <x:row r="233">
      <x:c r="A233" s="40" t="n">
        <x:f>Model_Data!A233</x:f>
        <x:v>55.5</x:v>
      </x:c>
      <x:c r="B233" s="40" t="n">
        <x:f>Model_Data!F233</x:f>
        <x:v>2565.4077051733684</x:v>
      </x:c>
      <x:c r="C233" s="40" t="n">
        <x:f>Model_Data!AC233</x:f>
        <x:v>2534.8045571153502</x:v>
      </x:c>
      <x:c r="D233" s="41"/>
      <x:c r="E233" s="40" t="n">
        <x:f>Model_Data!A233</x:f>
        <x:v>55.5</x:v>
      </x:c>
      <x:c r="F233" s="40" t="n">
        <x:f>Model_Data!Y233</x:f>
        <x:v>80.13362973833584</x:v>
      </x:c>
      <x:c r="G233" s="40" t="n">
        <x:f>Model_Data!X233</x:f>
        <x:v>24.762953437037087</x:v>
      </x:c>
      <x:c r="H233" s="41"/>
      <x:c r="I233" s="40" t="n">
        <x:f>Model_Data!A233</x:f>
        <x:v>55.5</x:v>
      </x:c>
      <x:c r="J233" s="40" t="n">
        <x:f>Model_Data!AI233</x:f>
        <x:v>-30.603148058018178</x:v>
      </x:c>
      <x:c r="K233" s="40" t="n">
        <x:f>Model_Data!AK233</x:f>
        <x:v>55.37067630129876</x:v>
      </x:c>
      <x:c r="L233" s="41"/>
      <x:c r="M233" s="40" t="n">
        <x:f>Model_Data!A233</x:f>
        <x:v>55.5</x:v>
      </x:c>
      <x:c r="N233" s="40" t="n">
        <x:f>Model_Data!P233</x:f>
        <x:v>-412.77764187212813</x:v>
      </x:c>
      <x:c r="O233" s="40" t="n">
        <x:f>Model_Data!AM233</x:f>
        <x:v>-396.8838569159743</x:v>
      </x:c>
      <x:c r="P233" s="40" t="n">
        <x:f>Model_Data!Q233</x:f>
        <x:v>-61.978624905724956</x:v>
      </x:c>
      <x:c r="Q233" s="40" t="n">
        <x:f>Model_Data!AN233</x:f>
        <x:v>-59.592170708104256</x:v>
      </x:c>
      <x:c r="R233" s="41"/>
      <x:c r="S233" s="40" t="n">
        <x:f>Model_Data!A233</x:f>
        <x:v>55.5</x:v>
      </x:c>
      <x:c r="T233" s="40" t="n">
        <x:f>Model_Data!B233-Inputs!$C$5</x:f>
        <x:v>3.4225000000000136</x:v>
      </x:c>
    </x:row>
    <x:row r="234">
      <x:c r="A234" s="40" t="n">
        <x:f>Model_Data!A234</x:f>
        <x:v>56</x:v>
      </x:c>
      <x:c r="B234" s="40" t="n">
        <x:f>Model_Data!F234</x:f>
        <x:v>2603.3929579329656</x:v>
      </x:c>
      <x:c r="C234" s="40" t="n">
        <x:f>Model_Data!AC234</x:f>
        <x:v>2572.909239679792</x:v>
      </x:c>
      <x:c r="D234" s="41"/>
      <x:c r="E234" s="40" t="n">
        <x:f>Model_Data!A234</x:f>
        <x:v>56</x:v>
      </x:c>
      <x:c r="F234" s="40" t="n">
        <x:f>Model_Data!Y234</x:f>
        <x:v>84.57671144749197</x:v>
      </x:c>
      <x:c r="G234" s="40" t="n">
        <x:f>Model_Data!X234</x:f>
        <x:v>29.355156711083108</x:v>
      </x:c>
      <x:c r="H234" s="41"/>
      <x:c r="I234" s="40" t="n">
        <x:f>Model_Data!A234</x:f>
        <x:v>56</x:v>
      </x:c>
      <x:c r="J234" s="40" t="n">
        <x:f>Model_Data!AI234</x:f>
        <x:v>-30.48371825317372</x:v>
      </x:c>
      <x:c r="K234" s="40" t="n">
        <x:f>Model_Data!AK234</x:f>
        <x:v>55.22155473640886</x:v>
      </x:c>
      <x:c r="L234" s="41"/>
      <x:c r="M234" s="40" t="n">
        <x:f>Model_Data!A234</x:f>
        <x:v>56</x:v>
      </x:c>
      <x:c r="N234" s="40" t="n">
        <x:f>Model_Data!P234</x:f>
        <x:v>-416.39436278764407</x:v>
      </x:c>
      <x:c r="O234" s="40" t="n">
        <x:f>Model_Data!AM234</x:f>
        <x:v>-404.4844700946669</x:v>
      </x:c>
      <x:c r="P234" s="40" t="n">
        <x:f>Model_Data!Q234</x:f>
        <x:v>-62.52167609424085</x:v>
      </x:c>
      <x:c r="Q234" s="40" t="n">
        <x:f>Model_Data!AN234</x:f>
        <x:v>-60.73340391811816</x:v>
      </x:c>
      <x:c r="R234" s="41"/>
      <x:c r="S234" s="40" t="n">
        <x:f>Model_Data!A234</x:f>
        <x:v>56</x:v>
      </x:c>
      <x:c r="T234" s="40" t="n">
        <x:f>Model_Data!B234-Inputs!$C$5</x:f>
        <x:v>3.4844444444444207</x:v>
      </x:c>
    </x:row>
    <x:row r="235">
      <x:c r="A235" s="40" t="n">
        <x:f>Model_Data!A235</x:f>
        <x:v>56.5</x:v>
      </x:c>
      <x:c r="B235" s="40" t="n">
        <x:f>Model_Data!F235</x:f>
        <x:v>2641.700826955916</x:v>
      </x:c>
      <x:c r="C235" s="40" t="n">
        <x:f>Model_Data!AC235</x:f>
        <x:v>2612.0008365302024</x:v>
      </x:c>
      <x:c r="D235" s="41"/>
      <x:c r="E235" s="40" t="n">
        <x:f>Model_Data!A235</x:f>
        <x:v>56.5</x:v>
      </x:c>
      <x:c r="F235" s="40" t="n">
        <x:f>Model_Data!Y235</x:f>
        <x:v>87.69019874361683</x:v>
      </x:c>
      <x:c r="G235" s="40" t="n">
        <x:f>Model_Data!X235</x:f>
        <x:v>33.813981430760975</x:v>
      </x:c>
      <x:c r="H235" s="41"/>
      <x:c r="I235" s="40" t="n">
        <x:f>Model_Data!A235</x:f>
        <x:v>56.5</x:v>
      </x:c>
      <x:c r="J235" s="40" t="n">
        <x:f>Model_Data!AI235</x:f>
        <x:v>-29.699990425713622</x:v>
      </x:c>
      <x:c r="K235" s="40" t="n">
        <x:f>Model_Data!AK235</x:f>
        <x:v>53.87621731285586</x:v>
      </x:c>
      <x:c r="L235" s="41"/>
      <x:c r="M235" s="40" t="n">
        <x:f>Model_Data!A235</x:f>
        <x:v>56.5</x:v>
      </x:c>
      <x:c r="N235" s="40" t="n">
        <x:f>Model_Data!P235</x:f>
        <x:v>-420.0084386675802</x:v>
      </x:c>
      <x:c r="O235" s="40" t="n">
        <x:f>Model_Data!AM235</x:f>
        <x:v>-412.4627376654644</x:v>
      </x:c>
      <x:c r="P235" s="40" t="n">
        <x:f>Model_Data!Q235</x:f>
        <x:v>-63.06433013026731</x:v>
      </x:c>
      <x:c r="Q235" s="40" t="n">
        <x:f>Model_Data!AN235</x:f>
        <x:v>-61.93134199181147</x:v>
      </x:c>
      <x:c r="R235" s="41"/>
      <x:c r="S235" s="40" t="n">
        <x:f>Model_Data!A235</x:f>
        <x:v>56.5</x:v>
      </x:c>
      <x:c r="T235" s="40" t="n">
        <x:f>Model_Data!B235-Inputs!$C$5</x:f>
        <x:v>3.5469444444444207</x:v>
      </x:c>
    </x:row>
    <x:row r="236">
      <x:c r="A236" s="40" t="n">
        <x:f>Model_Data!A236</x:f>
        <x:v>57</x:v>
      </x:c>
      <x:c r="B236" s="40" t="n">
        <x:f>Model_Data!F236</x:f>
        <x:v>2680.330846175745</x:v>
      </x:c>
      <x:c r="C236" s="40" t="n">
        <x:f>Model_Data!AC236</x:f>
        <x:v>2652.057567914663</x:v>
      </x:c>
      <x:c r="D236" s="41"/>
      <x:c r="E236" s="40" t="n">
        <x:f>Model_Data!A236</x:f>
        <x:v>57</x:v>
      </x:c>
      <x:c r="F236" s="40" t="n">
        <x:f>Model_Data!Y236</x:f>
        <x:v>89.37634423494337</x:v>
      </x:c>
      <x:c r="G236" s="40" t="n">
        <x:f>Model_Data!X236</x:f>
        <x:v>38.005525483802124</x:v>
      </x:c>
      <x:c r="H236" s="41"/>
      <x:c r="I236" s="40" t="n">
        <x:f>Model_Data!A236</x:f>
        <x:v>57</x:v>
      </x:c>
      <x:c r="J236" s="40" t="n">
        <x:f>Model_Data!AI236</x:f>
        <x:v>-28.27327826108194</x:v>
      </x:c>
      <x:c r="K236" s="40" t="n">
        <x:f>Model_Data!AK236</x:f>
        <x:v>51.37081875114125</x:v>
      </x:c>
      <x:c r="L236" s="41"/>
      <x:c r="M236" s="40" t="n">
        <x:f>Model_Data!A236</x:f>
        <x:v>57</x:v>
      </x:c>
      <x:c r="N236" s="40" t="n">
        <x:f>Model_Data!P236</x:f>
        <x:v>-423.6198501715072</x:v>
      </x:c>
      <x:c r="O236" s="40" t="n">
        <x:f>Model_Data!AM236</x:f>
        <x:v>-420.669792642002</x:v>
      </x:c>
      <x:c r="P236" s="40" t="n">
        <x:f>Model_Data!Q236</x:f>
        <x:v>-63.60658410983592</x:v>
      </x:c>
      <x:c r="Q236" s="40" t="n">
        <x:f>Model_Data!AN236</x:f>
        <x:v>-63.16363252882913</x:v>
      </x:c>
      <x:c r="R236" s="41"/>
      <x:c r="S236" s="40" t="n">
        <x:f>Model_Data!A236</x:f>
        <x:v>57</x:v>
      </x:c>
      <x:c r="T236" s="40" t="n">
        <x:f>Model_Data!B236-Inputs!$C$5</x:f>
        <x:v>3.6100000000000136</x:v>
      </x:c>
    </x:row>
    <x:row r="237">
      <x:c r="A237" s="40" t="n">
        <x:f>Model_Data!A237</x:f>
        <x:v>57.5</x:v>
      </x:c>
      <x:c r="B237" s="40" t="n">
        <x:f>Model_Data!F237</x:f>
        <x:v>2719.282546139775</x:v>
      </x:c>
      <x:c r="C237" s="40" t="n">
        <x:f>Model_Data!AC237</x:f>
        <x:v>2693.0314249148773</x:v>
      </x:c>
      <x:c r="D237" s="41"/>
      <x:c r="E237" s="40" t="n">
        <x:f>Model_Data!A237</x:f>
        <x:v>57.5</x:v>
      </x:c>
      <x:c r="F237" s="40" t="n">
        <x:f>Model_Data!Y237</x:f>
        <x:v>89.58516203427605</x:v>
      </x:c>
      <x:c r="G237" s="40" t="n">
        <x:f>Model_Data!X237</x:f>
        <x:v>41.79647502086598</x:v>
      </x:c>
      <x:c r="H237" s="41"/>
      <x:c r="I237" s="40" t="n">
        <x:f>Model_Data!A237</x:f>
        <x:v>57.5</x:v>
      </x:c>
      <x:c r="J237" s="40" t="n">
        <x:f>Model_Data!AI237</x:f>
        <x:v>-26.251121224897815</x:v>
      </x:c>
      <x:c r="K237" s="40" t="n">
        <x:f>Model_Data!AK237</x:f>
        <x:v>47.788687013410076</x:v>
      </x:c>
      <x:c r="L237" s="41"/>
      <x:c r="M237" s="40" t="n">
        <x:f>Model_Data!A237</x:f>
        <x:v>57.5</x:v>
      </x:c>
      <x:c r="N237" s="40" t="n">
        <x:f>Model_Data!P237</x:f>
        <x:v>-427.2285780636811</x:v>
      </x:c>
      <x:c r="O237" s="40" t="n">
        <x:f>Model_Data!AM237</x:f>
        <x:v>-428.95444508230867</x:v>
      </x:c>
      <x:c r="P237" s="40" t="n">
        <x:f>Model_Data!Q237</x:f>
        <x:v>-64.14843514469686</x:v>
      </x:c>
      <x:c r="Q237" s="40" t="n">
        <x:f>Model_Data!AN237</x:f>
        <x:v>-64.40757433668298</x:v>
      </x:c>
      <x:c r="R237" s="41"/>
      <x:c r="S237" s="40" t="n">
        <x:f>Model_Data!A237</x:f>
        <x:v>57.5</x:v>
      </x:c>
      <x:c r="T237" s="40" t="n">
        <x:f>Model_Data!B237-Inputs!$C$5</x:f>
        <x:v>3.673611111111086</x:v>
      </x:c>
    </x:row>
    <x:row r="238">
      <x:c r="A238" s="40" t="n">
        <x:f>Model_Data!A238</x:f>
        <x:v>58</x:v>
      </x:c>
      <x:c r="B238" s="40" t="n">
        <x:f>Model_Data!F238</x:f>
        <x:v>2758.555454027449</x:v>
      </x:c>
      <x:c r="C238" s="40" t="n">
        <x:f>Model_Data!AC238</x:f>
        <x:v>2734.850662609313</x:v>
      </x:c>
      <x:c r="D238" s="41"/>
      <x:c r="E238" s="40" t="n">
        <x:f>Model_Data!A238</x:f>
        <x:v>58</x:v>
      </x:c>
      <x:c r="F238" s="40" t="n">
        <x:f>Model_Data!Y238</x:f>
        <x:v>88.31440776408317</x:v>
      </x:c>
      <x:c r="G238" s="40" t="n">
        <x:f>Model_Data!X238</x:f>
        <x:v>45.05848364158138</x:v>
      </x:c>
      <x:c r="H238" s="41"/>
      <x:c r="I238" s="40" t="n">
        <x:f>Model_Data!A238</x:f>
        <x:v>58</x:v>
      </x:c>
      <x:c r="J238" s="40" t="n">
        <x:f>Model_Data!AI238</x:f>
        <x:v>-23.704791418135756</x:v>
      </x:c>
      <x:c r="K238" s="40" t="n">
        <x:f>Model_Data!AK238</x:f>
        <x:v>43.25592412250179</x:v>
      </x:c>
      <x:c r="L238" s="41"/>
      <x:c r="M238" s="40" t="n">
        <x:f>Model_Data!A238</x:f>
        <x:v>58</x:v>
      </x:c>
      <x:c r="N238" s="40" t="n">
        <x:f>Model_Data!P238</x:f>
        <x:v>-430.83460321358444</x:v>
      </x:c>
      <x:c r="O238" s="40" t="n">
        <x:f>Model_Data!AM238</x:f>
        <x:v>-437.1680953741816</x:v>
      </x:c>
      <x:c r="P238" s="40" t="n">
        <x:f>Model_Data!Q238</x:f>
        <x:v>-64.68988036240007</x:v>
      </x:c>
      <x:c r="Q238" s="40" t="n">
        <x:f>Model_Data!AN238</x:f>
        <x:v>-65.64085516128853</x:v>
      </x:c>
      <x:c r="R238" s="41"/>
      <x:c r="S238" s="40" t="n">
        <x:f>Model_Data!A238</x:f>
        <x:v>58</x:v>
      </x:c>
      <x:c r="T238" s="40" t="n">
        <x:f>Model_Data!B238-Inputs!$C$5</x:f>
        <x:v>3.737777777777751</x:v>
      </x:c>
    </x:row>
    <x:row r="239">
      <x:c r="A239" s="40" t="n">
        <x:f>Model_Data!A239</x:f>
        <x:v>58.5</x:v>
      </x:c>
      <x:c r="B239" s="40" t="n">
        <x:f>Model_Data!F239</x:f>
        <x:v>2798.1490936689197</x:v>
      </x:c>
      <x:c r="C239" s="40" t="n">
        <x:f>Model_Data!AC239</x:f>
        <x:v>2777.4232288080384</x:v>
      </x:c>
      <x:c r="D239" s="41"/>
      <x:c r="E239" s="40" t="n">
        <x:f>Model_Data!A239</x:f>
        <x:v>58.5</x:v>
      </x:c>
      <x:c r="F239" s="40" t="n">
        <x:f>Model_Data!Y239</x:f>
        <x:v>85.60803920584074</x:v>
      </x:c>
      <x:c r="G239" s="40" t="n">
        <x:f>Model_Data!X239</x:f>
        <x:v>47.67271523074262</x:v>
      </x:c>
      <x:c r="H239" s="41"/>
      <x:c r="I239" s="40" t="n">
        <x:f>Model_Data!A239</x:f>
        <x:v>58.5</x:v>
      </x:c>
      <x:c r="J239" s="40" t="n">
        <x:f>Model_Data!AI239</x:f>
        <x:v>-20.725864860881302</x:v>
      </x:c>
      <x:c r="K239" s="40" t="n">
        <x:f>Model_Data!AK239</x:f>
        <x:v>37.93532397509812</x:v>
      </x:c>
      <x:c r="L239" s="41"/>
      <x:c r="M239" s="40" t="n">
        <x:f>Model_Data!A239</x:f>
        <x:v>58.5</x:v>
      </x:c>
      <x:c r="N239" s="40" t="n">
        <x:f>Model_Data!P239</x:f>
        <x:v>-434.43790659645504</x:v>
      </x:c>
      <x:c r="O239" s="40" t="n">
        <x:f>Model_Data!AM239</x:f>
        <x:v>-445.16935399606155</x:v>
      </x:c>
      <x:c r="P239" s="40" t="n">
        <x:f>Model_Data!Q239</x:f>
        <x:v>-65.23091690637463</x:v>
      </x:c>
      <x:c r="Q239" s="40" t="n">
        <x:f>Model_Data!AN239</x:f>
        <x:v>-66.84224534475399</x:v>
      </x:c>
      <x:c r="R239" s="41"/>
      <x:c r="S239" s="40" t="n">
        <x:f>Model_Data!A239</x:f>
        <x:v>58.5</x:v>
      </x:c>
      <x:c r="T239" s="40" t="n">
        <x:f>Model_Data!B239-Inputs!$C$5</x:f>
        <x:v>3.802500000000009</x:v>
      </x:c>
    </x:row>
    <x:row r="240">
      <x:c r="A240" s="40" t="n">
        <x:f>Model_Data!A240</x:f>
        <x:v>59</x:v>
      </x:c>
      <x:c r="B240" s="40" t="n">
        <x:f>Model_Data!F240</x:f>
        <x:v>2838.0629855635702</x:v>
      </x:c>
      <x:c r="C240" s="40" t="n">
        <x:f>Model_Data!AC240</x:f>
        <x:v>2820.6409698530447</x:v>
      </x:c>
      <x:c r="D240" s="41"/>
      <x:c r="E240" s="40" t="n">
        <x:f>Model_Data!A240</x:f>
        <x:v>59</x:v>
      </x:c>
      <x:c r="F240" s="40" t="n">
        <x:f>Model_Data!Y240</x:f>
        <x:v>81.5532731907057</x:v>
      </x:c>
      <x:c r="G240" s="40" t="n">
        <x:f>Model_Data!X240</x:f>
        <x:v>49.53438428794515</x:v>
      </x:c>
      <x:c r="H240" s="41"/>
      <x:c r="I240" s="40" t="n">
        <x:f>Model_Data!A240</x:f>
        <x:v>59</x:v>
      </x:c>
      <x:c r="J240" s="40" t="n">
        <x:f>Model_Data!AI240</x:f>
        <x:v>-17.422015710525557</x:v>
      </x:c>
      <x:c r="K240" s="40" t="n">
        <x:f>Model_Data!AK240</x:f>
        <x:v>32.018888902760544</x:v>
      </x:c>
      <x:c r="L240" s="41"/>
      <x:c r="M240" s="40" t="n">
        <x:f>Model_Data!A240</x:f>
        <x:v>59</x:v>
      </x:c>
      <x:c r="N240" s="40" t="n">
        <x:f>Model_Data!P240</x:f>
        <x:v>-438.03846929381024</x:v>
      </x:c>
      <x:c r="O240" s="40" t="n">
        <x:f>Model_Data!AM240</x:f>
        <x:v>-452.8282229225624</x:v>
      </x:c>
      <x:c r="P240" s="40" t="n">
        <x:f>Model_Data!Q240</x:f>
        <x:v>-65.77154193600755</x:v>
      </x:c>
      <x:c r="Q240" s="40" t="n">
        <x:f>Model_Data!AN240</x:f>
        <x:v>-67.99222566404842</x:v>
      </x:c>
      <x:c r="R240" s="41"/>
      <x:c r="S240" s="40" t="n">
        <x:f>Model_Data!A240</x:f>
        <x:v>59</x:v>
      </x:c>
      <x:c r="T240" s="40" t="n">
        <x:f>Model_Data!B240-Inputs!$C$5</x:f>
        <x:v>3.8677777777778033</x:v>
      </x:c>
    </x:row>
    <x:row r="241">
      <x:c r="A241" s="40" t="n">
        <x:f>Model_Data!A241</x:f>
        <x:v>59.5</x:v>
      </x:c>
      <x:c r="B241" s="40" t="n">
        <x:f>Model_Data!F241</x:f>
        <x:v>2878.296646898987</x:v>
      </x:c>
      <x:c r="C241" s="40" t="n">
        <x:f>Model_Data!AC241</x:f>
        <x:v>2864.384424389858</x:v>
      </x:c>
      <x:c r="D241" s="41"/>
      <x:c r="E241" s="40" t="n">
        <x:f>Model_Data!A241</x:f>
        <x:v>59.5</x:v>
      </x:c>
      <x:c r="F241" s="40" t="n">
        <x:f>Model_Data!Y241</x:f>
        <x:v>76.276396978336</x:v>
      </x:c>
      <x:c r="G241" s="40" t="n">
        <x:f>Model_Data!X241</x:f>
        <x:v>50.55711515092797</x:v>
      </x:c>
      <x:c r="H241" s="41"/>
      <x:c r="I241" s="40" t="n">
        <x:f>Model_Data!A241</x:f>
        <x:v>59.5</x:v>
      </x:c>
      <x:c r="J241" s="40" t="n">
        <x:f>Model_Data!AI241</x:f>
        <x:v>-13.912222509129151</x:v>
      </x:c>
      <x:c r="K241" s="40" t="n">
        <x:f>Model_Data!AK241</x:f>
        <x:v>25.719281827408025</x:v>
      </x:c>
      <x:c r="L241" s="41"/>
      <x:c r="M241" s="40" t="n">
        <x:f>Model_Data!A241</x:f>
        <x:v>59.5</x:v>
      </x:c>
      <x:c r="N241" s="40" t="n">
        <x:f>Model_Data!P241</x:f>
        <x:v>-441.63627249395824</x:v>
      </x:c>
      <x:c r="O241" s="40" t="n">
        <x:f>Model_Data!AM241</x:f>
        <x:v>-460.0297167205099</x:v>
      </x:c>
      <x:c r="P241" s="40" t="n">
        <x:f>Model_Data!Q241</x:f>
        <x:v>-66.31175262672046</x:v>
      </x:c>
      <x:c r="Q241" s="40" t="n">
        <x:f>Model_Data!AN241</x:f>
        <x:v>-69.07353103911561</x:v>
      </x:c>
      <x:c r="R241" s="41"/>
      <x:c r="S241" s="40" t="n">
        <x:f>Model_Data!A241</x:f>
        <x:v>59.5</x:v>
      </x:c>
      <x:c r="T241" s="40" t="n">
        <x:f>Model_Data!B241-Inputs!$C$5</x:f>
        <x:v>3.9336111111111336</x:v>
      </x:c>
    </x:row>
    <x:row r="242">
      <x:c r="A242" s="40" t="n">
        <x:f>Model_Data!A242</x:f>
        <x:v>60</x:v>
      </x:c>
      <x:c r="B242" s="40" t="n">
        <x:f>Model_Data!F242</x:f>
        <x:v>2918.849591569284</x:v>
      </x:c>
      <x:c r="C242" s="40" t="n">
        <x:f>Model_Data!AC242</x:f>
        <x:v>2908.5279938491635</x:v>
      </x:c>
      <x:c r="D242" s="41"/>
      <x:c r="E242" s="40" t="n">
        <x:f>Model_Data!A242</x:f>
        <x:v>60</x:v>
      </x:c>
      <x:c r="F242" s="40" t="n">
        <x:f>Model_Data!Y242</x:f>
        <x:v>69.93752720661232</x:v>
      </x:c>
      <x:c r="G242" s="40" t="n">
        <x:f>Model_Data!X242</x:f>
        <x:v>50.67693627288145</x:v>
      </x:c>
      <x:c r="H242" s="41"/>
      <x:c r="I242" s="40" t="n">
        <x:f>Model_Data!A242</x:f>
        <x:v>60</x:v>
      </x:c>
      <x:c r="J242" s="40" t="n">
        <x:f>Model_Data!AI242</x:f>
        <x:v>-10.32159772012028</x:v>
      </x:c>
      <x:c r="K242" s="40" t="n">
        <x:f>Model_Data!AK242</x:f>
        <x:v>19.260590933730867</x:v>
      </x:c>
      <x:c r="L242" s="41"/>
      <x:c r="M242" s="40" t="n">
        <x:f>Model_Data!A242</x:f>
        <x:v>60</x:v>
      </x:c>
      <x:c r="N242" s="40" t="n">
        <x:f>Model_Data!P242</x:f>
        <x:v>-445.23129749250427</x:v>
      </x:c>
      <x:c r="O242" s="40" t="n">
        <x:f>Model_Data!AM242</x:f>
        <x:v>-463.50278849422466</x:v>
      </x:c>
      <x:c r="P242" s="40" t="n">
        <x:f>Model_Data!Q242</x:f>
        <x:v>-66.8515461700457</x:v>
      </x:c>
      <x:c r="Q242" s="40" t="n">
        <x:f>Model_Data!AN242</x:f>
        <x:v>-69.59501328742112</x:v>
      </x:c>
      <x:c r="R242" s="41"/>
      <x:c r="S242" s="40" t="n">
        <x:f>Model_Data!A242</x:f>
        <x:v>60</x:v>
      </x:c>
      <x:c r="T242" s="40" t="n">
        <x:f>Model_Data!B242-Inputs!$C$5</x:f>
        <x:v>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  <x:col min="5" max="5" width="20" hidden="0" customWidth="1"/>
    <x:col min="6" max="6" width="30" hidden="0" customWidth="1"/>
  </x:cols>
  <x:sheetData>
    <x:row r="1">
      <x:c r="A1" s="4" t="str">
        <x:v>PRF and Pulse Timing Results</x:v>
      </x:c>
      <x:c r="B1" s="4"/>
      <x:c r="C1" s="4"/>
      <x:c r="D1" s="4"/>
      <x:c r="E1" s="4"/>
      <x:c r="F1" s="4"/>
    </x:row>
    <x:row r="3">
      <x:c r="A3" s="14" t="str">
        <x:v>PRF (Hz)</x:v>
      </x:c>
      <x:c r="B3" s="14" t="str">
        <x:v>Pulse interval (ms)</x:v>
      </x:c>
      <x:c r="C3" s="14" t="str">
        <x:v>Along-track spacing (m)</x:v>
      </x:c>
      <x:c r="D3" s="14" t="str">
        <x:v>Unambiguous range (km)</x:v>
      </x:c>
      <x:c r="E3" s="14" t="str">
        <x:v>Pulses in air at z0</x:v>
      </x:c>
      <x:c r="F3" s="14" t="str">
        <x:v>Doppler sampling status</x:v>
      </x:c>
    </x:row>
    <x:row r="4">
      <x:c r="A4" s="40" t="n">
        <x:f>Inputs!$C$18</x:f>
        <x:v>50</x:v>
      </x:c>
      <x:c r="B4" s="40" t="n">
        <x:f>1000/A4</x:f>
        <x:v>20</x:v>
      </x:c>
      <x:c r="C4" s="40" t="n">
        <x:f>Inputs!$C$11*1000/A4</x:f>
        <x:v>80</x:v>
      </x:c>
      <x:c r="D4" s="40" t="n">
        <x:f>Inputs!$C$21/(2*A4)/1000</x:f>
        <x:v>2997.92458</x:v>
      </x:c>
      <x:c r="E4" s="40" t="n">
        <x:f>A4*(2*Inputs!$C$5*1000/Inputs!$C$21)</x:f>
        <x:v>0.13342563807926083</x:v>
      </x:c>
      <x:c r="F4" s="11" t="str">
        <x:f>IF(A4&gt;=Dashboard!$B$16,"OK for modeled topo VHF Doppler","Below simple Doppler floor")</x:f>
        <x:v>Below simple Doppler floor</x:v>
      </x:c>
    </x:row>
    <x:row r="5">
      <x:c r="A5" s="40" t="n">
        <x:f>Inputs!$C$19</x:f>
        <x:v>500</x:v>
      </x:c>
      <x:c r="B5" s="40" t="n">
        <x:f>1000/A5</x:f>
        <x:v>2</x:v>
      </x:c>
      <x:c r="C5" s="40" t="n">
        <x:f>Inputs!$C$11*1000/A5</x:f>
        <x:v>8</x:v>
      </x:c>
      <x:c r="D5" s="40" t="n">
        <x:f>Inputs!$C$21/(2*A5)/1000</x:f>
        <x:v>299.792458</x:v>
      </x:c>
      <x:c r="E5" s="40" t="n">
        <x:f>A5*(2*Inputs!$C$5*1000/Inputs!$C$21)</x:f>
        <x:v>1.3342563807926082</x:v>
      </x:c>
      <x:c r="F5" s="11" t="str">
        <x:f>IF(A5&gt;=Dashboard!$B$16,"OK for modeled topo VHF Doppler","Below simple Doppler floor")</x:f>
        <x:v>Below simple Doppler floor</x:v>
      </x:c>
    </x:row>
    <x:row r="6">
      <x:c r="A6" s="40" t="n">
        <x:f>Inputs!$C$20</x:f>
        <x:v>3000</x:v>
      </x:c>
      <x:c r="B6" s="40" t="n">
        <x:f>1000/A6</x:f>
        <x:v>0.3333333333333333</x:v>
      </x:c>
      <x:c r="C6" s="40" t="n">
        <x:f>Inputs!$C$11*1000/A6</x:f>
        <x:v>1.3333333333333333</x:v>
      </x:c>
      <x:c r="D6" s="40" t="n">
        <x:f>Inputs!$C$21/(2*A6)/1000</x:f>
        <x:v>49.965409666666666</x:v>
      </x:c>
      <x:c r="E6" s="40" t="n">
        <x:f>A6*(2*Inputs!$C$5*1000/Inputs!$C$21)</x:f>
        <x:v>8.00553828475565</x:v>
      </x:c>
      <x:c r="F6" s="11" t="str">
        <x:f>IF(A6&gt;=Dashboard!$B$16,"OK for modeled topo VHF Doppler","Below simple Doppler floor")</x:f>
        <x:v>OK for modeled topo VHF Doppler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55" hidden="0" customWidth="1"/>
    <x:col min="3" max="3" width="36" hidden="0" customWidth="1"/>
    <x:col min="4" max="4" width="24" hidden="0" customWidth="1"/>
  </x:cols>
  <x:sheetData>
    <x:row r="1">
      <x:c r="A1" s="4" t="str">
        <x:v>Formula Guide</x:v>
      </x:c>
      <x:c r="B1" s="4"/>
      <x:c r="C1" s="4"/>
      <x:c r="D1" s="4"/>
    </x:row>
    <x:row r="3">
      <x:c r="A3" s="14" t="str">
        <x:v>Formula</x:v>
      </x:c>
      <x:c r="B3" s="14" t="str">
        <x:v>Meaning</x:v>
      </x:c>
      <x:c r="C3" s="14" t="str">
        <x:v>Inputs used</x:v>
      </x:c>
      <x:c r="D3" s="14" t="str">
        <x:v>Output produced</x:v>
      </x:c>
    </x:row>
    <x:row r="4">
      <x:c r="A4" s="11" t="str">
        <x:v>z(x) = z0 + Delta_z_edge*(x/x_edge)^2</x:v>
      </x:c>
      <x:c r="B4" s="11" t="str">
        <x:v>Parabolic altitude path.</x:v>
      </x:c>
      <x:c r="C4" s="11" t="str">
        <x:v>z0, Delta_z_edge, x, x_edge</x:v>
      </x:c>
      <x:c r="D4" s="11" t="str">
        <x:v>altitude z</x:v>
      </x:c>
    </x:row>
    <x:row r="5">
      <x:c r="A5" s="11" t="str">
        <x:v>R_off = sqrt(x^2 + y^2 + z^2)</x:v>
      </x:c>
      <x:c r="B5" s="11" t="str">
        <x:v>Slant range from radar to side-offset target.</x:v>
      </x:c>
      <x:c r="C5" s="11" t="str">
        <x:v>x, y, z</x:v>
      </x:c>
      <x:c r="D5" s="11" t="str">
        <x:v>off-nadir range</x:v>
      </x:c>
    </x:row>
    <x:row r="6">
      <x:c r="A6" s="11" t="str">
        <x:v>R_nadir = z</x:v>
      </x:c>
      <x:c r="B6" s="11" t="str">
        <x:v>Range to target directly below platform.</x:v>
      </x:c>
      <x:c r="C6" s="11" t="str">
        <x:v>z</x:v>
      </x:c>
      <x:c r="D6" s="11" t="str">
        <x:v>nadir range</x:v>
      </x:c>
    </x:row>
    <x:row r="7">
      <x:c r="A7" s="11" t="str">
        <x:v>Delta_R = R_off - R_nadir</x:v>
      </x:c>
      <x:c r="B7" s="11" t="str">
        <x:v>Extra one-way path from side offset.</x:v>
      </x:c>
      <x:c r="C7" s="11" t="str">
        <x:v>R_off, R_nadir</x:v>
      </x:c>
      <x:c r="D7" s="11" t="str">
        <x:v>extra range</x:v>
      </x:c>
    </x:row>
    <x:row r="8">
      <x:c r="A8" s="11" t="str">
        <x:v>d_app = Delta_R / n</x:v>
      </x:c>
      <x:c r="B8" s="11" t="str">
        <x:v>Maps extra range onto apparent in-ice depth.</x:v>
      </x:c>
      <x:c r="C8" s="11" t="str">
        <x:v>Delta_R, n</x:v>
      </x:c>
      <x:c r="D8" s="11" t="str">
        <x:v>apparent depth</x:v>
      </x:c>
    </x:row>
    <x:row r="9">
      <x:c r="A9" s="11" t="str">
        <x:v>Delta_t = 2*Delta_R/c</x:v>
      </x:c>
      <x:c r="B9" s="11" t="str">
        <x:v>Two-way extra echo delay.</x:v>
      </x:c>
      <x:c r="C9" s="11" t="str">
        <x:v>Delta_R, c</x:v>
      </x:c>
      <x:c r="D9" s="11" t="str">
        <x:v>extra delay</x:v>
      </x:c>
    </x:row>
    <x:row r="10">
      <x:c r="A10" s="11" t="str">
        <x:v>theta = atan(horizontal/z)</x:v>
      </x:c>
      <x:c r="B10" s="11" t="str">
        <x:v>Look angle away from nadir.</x:v>
      </x:c>
      <x:c r="C10" s="11" t="str">
        <x:v>x, y, z</x:v>
      </x:c>
      <x:c r="D10" s="11" t="str">
        <x:v>look angle</x:v>
      </x:c>
    </x:row>
    <x:row r="11">
      <x:c r="A11" s="11" t="str">
        <x:v>phi = (2*pi/lambda)*b*sin(theta)</x:v>
      </x:c>
      <x:c r="B11" s="11" t="str">
        <x:v>Interferometric phase for VHF baseline.</x:v>
      </x:c>
      <x:c r="C11" s="11" t="str">
        <x:v>lambda, b, theta</x:v>
      </x:c>
      <x:c r="D11" s="11" t="str">
        <x:v>phase</x:v>
      </x:c>
    </x:row>
    <x:row r="12">
      <x:c r="A12" s="11" t="str">
        <x:v>P_rel = (R_nadir/R_off)^4</x:v>
      </x:c>
      <x:c r="B12" s="11" t="str">
        <x:v>Simple geometry-only two-way range-power ratio.</x:v>
      </x:c>
      <x:c r="C12" s="11" t="str">
        <x:v>R_nadir, R_off</x:v>
      </x:c>
      <x:c r="D12" s="11" t="str">
        <x:v>relative power</x:v>
      </x:c>
    </x:row>
    <x:row r="13">
      <x:c r="A13" s="11" t="str">
        <x:v>dz/dx = 2*a*x</x:v>
      </x:c>
      <x:c r="B13" s="11" t="str">
        <x:v>Slope of parabolic altitude path.</x:v>
      </x:c>
      <x:c r="C13" s="11" t="str">
        <x:v>a, x</x:v>
      </x:c>
      <x:c r="D13" s="11" t="str">
        <x:v>vertical slope</x:v>
      </x:c>
    </x:row>
    <x:row r="14">
      <x:c r="A14" s="11" t="str">
        <x:v>dz/dt = dz/dx * v</x:v>
      </x:c>
      <x:c r="B14" s="11" t="str">
        <x:v>Vertical speed caused by moving along the parabola.</x:v>
      </x:c>
      <x:c r="C14" s="11" t="str">
        <x:v>dz/dx, v</x:v>
      </x:c>
      <x:c r="D14" s="11" t="str">
        <x:v>vertical speed</x:v>
      </x:c>
    </x:row>
    <x:row r="15">
      <x:c r="A15" s="11" t="str">
        <x:v>dR/dt = (x*v + z*dz/dt)/R</x:v>
      </x:c>
      <x:c r="B15" s="11" t="str">
        <x:v>Range rate from chain rule.</x:v>
      </x:c>
      <x:c r="C15" s="11" t="str">
        <x:v>x, v, z, dz/dt, R</x:v>
      </x:c>
      <x:c r="D15" s="11" t="str">
        <x:v>range rate</x:v>
      </x:c>
    </x:row>
    <x:row r="16">
      <x:c r="A16" s="11" t="str">
        <x:v>f_D = -2*(dR/dt)/lambda</x:v>
      </x:c>
      <x:c r="B16" s="11" t="str">
        <x:v>Two-way Doppler shift.</x:v>
      </x:c>
      <x:c r="C16" s="11" t="str">
        <x:v>range rate, lambda</x:v>
      </x:c>
      <x:c r="D16" s="11" t="str">
        <x:v>Doppler</x:v>
      </x:c>
    </x:row>
    <x:row r="17">
      <x:c r="A17" s="11" t="str">
        <x:v>PRF_min = 2*max(abs(f_D))</x:v>
      </x:c>
      <x:c r="B17" s="11" t="str">
        <x:v>Simple Doppler sampling floor.</x:v>
      </x:c>
      <x:c r="C17" s="11" t="str">
        <x:v>Doppler</x:v>
      </x:c>
      <x:c r="D17" s="11" t="str">
        <x:v>minimum PRF</x:v>
      </x:c>
    </x:row>
    <x:row r="18">
      <x:c r="A18" s="11" t="str">
        <x:v>h_total = h_ridge + h_crater + h_chaos + h_rough + h_trough</x:v>
      </x:c>
      <x:c r="B18" s="11" t="str">
        <x:v>Representative Europa topography model.</x:v>
      </x:c>
      <x:c r="C18" s="11" t="str">
        <x:v>topography controls</x:v>
      </x:c>
      <x:c r="D18" s="11" t="str">
        <x:v>surface height</x:v>
      </x:c>
    </x:row>
    <x:row r="19">
      <x:c r="A19" s="11" t="str">
        <x:v>h_ridge = A*exp(-(x-x0)^2/(2*sx^2))*exp(-(y-y0)^2/(2*sy^2))</x:v>
      </x:c>
      <x:c r="B19" s="11" t="str">
        <x:v>Raised ridge / band feature.</x:v>
      </x:c>
      <x:c r="C19" s="11" t="str">
        <x:v>ridge height, center, length, width</x:v>
      </x:c>
      <x:c r="D19" s="11" t="str">
        <x:v>ridge height</x:v>
      </x:c>
    </x:row>
    <x:row r="20">
      <x:c r="A20" s="11" t="str">
        <x:v>h_crater = -D*exp(-((x-x0)^2+(y-y0)^2)/(2*sigma^2))</x:v>
      </x:c>
      <x:c r="B20" s="11" t="str">
        <x:v>Depression or crater-like low area.</x:v>
      </x:c>
      <x:c r="C20" s="11" t="str">
        <x:v>crater depth, center, width</x:v>
      </x:c>
      <x:c r="D20" s="11" t="str">
        <x:v>depression height</x:v>
      </x:c>
    </x:row>
    <x:row r="21">
      <x:c r="A21" s="11" t="str">
        <x:v>h_rough = A*sin(2*pi*x/Lx)*sin(2*pi*y/Ly)</x:v>
      </x:c>
      <x:c r="B21" s="11" t="str">
        <x:v>Fine roughness variation.</x:v>
      </x:c>
      <x:c r="C21" s="11" t="str">
        <x:v>roughness amplitude and wavelength</x:v>
      </x:c>
      <x:c r="D21" s="11" t="str">
        <x:v>roughness height</x:v>
      </x:c>
    </x:row>
    <x:row r="22">
      <x:c r="A22" s="11" t="str">
        <x:v>R_off_topo = sqrt(x^2 + y^2 + (z - h_target/1000)^2)</x:v>
      </x:c>
      <x:c r="B22" s="11" t="str">
        <x:v>Topography-adjusted slant range.</x:v>
      </x:c>
      <x:c r="C22" s="11" t="str">
        <x:v>x, y, z, target height</x:v>
      </x:c>
      <x:c r="D22" s="11" t="str">
        <x:v>topographic range</x:v>
      </x:c>
    </x:row>
    <x:row r="23">
      <x:c r="A23" s="11" t="str">
        <x:v>R_nadir_topo = z - h_nadir/1000</x:v>
      </x:c>
      <x:c r="B23" s="11" t="str">
        <x:v>Nadir range after local surface elevation is included.</x:v>
      </x:c>
      <x:c r="C23" s="11" t="str">
        <x:v>z, nadir height</x:v>
      </x:c>
      <x:c r="D23" s="11" t="str">
        <x:v>topographic nadir range</x:v>
      </x:c>
    </x:row>
    <x:row r="24">
      <x:c r="A24" s="11" t="str">
        <x:v>d_app_topo = (R_off_topo - R_nadir_topo)/n</x:v>
      </x:c>
      <x:c r="B24" s="11" t="str">
        <x:v>Topography-adjusted apparent depth.</x:v>
      </x:c>
      <x:c r="C24" s="11" t="str">
        <x:v>topographic ranges, n</x:v>
      </x:c>
      <x:c r="D24" s="11" t="str">
        <x:v>apparent depth with topography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56" hidden="0" customWidth="1"/>
  </x:cols>
  <x:sheetData>
    <x:row r="1">
      <x:c r="A1" s="4" t="str">
        <x:v>Workbook Checks</x:v>
      </x:c>
      <x:c r="B1" s="4"/>
      <x:c r="C1" s="4"/>
    </x:row>
    <x:row r="3">
      <x:c r="A3" s="14" t="str">
        <x:v>Check</x:v>
      </x:c>
      <x:c r="B3" s="14" t="str">
        <x:v>Status</x:v>
      </x:c>
      <x:c r="C3" s="14" t="str">
        <x:v>Formula</x:v>
      </x:c>
    </x:row>
    <x:row r="4">
      <x:c r="A4" s="11" t="str">
        <x:v>x_min &lt; x_max</x:v>
      </x:c>
      <x:c r="B4" s="11" t="str">
        <x:f>IF(Inputs!C7&lt;Inputs!C8,"OK","Fix x_min/x_max")</x:f>
        <x:v>OK</x:v>
      </x:c>
      <x:c r="C4" s="11" t="str">
        <x:v>Inputs!C7 must be less than Inputs!C8</x:v>
      </x:c>
    </x:row>
    <x:row r="5">
      <x:c r="A5" s="11" t="str">
        <x:v>z0 positive</x:v>
      </x:c>
      <x:c r="B5" s="11" t="str">
        <x:f>IF(Inputs!C5&gt;0,"OK","Fix z0")</x:f>
        <x:v>OK</x:v>
      </x:c>
      <x:c r="C5" s="11" t="str">
        <x:v>Closest altitude must be positive</x:v>
      </x:c>
    </x:row>
    <x:row r="6">
      <x:c r="A6" s="11" t="str">
        <x:v>x_edge positive</x:v>
      </x:c>
      <x:c r="B6" s="11" t="str">
        <x:f>IF(Inputs!C10&gt;0,"OK","Fix x_edge")</x:f>
        <x:v>OK</x:v>
      </x:c>
      <x:c r="C6" s="11" t="str">
        <x:v>Parabola edge must be positive</x:v>
      </x:c>
    </x:row>
    <x:row r="7">
      <x:c r="A7" s="11" t="str">
        <x:v>ice refractive index positive</x:v>
      </x:c>
      <x:c r="B7" s="11" t="str">
        <x:f>IF(Inputs!C12&gt;0,"OK","Fix n")</x:f>
        <x:v>OK</x:v>
      </x:c>
      <x:c r="C7" s="11" t="str">
        <x:v>n must be positive</x:v>
      </x:c>
    </x:row>
    <x:row r="8">
      <x:c r="A8" s="11" t="str">
        <x:v>wavelengths positive</x:v>
      </x:c>
      <x:c r="B8" s="11" t="str">
        <x:f>IF(AND(Inputs!C13&gt;0,Inputs!C14&gt;0),"OK","Fix wavelengths")</x:f>
        <x:v>OK</x:v>
      </x:c>
      <x:c r="C8" s="11" t="str">
        <x:v>HF and VHF wavelengths must be positive</x:v>
      </x:c>
    </x:row>
    <x:row r="9">
      <x:c r="A9" s="11" t="str">
        <x:v>baseline positive</x:v>
      </x:c>
      <x:c r="B9" s="11" t="str">
        <x:f>IF(Inputs!C15&gt;0,"OK","Fix baseline")</x:f>
        <x:v>OK</x:v>
      </x:c>
      <x:c r="C9" s="11" t="str">
        <x:v>Interferometry baseline must be positive</x:v>
      </x:c>
    </x:row>
    <x:row r="10">
      <x:c r="A10" s="11" t="str">
        <x:v>topography toggle valid</x:v>
      </x:c>
      <x:c r="B10" s="11" t="str">
        <x:f>IF(OR(Inputs!C27="ON",Inputs!C27="OFF"),"OK","Fix topography toggle")</x:f>
        <x:v>OK</x:v>
      </x:c>
      <x:c r="C10" s="11" t="str">
        <x:v>Inputs!C27 must be ON or OFF</x:v>
      </x:c>
    </x:row>
    <x:row r="11">
      <x:c r="A11" s="11" t="str">
        <x:v>topography widths positive</x:v>
      </x:c>
      <x:c r="B11" s="11" t="str">
        <x:f>IF(AND(Inputs!C31&gt;0,Inputs!C32&gt;0,Inputs!C36&gt;0,Inputs!C39&gt;0,Inputs!C40&gt;0,Inputs!C44&gt;0,Inputs!C45&gt;0),"OK","Fix topography width")</x:f>
        <x:v>OK</x:v>
      </x:c>
      <x:c r="C11" s="11" t="str">
        <x:v>Terrain sigma/width/wavelength values must be positive</x:v>
      </x:c>
    </x:row>
    <x:row r="12">
      <x:c r="A12" s="11" t="str">
        <x:v>terrain uncertainty nonnegative</x:v>
      </x:c>
      <x:c r="B12" s="11" t="str">
        <x:f>IF(Inputs!C46&gt;=0,"OK","Fix terrain uncertainty")</x:f>
        <x:v>OK</x:v>
      </x:c>
      <x:c r="C12" s="11" t="str">
        <x:v>Representative vertical uncertainty should be &gt;= 0</x:v>
      </x:c>
    </x:row>
    <x:row r="13">
      <x:c r="A13" s="11" t="str">
        <x:v>PRF high vs simple PRF floor</x:v>
      </x:c>
      <x:c r="B13" s="11" t="str">
        <x:f>IF(Inputs!C20&gt;=Dashboard!B16,"OK","High PRF below simple floor")</x:f>
        <x:v>OK</x:v>
      </x:c>
      <x:c r="C13" s="11" t="str">
        <x:v>PRF_3 should exceed Dashboard topo minimum PRF for the default check</x:v>
      </x:c>
    </x:row>
    <x:row r="14">
      <x:c r="A14" s="11" t="str">
        <x:v>model rows available</x:v>
      </x:c>
      <x:c r="B14" s="11" t="str">
        <x:f>IF(COUNTA(Model_Data!A2:A242)=241,"OK","Missing rows")</x:f>
        <x:v>OK</x:v>
      </x:c>
      <x:c r="C14" s="11" t="str">
        <x:v>Model_Data contains 241 plotted positions</x:v>
      </x:c>
    </x:row>
  </x:sheetData>
  <x:mergeCells>
    <x:mergeCell ref="A1:C1"/>
  </x:mergeCells>
  <x:conditionalFormatting sqref="B4:B14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